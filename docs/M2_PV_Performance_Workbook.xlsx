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2_Index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aw_Data" sheetId="4" state="visible" r:id="rId4"/>
    <sheet xmlns:r="http://schemas.openxmlformats.org/officeDocument/2006/relationships" name="EmptyPVMap" sheetId="5" state="visible" r:id="rId5"/>
    <sheet xmlns:r="http://schemas.openxmlformats.org/officeDocument/2006/relationships" name="Helpers_M2e" sheetId="6" state="visible" r:id="rId6"/>
    <sheet xmlns:r="http://schemas.openxmlformats.org/officeDocument/2006/relationships" name="M2e_Availability" sheetId="7" state="visible" r:id="rId7"/>
    <sheet xmlns:r="http://schemas.openxmlformats.org/officeDocument/2006/relationships" name="M2e_AllStrings" sheetId="8" state="visible" r:id="rId8"/>
    <sheet xmlns:r="http://schemas.openxmlformats.org/officeDocument/2006/relationships" name="Findings_Summary" sheetId="9" state="visible" r:id="rId9"/>
    <sheet xmlns:r="http://schemas.openxmlformats.org/officeDocument/2006/relationships" name="PanelSpec" sheetId="10" state="visible" r:id="rId10"/>
    <sheet xmlns:r="http://schemas.openxmlformats.org/officeDocument/2006/relationships" name="Raw_Data_M2b" sheetId="11" state="visible" r:id="rId11"/>
    <sheet xmlns:r="http://schemas.openxmlformats.org/officeDocument/2006/relationships" name="Meteo_Dummy" sheetId="12" state="visible" r:id="rId12"/>
    <sheet xmlns:r="http://schemas.openxmlformats.org/officeDocument/2006/relationships" name="Helpers_M2b" sheetId="13" state="visible" r:id="rId13"/>
    <sheet xmlns:r="http://schemas.openxmlformats.org/officeDocument/2006/relationships" name="M2b_PeerZScore" sheetId="14" state="visible" r:id="rId14"/>
    <sheet xmlns:r="http://schemas.openxmlformats.org/officeDocument/2006/relationships" name="M2b_StringStatus" sheetId="15" state="visible" r:id="rId15"/>
    <sheet xmlns:r="http://schemas.openxmlformats.org/officeDocument/2006/relationships" name="M2b_StatComparison" sheetId="16" state="visible" r:id="rId16"/>
    <sheet xmlns:r="http://schemas.openxmlformats.org/officeDocument/2006/relationships" name="Hampel_Preprocessing" sheetId="17" state="visible" r:id="rId17"/>
    <sheet xmlns:r="http://schemas.openxmlformats.org/officeDocument/2006/relationships" name="Raw_Data_OC" sheetId="18" state="visible" r:id="rId18"/>
    <sheet xmlns:r="http://schemas.openxmlformats.org/officeDocument/2006/relationships" name="Helpers_OC" sheetId="19" state="visible" r:id="rId19"/>
    <sheet xmlns:r="http://schemas.openxmlformats.org/officeDocument/2006/relationships" name="M2b_OpenCircuit" sheetId="20" state="visible" r:id="rId20"/>
    <sheet xmlns:r="http://schemas.openxmlformats.org/officeDocument/2006/relationships" name="M2b_OC_StringStatus" sheetId="21" state="visible" r:id="rId21"/>
    <sheet xmlns:r="http://schemas.openxmlformats.org/officeDocument/2006/relationships" name="Raw_Data_GF" sheetId="22" state="visible" r:id="rId22"/>
    <sheet xmlns:r="http://schemas.openxmlformats.org/officeDocument/2006/relationships" name="Helpers_GF" sheetId="23" state="visible" r:id="rId23"/>
    <sheet xmlns:r="http://schemas.openxmlformats.org/officeDocument/2006/relationships" name="GF_StringMetrics" sheetId="24" state="visible" r:id="rId24"/>
    <sheet xmlns:r="http://schemas.openxmlformats.org/officeDocument/2006/relationships" name="M2c_GroundFault" sheetId="25" state="visible" r:id="rId25"/>
    <sheet xmlns:r="http://schemas.openxmlformats.org/officeDocument/2006/relationships" name="M2c_GF_StringStatus" sheetId="26" state="visible" r:id="rId26"/>
    <sheet xmlns:r="http://schemas.openxmlformats.org/officeDocument/2006/relationships" name="Raw_Data_IF" sheetId="27" state="visible" r:id="rId27"/>
    <sheet xmlns:r="http://schemas.openxmlformats.org/officeDocument/2006/relationships" name="Features_IF" sheetId="28" state="visible" r:id="rId28"/>
    <sheet xmlns:r="http://schemas.openxmlformats.org/officeDocument/2006/relationships" name="IF_Anomaly" sheetId="29" state="visible" r:id="rId29"/>
    <sheet xmlns:r="http://schemas.openxmlformats.org/officeDocument/2006/relationships" name="IF_Summary" sheetId="30" state="visible" r:id="rId30"/>
    <sheet xmlns:r="http://schemas.openxmlformats.org/officeDocument/2006/relationships" name="Raw_Data_LI" sheetId="31" state="visible" r:id="rId31"/>
    <sheet xmlns:r="http://schemas.openxmlformats.org/officeDocument/2006/relationships" name="Helpers_LI" sheetId="32" state="visible" r:id="rId32"/>
    <sheet xmlns:r="http://schemas.openxmlformats.org/officeDocument/2006/relationships" name="M2a_LowIrradiance" sheetId="33" state="visible" r:id="rId33"/>
    <sheet xmlns:r="http://schemas.openxmlformats.org/officeDocument/2006/relationships" name="LI_Summary" sheetId="34" state="visible" r:id="rId34"/>
    <sheet xmlns:r="http://schemas.openxmlformats.org/officeDocument/2006/relationships" name="Raw_Data_SH" sheetId="35" state="visible" r:id="rId35"/>
    <sheet xmlns:r="http://schemas.openxmlformats.org/officeDocument/2006/relationships" name="Helpers_SH" sheetId="36" state="visible" r:id="rId36"/>
    <sheet xmlns:r="http://schemas.openxmlformats.org/officeDocument/2006/relationships" name="SH_Hourly" sheetId="37" state="visible" r:id="rId37"/>
    <sheet xmlns:r="http://schemas.openxmlformats.org/officeDocument/2006/relationships" name="M2a_Shading" sheetId="38" state="visible" r:id="rId38"/>
    <sheet xmlns:r="http://schemas.openxmlformats.org/officeDocument/2006/relationships" name="Raw_Data_SO" sheetId="39" state="visible" r:id="rId39"/>
    <sheet xmlns:r="http://schemas.openxmlformats.org/officeDocument/2006/relationships" name="Helpers_SO" sheetId="40" state="visible" r:id="rId40"/>
    <sheet xmlns:r="http://schemas.openxmlformats.org/officeDocument/2006/relationships" name="SO_Economics" sheetId="41" state="visible" r:id="rId41"/>
    <sheet xmlns:r="http://schemas.openxmlformats.org/officeDocument/2006/relationships" name="SO_Summary" sheetId="42" state="visible" r:id="rId42"/>
    <sheet xmlns:r="http://schemas.openxmlformats.org/officeDocument/2006/relationships" name="Raw_Data_MR" sheetId="43" state="visible" r:id="rId43"/>
    <sheet xmlns:r="http://schemas.openxmlformats.org/officeDocument/2006/relationships" name="Helpers_MR" sheetId="44" state="visible" r:id="rId44"/>
    <sheet xmlns:r="http://schemas.openxmlformats.org/officeDocument/2006/relationships" name="M2b_MpptRatio" sheetId="45" state="visible" r:id="rId45"/>
    <sheet xmlns:r="http://schemas.openxmlformats.org/officeDocument/2006/relationships" name="M2b_MR_StringStatus" sheetId="46" state="visible" r:id="rId46"/>
  </sheets>
  <definedNames>
    <definedName name="cfg_critical_below">Config!$C$4</definedName>
    <definedName name="cfg_high_below">Config!$C$5</definedName>
    <definedName name="cfg_medium_below">Config!$C$6</definedName>
    <definedName name="cfg_info_below">Config!$C$7</definedName>
    <definedName name="cfg_emit_normal">Config!$C$8</definedName>
    <definedName name="cfg_pstr_zero_threshold_kw">Config!$C$9</definedName>
    <definedName name="cfg_sibling_median_active_kw">Config!$C$10</definedName>
    <definedName name="cfg_min_active_siblings_pct">Config!$C$11</definedName>
    <definedName name="cfg_debounce_consecutive_steps">Config!$C$12</definedName>
    <definedName name="cfg_interval_minutes">Config!$C$13</definedName>
    <definedName name="cfg_pv_max">Config!$C$14</definedName>
    <definedName name="cfg_n_pv_total_in_workbook">Config!$C$15</definedName>
    <definedName name="cfg_poa_threshold_wm2">Config!$C$16</definedName>
    <definedName name="cfg_poa_floor_wm2">Config!$C$17</definedName>
    <definedName name="cfg_z_threshold">Config!$C$18</definedName>
    <definedName name="cfg_z_high_threshold">Config!$C$19</definedName>
    <definedName name="cfg_voc_ratio_threshold">Config!$C$20</definedName>
    <definedName name="cfg_stat_method">Config!$C$21</definedName>
    <definedName name="cfg_min_peer_strings">Config!$C$22</definedName>
    <definedName name="cfg_min_daylight_samples">Config!$C$23</definedName>
    <definedName name="cfg_i_clip_floor_a">Config!$C$24</definedName>
    <definedName name="cfg_i_threshold_a">Config!$C$25</definedName>
    <definedName name="cfg_min_voc_v">Config!$C$26</definedName>
    <definedName name="cfg_min_samples">Config!$C$27</definedName>
    <definedName name="cfg_hampel_window">Config!$C$28</definedName>
    <definedName name="cfg_hampel_max_deviation">Config!$C$29</definedName>
    <definedName name="cfg_enabled">Config!$C$30</definedName>
    <definedName name="cfg_default_source">Config!$C$31</definedName>
    <definedName name="panel_voc_stc_v">PanelSpec!$B$6</definedName>
    <definedName name="panel_vmp_stc_v">PanelSpec!$B$7</definedName>
    <definedName name="panel_imp_stc_a">PanelSpec!$B$8</definedName>
    <definedName name="panel_isc_stc_a">PanelSpec!$B$9</definedName>
    <definedName name="panel_pmax_stc_w">PanelSpec!$B$10</definedName>
    <definedName name="panel_voc_noct_v">PanelSpec!$B$11</definedName>
    <definedName name="panel_temp_coef_voc_pct_per_c">PanelSpec!$B$12</definedName>
    <definedName name="panel_temp_coef_pmax_pct_per_c">PanelSpec!$B$13</definedName>
    <definedName name="panel_temp_coef_isc_pct_per_c">PanelSpec!$B$14</definedName>
    <definedName name="panel_t_stc_c">PanelSpec!$B$15</definedName>
    <definedName name="panel_max_system_voltage_v">PanelSpec!$B$16</definedName>
    <definedName name="panel_default_modules_per_string">PanelSpec!$B$17</definedName>
    <definedName name="panel_modules_per_string_WB01">PanelSpec!$B$18</definedName>
    <definedName name="panel_modules_per_string_WB02">PanelSpec!$B$19</definedName>
    <definedName name="panel_modules_per_string_WB03_10">PanelSpec!$B$20</definedName>
    <definedName name="voc_per_module_calc">PanelSpec!$B$24</definedName>
    <definedName name="voc_string_24_calc">PanelSpec!$B$25</definedName>
    <definedName name="voc_string_26_calc">PanelSpec!$B$26</definedName>
    <definedName name="tcell_dummy_c">PanelSpec!$B$23</definedName>
    <definedName name="rstr_fleet_mean">M2b_PeerZScore!$B$15</definedName>
    <definedName name="rstr_fleet_median">M2b_PeerZScore!$B$16</definedName>
    <definedName name="rstr_fleet_std">M2b_PeerZScore!$B$17</definedName>
    <definedName name="cfg_oc_poa_threshold_wm2">Config!$C$32</definedName>
    <definedName name="cfg_oc_poa_floor_wm2">Config!$C$33</definedName>
    <definedName name="cfg_oc_i_ratio_threshold">Config!$C$34</definedName>
    <definedName name="cfg_oc_debounce_steps">Config!$C$35</definedName>
    <definedName name="cfg_oc_confidence_pct">Config!$C$36</definedName>
    <definedName name="cfg_oc_iq95_clip">Config!$C$37</definedName>
    <definedName name="cfg_gf_poa_threshold_wm2">Config!$C$38</definedName>
    <definedName name="cfg_gf_poa_floor_wm2">Config!$C$39</definedName>
    <definedName name="cfg_gf_v_abs_threshold">Config!$C$40</definedName>
    <definedName name="cfg_gf_adaptive_z_threshold">Config!$C$41</definedName>
    <definedName name="cfg_gf_voc_ratio_threshold">Config!$C$42</definedName>
    <definedName name="cfg_gf_i_high_z_threshold">Config!$C$43</definedName>
    <definedName name="cfg_gf_fleet_v_gnd_median">Config!$C$44</definedName>
    <definedName name="cfg_gf_fleet_v_gnd_std">Config!$C$45</definedName>
    <definedName name="cfg_if_contamination">Config!$C$46</definedName>
    <definedName name="cfg_if_i_floor">Config!$C$47</definedName>
    <definedName name="cfg_if_mad_scale">Config!$C$48</definedName>
    <definedName name="cfg_li_poa_low_min">Config!$C$52</definedName>
    <definedName name="cfg_li_poa_low_max">Config!$C$53</definedName>
    <definedName name="cfg_li_poa_mid_min">Config!$C$54</definedName>
    <definedName name="cfg_li_poa_mid_max">Config!$C$55</definedName>
    <definedName name="cfg_li_slope_threshold">Config!$C$56</definedName>
    <definedName name="cfg_li_r2_min">Config!$C$57</definedName>
    <definedName name="cfg_li_min_low_samples">Config!$C$58</definedName>
    <definedName name="cfg_sh_poa_threshold">Config!$C$59</definedName>
    <definedName name="cfg_sh_cv_mult">Config!$C$60</definedName>
    <definedName name="cfg_sh_pr_mult">Config!$C$61</definedName>
    <definedName name="cfg_sh_am_pm_split">Config!$C$62</definedName>
    <definedName name="cfg_sh_asymmetry_thr">Config!$C$63</definedName>
    <definedName name="cfg_sh_min_hours">Config!$C$64</definedName>
    <definedName name="cfg_sh_min_samp_hour">Config!$C$65</definedName>
    <definedName name="cfg_so_min_days">Config!$C$66</definedName>
    <definedName name="cfg_so_capacity_kwp">Config!$C$67</definedName>
    <definedName name="cfg_so_tariff">Config!$C$68</definedName>
    <definedName name="cfg_so_cleaning_cost">Config!$C$69</definedName>
    <definedName name="cfg_so_payback_thr">Config!$C$70</definedName>
    <definedName name="cfg_mr_poa_threshold_wm2">Config!$C$71</definedName>
    <definedName name="cfg_mr_poa_floor_wm2">Config!$C$72</definedName>
    <definedName name="cfg_mr_ratio_threshold">Config!$C$73</definedName>
    <definedName name="cfg_mr_ratio_high">Config!$C$74</definedName>
    <definedName name="cfg_mr_ratio_critical">Config!$C$75</definedName>
    <definedName name="cfg_mr_debounce_steps">Config!$C$76</definedName>
    <definedName name="cfg_mr_min_partner">Config!$C$77</definedName>
    <definedName name="cfg_mr_partner_clip">Config!$C$78</definedName>
    <definedName name="_xlnm._FilterDatabase" localSheetId="8" hidden="1">'Findings_Summary'!$A$4:$H$21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 hh:mm:ss"/>
    <numFmt numFmtId="165" formatCode="0.000"/>
    <numFmt numFmtId="166" formatCode="0.0"/>
    <numFmt numFmtId="167" formatCode="0.0000"/>
    <numFmt numFmtId="168" formatCode="0.000000"/>
    <numFmt numFmtId="169" formatCode="hh:mm"/>
    <numFmt numFmtId="170" formatCode="0.00000"/>
    <numFmt numFmtId="171" formatCode="yyyy-mm-dd"/>
    <numFmt numFmtId="172" formatCode="0.0#"/>
  </numFmts>
  <fonts count="13">
    <font>
      <name val="Calibri"/>
      <family val="2"/>
      <color theme="1"/>
      <sz val="11"/>
      <scheme val="minor"/>
    </font>
    <font>
      <b val="1"/>
      <color rgb="00305496"/>
      <sz val="16"/>
    </font>
    <font>
      <i val="1"/>
      <color rgb="00595959"/>
    </font>
    <font>
      <name val="Calibri"/>
      <b val="1"/>
      <sz val="10"/>
    </font>
    <font>
      <b val="1"/>
      <color rgb="00305496"/>
      <sz val="14"/>
    </font>
    <font>
      <name val="Calibri"/>
      <b val="1"/>
      <color rgb="00FFFFFF"/>
      <sz val="11"/>
    </font>
    <font>
      <b val="1"/>
    </font>
    <font>
      <i val="1"/>
      <color rgb="00A0A0A0"/>
      <sz val="9"/>
    </font>
    <font>
      <name val="Calibri"/>
      <b val="1"/>
      <color rgb="00305496"/>
      <sz val="13"/>
    </font>
    <font>
      <i val="1"/>
      <color rgb="00808080"/>
      <sz val="9"/>
    </font>
    <font>
      <name val="Calibri"/>
      <sz val="11"/>
    </font>
    <font>
      <name val="Calibri"/>
      <b val="1"/>
      <color rgb="00305496"/>
      <sz val="14"/>
    </font>
    <font>
      <name val="Calibri"/>
      <b val="1"/>
      <color rgb="00305496"/>
      <sz val="12"/>
    </font>
  </fonts>
  <fills count="1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DDDDDD"/>
      </patternFill>
    </fill>
    <fill>
      <patternFill patternType="solid">
        <fgColor rgb="00DDEBF7"/>
      </patternFill>
    </fill>
    <fill>
      <patternFill patternType="solid">
        <fgColor rgb="00B6D7A8"/>
      </patternFill>
    </fill>
    <fill>
      <patternFill patternType="solid">
        <fgColor rgb="00D9EAD3"/>
      </patternFill>
    </fill>
    <fill>
      <patternFill patternType="solid">
        <fgColor rgb="00F6B26B"/>
      </patternFill>
    </fill>
    <fill>
      <patternFill patternType="solid">
        <fgColor rgb="00FFE5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3" borderId="1" pivotButton="0" quotePrefix="0" xfId="0"/>
    <xf numFmtId="0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3" fillId="2" borderId="0" pivotButton="0" quotePrefix="0" xfId="0"/>
    <xf numFmtId="2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6" fillId="4" borderId="0" pivotButton="0" quotePrefix="0" xfId="0"/>
    <xf numFmtId="2" fontId="0" fillId="0" borderId="0" pivotButton="0" quotePrefix="0" xfId="0"/>
    <xf numFmtId="0" fontId="7" fillId="0" borderId="0" pivotButton="0" quotePrefix="0" xfId="0"/>
    <xf numFmtId="0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165" fontId="0" fillId="5" borderId="1" pivotButton="0" quotePrefix="0" xfId="0"/>
    <xf numFmtId="165" fontId="0" fillId="6" borderId="1" pivotButton="0" quotePrefix="0" xfId="0"/>
    <xf numFmtId="1" fontId="0" fillId="0" borderId="1" pivotButton="0" quotePrefix="0" xfId="0"/>
    <xf numFmtId="167" fontId="0" fillId="0" borderId="1" pivotButton="0" quotePrefix="0" xfId="0"/>
    <xf numFmtId="0" fontId="10" fillId="0" borderId="1" pivotButton="0" quotePrefix="0" xfId="0"/>
    <xf numFmtId="0" fontId="9" fillId="0" borderId="0" applyAlignment="1" pivotButton="0" quotePrefix="0" xfId="0">
      <alignment vertical="top" wrapText="1"/>
    </xf>
    <xf numFmtId="167" fontId="0" fillId="0" borderId="1" pivotButton="0" quotePrefix="0" xfId="0"/>
    <xf numFmtId="166" fontId="0" fillId="7" borderId="1" pivotButton="0" quotePrefix="0" xfId="0"/>
    <xf numFmtId="165" fontId="0" fillId="7" borderId="1" pivotButton="0" quotePrefix="0" xfId="0"/>
    <xf numFmtId="166" fontId="0" fillId="6" borderId="1" pivotButton="0" quotePrefix="0" xfId="0"/>
    <xf numFmtId="166" fontId="0" fillId="5" borderId="1" pivotButton="0" quotePrefix="0" xfId="0"/>
    <xf numFmtId="168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5" fillId="3" borderId="0" pivotButton="0" quotePrefix="0" xfId="0"/>
    <xf numFmtId="169" fontId="0" fillId="0" borderId="1" pivotButton="0" quotePrefix="0" xfId="0"/>
    <xf numFmtId="0" fontId="0" fillId="8" borderId="1" pivotButton="0" quotePrefix="0" xfId="0"/>
    <xf numFmtId="170" fontId="0" fillId="0" borderId="1" pivotButton="0" quotePrefix="0" xfId="0"/>
    <xf numFmtId="167" fontId="0" fillId="6" borderId="1" pivotButton="0" quotePrefix="0" xfId="0"/>
    <xf numFmtId="0" fontId="0" fillId="6" borderId="1" pivotButton="0" quotePrefix="0" xfId="0"/>
    <xf numFmtId="171" fontId="0" fillId="0" borderId="1" pivotButton="0" quotePrefix="0" xfId="0"/>
    <xf numFmtId="3" fontId="0" fillId="0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9" borderId="1" pivotButton="0" quotePrefix="0" xfId="0"/>
    <xf numFmtId="0" fontId="0" fillId="10" borderId="1" pivotButton="0" quotePrefix="0" xfId="0"/>
    <xf numFmtId="0" fontId="0" fillId="12" borderId="1" pivotButton="0" quotePrefix="0" xfId="0"/>
    <xf numFmtId="0" fontId="0" fillId="11" borderId="1" pivotButton="0" quotePrefix="0" xfId="0"/>
    <xf numFmtId="171" fontId="0" fillId="0" borderId="1" pivotButton="0" quotePrefix="0" xfId="0"/>
    <xf numFmtId="0" fontId="0" fillId="13" borderId="1" applyAlignment="1" pivotButton="0" quotePrefix="0" xfId="0">
      <alignment vertical="top" wrapText="1"/>
    </xf>
    <xf numFmtId="0" fontId="0" fillId="13" borderId="1" pivotButton="0" quotePrefix="0" xfId="0"/>
    <xf numFmtId="172" fontId="0" fillId="0" borderId="1" pivotButton="0" quotePrefix="0" xfId="0"/>
    <xf numFmtId="172" fontId="0" fillId="0" borderId="1" pivotButton="0" quotePrefix="0" xfId="0"/>
  </cellXfs>
  <cellStyles count="1">
    <cellStyle name="Normal" xfId="0" builtinId="0" hidden="0"/>
  </cellStyles>
  <dxfs count="9">
    <dxf>
      <fill>
        <patternFill patternType="solid">
          <fgColor rgb="00E06666"/>
        </patternFill>
      </fill>
    </dxf>
    <dxf>
      <fill>
        <patternFill patternType="solid">
          <fgColor rgb="00F6B26B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A4C2F4"/>
        </patternFill>
      </fill>
    </dxf>
    <dxf>
      <fill>
        <patternFill patternType="solid">
          <fgColor rgb="00B6D7A8"/>
        </patternFill>
      </fill>
    </dxf>
    <dxf>
      <fill>
        <patternFill patternType="solid">
          <fgColor rgb="00DDDDDD"/>
        </patternFill>
      </fill>
    </dxf>
    <dxf>
      <fill>
        <patternFill patternType="solid">
          <fgColor rgb="00EFEFEF"/>
        </patternFill>
      </fill>
    </dxf>
    <dxf>
      <fill>
        <patternFill patternType="solid">
          <fgColor rgb="00FFE599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05496"/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9" customWidth="1" min="1" max="1"/>
    <col width="19" customWidth="1" min="2" max="2"/>
    <col width="24" customWidth="1" min="3" max="3"/>
    <col width="34" customWidth="1" min="4" max="4"/>
    <col width="30" customWidth="1" min="5" max="5"/>
    <col width="40" customWidth="1" min="6" max="6"/>
    <col width="18" customWidth="1" min="7" max="7"/>
    <col width="16" customWidth="1" min="8" max="8"/>
  </cols>
  <sheetData>
    <row r="1">
      <c r="A1" s="47" t="inlineStr">
        <is>
          <t>M2 PV Performance — INDEKS Famili Detektor</t>
        </is>
      </c>
    </row>
    <row r="2">
      <c r="A2" s="24" t="inlineStr">
        <is>
          <t>Peta tiap detektor → sinyal → fault_type → severity → status reproduksibilitas Excel. Workbook 45 detektor-sheet (di luar indeks ini). Detail: docs/M2_RE_0X_*.md + M2_Family_Summary.</t>
        </is>
      </c>
    </row>
    <row r="4">
      <c r="A4" s="48" t="inlineStr">
        <is>
          <t>1. Peta Detektor (9 aktif + 1 ML skeleton)</t>
        </is>
      </c>
    </row>
    <row r="5">
      <c r="A5" s="10" t="inlineStr">
        <is>
          <t>#</t>
        </is>
      </c>
      <c r="B5" s="10" t="inlineStr">
        <is>
          <t>Detector</t>
        </is>
      </c>
      <c r="C5" s="10" t="inlineStr">
        <is>
          <t>Modul</t>
        </is>
      </c>
      <c r="D5" s="10" t="inlineStr">
        <is>
          <t>Sinyal utama</t>
        </is>
      </c>
      <c r="E5" s="10" t="inlineStr">
        <is>
          <t>fault_type</t>
        </is>
      </c>
      <c r="F5" s="10" t="inlineStr">
        <is>
          <t>Severity (ringkas)</t>
        </is>
      </c>
      <c r="G5" s="10" t="inlineStr">
        <is>
          <t>Sheet keputusan</t>
        </is>
      </c>
      <c r="H5" s="10" t="inlineStr">
        <is>
          <t>Status Excel</t>
        </is>
      </c>
    </row>
    <row r="6">
      <c r="A6" s="49" t="n">
        <v>1</v>
      </c>
      <c r="B6" s="49" t="inlineStr">
        <is>
          <t>M2eAvailability</t>
        </is>
      </c>
      <c r="C6" s="49" t="inlineStr">
        <is>
          <t>availability.py</t>
        </is>
      </c>
      <c r="D6" s="49" t="inlineStr">
        <is>
          <t>uptime inverter &amp; string (downtime menit)</t>
        </is>
      </c>
      <c r="E6" s="49" t="inlineStr">
        <is>
          <t>(severity-based)</t>
        </is>
      </c>
      <c r="F6" s="49" t="inlineStr">
        <is>
          <t>&lt;90 CRIT · &lt;95 HIGH · &lt;97 MED · &lt;99 INFO · ≥99 NORMAL</t>
        </is>
      </c>
      <c r="G6" s="49" t="inlineStr">
        <is>
          <t>M2e_Availability</t>
        </is>
      </c>
      <c r="H6" s="50" t="inlineStr">
        <is>
          <t>PENUH</t>
        </is>
      </c>
    </row>
    <row r="7">
      <c r="A7" s="49" t="n">
        <v>2</v>
      </c>
      <c r="B7" s="49" t="inlineStr">
        <is>
          <t>M2bPeerZScore</t>
        </is>
      </c>
      <c r="C7" s="49" t="inlineStr">
        <is>
          <t>peer_zscore.py</t>
        </is>
      </c>
      <c r="D7" s="49" t="inlineStr">
        <is>
          <t>R_str=V/I → z-score peer + voc_ratio</t>
        </is>
      </c>
      <c r="E7" s="49" t="inlineStr">
        <is>
          <t>high_R</t>
        </is>
      </c>
      <c r="F7" s="49" t="inlineStr">
        <is>
          <t>|z|&gt;3.5 HIGH · |z|&gt;2.5 &amp; voc_ratio&gt;0.95 MED</t>
        </is>
      </c>
      <c r="G7" s="49" t="inlineStr">
        <is>
          <t>M2b_PeerZScore</t>
        </is>
      </c>
      <c r="H7" s="50" t="inlineStr">
        <is>
          <t>PENUH</t>
        </is>
      </c>
    </row>
    <row r="8">
      <c r="A8" s="49" t="n">
        <v>3</v>
      </c>
      <c r="B8" s="49" t="inlineStr">
        <is>
          <t>M2bOpenCircuit</t>
        </is>
      </c>
      <c r="C8" s="49" t="inlineStr">
        <is>
          <t>open_circuit.py</t>
        </is>
      </c>
      <c r="D8" s="49" t="inlineStr">
        <is>
          <t>I/I_q95 &lt; 5% (across siblings) + debounce 20</t>
        </is>
      </c>
      <c r="E8" s="49" t="inlineStr">
        <is>
          <t>open_circuit</t>
        </is>
      </c>
      <c r="F8" s="49" t="inlineStr">
        <is>
          <t>CRITICAL (conf 95%)</t>
        </is>
      </c>
      <c r="G8" s="49" t="inlineStr">
        <is>
          <t>M2b_OpenCircuit</t>
        </is>
      </c>
      <c r="H8" s="50" t="inlineStr">
        <is>
          <t>PENUH</t>
        </is>
      </c>
    </row>
    <row r="9">
      <c r="A9" s="49" t="n">
        <v>4</v>
      </c>
      <c r="B9" s="49" t="inlineStr">
        <is>
          <t>M2bGroundFault</t>
        </is>
      </c>
      <c r="C9" s="49" t="inlineStr">
        <is>
          <t>ground_fault.py</t>
        </is>
      </c>
      <c r="D9" s="49" t="inlineStr">
        <is>
          <t>V_to_ground absolute/adaptive + voc_ratio &amp; I_z</t>
        </is>
      </c>
      <c r="E9" s="49" t="inlineStr">
        <is>
          <t>ground_fault</t>
        </is>
      </c>
      <c r="F9" s="49" t="inlineStr">
        <is>
          <t>spec+(abs|adp)=90 · spec/abs+adp=80 · abs=70 · adp=60</t>
        </is>
      </c>
      <c r="G9" s="49" t="inlineStr">
        <is>
          <t>M2c_GroundFault</t>
        </is>
      </c>
      <c r="H9" s="51" t="inlineStr">
        <is>
          <t>PENUH*</t>
        </is>
      </c>
    </row>
    <row r="10">
      <c r="A10" s="49" t="n">
        <v>5</v>
      </c>
      <c r="B10" s="49" t="inlineStr">
        <is>
          <t>M2bMpptRatio</t>
        </is>
      </c>
      <c r="C10" s="49" t="inlineStr">
        <is>
          <t>mppt_ratio.py</t>
        </is>
      </c>
      <c r="D10" s="49" t="inlineStr">
        <is>
          <t>I/median(partner se-MPPT) &lt; 0.85 + debounce 20</t>
        </is>
      </c>
      <c r="E10" s="49" t="inlineStr">
        <is>
          <t>mppt_partner_underperform</t>
        </is>
      </c>
      <c r="F10" s="49" t="inlineStr">
        <is>
          <t>rem&lt;0.20 CRIT · &lt;0.50 HIGH · else MED (conf 50–90)</t>
        </is>
      </c>
      <c r="G10" s="49" t="inlineStr">
        <is>
          <t>M2b_MpptRatio</t>
        </is>
      </c>
      <c r="H10" s="50" t="inlineStr">
        <is>
          <t>PENUH</t>
        </is>
      </c>
    </row>
    <row r="11">
      <c r="A11" s="49" t="n">
        <v>6</v>
      </c>
      <c r="B11" s="49" t="inlineStr">
        <is>
          <t>M2IForest</t>
        </is>
      </c>
      <c r="C11" s="49" t="inlineStr">
        <is>
          <t>iforest.py</t>
        </is>
      </c>
      <c r="D11" s="49" t="inlineStr">
        <is>
          <t>IsolationForest 5-fitur (V,I,V_dev,I_dev,R)</t>
        </is>
      </c>
      <c r="E11" s="49" t="inlineStr">
        <is>
          <t>iforest_anomaly</t>
        </is>
      </c>
      <c r="F11" s="49" t="inlineStr">
        <is>
          <t>kuartil rank flagged: CRIT/HIGH/MED/INFO</t>
        </is>
      </c>
      <c r="G11" s="49" t="inlineStr">
        <is>
          <t>IF_Anomaly</t>
        </is>
      </c>
      <c r="H11" s="52" t="inlineStr">
        <is>
          <t>APPROKSIMASI</t>
        </is>
      </c>
    </row>
    <row r="12">
      <c r="A12" s="49" t="n">
        <v>7</v>
      </c>
      <c r="B12" s="49" t="inlineStr">
        <is>
          <t>M2aLowIrradiance</t>
        </is>
      </c>
      <c r="C12" s="49" t="inlineStr">
        <is>
          <t>m2a/low_irradiance.py</t>
        </is>
      </c>
      <c r="D12" s="49" t="inlineStr">
        <is>
          <t>OLS slope PR_proxy vs POA (band low/mid)</t>
        </is>
      </c>
      <c r="E12" s="49" t="inlineStr">
        <is>
          <t>low_irradiance / general_underperform</t>
        </is>
      </c>
      <c r="F12" s="49" t="inlineStr">
        <is>
          <t>|slope_low|·r² → CRIT/HIGH/MED</t>
        </is>
      </c>
      <c r="G12" s="49" t="inlineStr">
        <is>
          <t>M2a_LowIrradiance</t>
        </is>
      </c>
      <c r="H12" s="50" t="inlineStr">
        <is>
          <t>PENUH</t>
        </is>
      </c>
    </row>
    <row r="13">
      <c r="A13" s="49" t="n">
        <v>8</v>
      </c>
      <c r="B13" s="49" t="inlineStr">
        <is>
          <t>M2aShading</t>
        </is>
      </c>
      <c r="C13" s="49" t="inlineStr">
        <is>
          <t>m2a/shading.py</t>
        </is>
      </c>
      <c r="D13" s="49" t="inlineStr">
        <is>
          <t>CV antar-string per jam + PR + asimetri AM/PM</t>
        </is>
      </c>
      <c r="E13" s="49" t="inlineStr">
        <is>
          <t>shading_morning/afternoon/uniform</t>
        </is>
      </c>
      <c r="F13" s="49" t="inlineStr">
        <is>
          <t>0.7·frac + 0.3·asym → CRIT/HIGH/MED</t>
        </is>
      </c>
      <c r="G13" s="49" t="inlineStr">
        <is>
          <t>M2a_Shading</t>
        </is>
      </c>
      <c r="H13" s="50" t="inlineStr">
        <is>
          <t>PENUH</t>
        </is>
      </c>
    </row>
    <row r="14">
      <c r="A14" s="49" t="n">
        <v>9</v>
      </c>
      <c r="B14" s="49" t="inlineStr">
        <is>
          <t>M2aSoiling</t>
        </is>
      </c>
      <c r="C14" s="49" t="inlineStr">
        <is>
          <t>m2a/soiling.py (skeleton)</t>
        </is>
      </c>
      <c r="D14" s="49" t="inlineStr">
        <is>
          <t>rdtools SRR (Monte-Carlo) → ekonomi payback</t>
        </is>
      </c>
      <c r="E14" s="49" t="inlineStr">
        <is>
          <t>soiling_detected / cleaning_recommended / insufficient_data</t>
        </is>
      </c>
      <c r="F14" s="49" t="inlineStr">
        <is>
          <t>(p_loss,payback) → CRIT/HIGH/MED/INFO</t>
        </is>
      </c>
      <c r="G14" s="49" t="inlineStr">
        <is>
          <t>SO_Economics</t>
        </is>
      </c>
      <c r="H14" s="53" t="inlineStr">
        <is>
          <t>HILIR PENUH</t>
        </is>
      </c>
    </row>
    <row r="15">
      <c r="A15" s="49" t="n">
        <v>10</v>
      </c>
      <c r="B15" s="49" t="inlineStr">
        <is>
          <t>M2bIntermittent (LSTM-AE)</t>
        </is>
      </c>
      <c r="C15" s="49" t="inlineStr">
        <is>
          <t>lstm_ae.py (skeleton, enabled=False)</t>
        </is>
      </c>
      <c r="D15" s="49" t="inlineStr">
        <is>
          <t>LSTM Autoencoder; reconstruction error window 24-jam (96×15-min)</t>
        </is>
      </c>
      <c r="E15" s="49" t="inlineStr">
        <is>
          <t>intermittent</t>
        </is>
      </c>
      <c r="F15" s="49" t="inlineStr">
        <is>
          <t>MEDIUM (conf 70)</t>
        </is>
      </c>
      <c r="G15" s="49" t="inlineStr">
        <is>
          <t>(tak ada — input-only)</t>
        </is>
      </c>
      <c r="H15" s="59" t="inlineStr">
        <is>
          <t>INPUT-ONLY</t>
        </is>
      </c>
    </row>
    <row r="17">
      <c r="A17" s="48" t="inlineStr">
        <is>
          <t>Legenda Status Excel</t>
        </is>
      </c>
    </row>
    <row r="18">
      <c r="A18" s="54" t="inlineStr">
        <is>
          <t>PENUH</t>
        </is>
      </c>
      <c r="B18" s="49" t="inlineStr">
        <is>
          <t>Direproduksi eksak sebagai formula live (verified vs source, selisih ~0).</t>
        </is>
      </c>
    </row>
    <row r="19">
      <c r="A19" s="55" t="inlineStr">
        <is>
          <t>PENUH*</t>
        </is>
      </c>
      <c r="B19" s="49" t="inlineStr">
        <is>
          <t>Per-inverter math live &amp; eksak; SATU input representatif: fleet V_gnd median/std (ground_fault).</t>
        </is>
      </c>
    </row>
    <row r="20">
      <c r="A20" s="56" t="inlineStr">
        <is>
          <t>HILIR PENUH</t>
        </is>
      </c>
      <c r="B20" s="49" t="inlineStr">
        <is>
          <t>Semua hilir live &amp; eksak; satu nilai = INPUT black-box: soiling_ratio dari SRR Monte-Carlo.</t>
        </is>
      </c>
    </row>
    <row r="21">
      <c r="A21" s="57" t="inlineStr">
        <is>
          <t>APPROKSIMASI</t>
        </is>
      </c>
      <c r="B21" s="49" t="inlineStr">
        <is>
          <t>Struktur faithful tapi SKOR proxy (MAD), BUKAN skor IsolationForest asli — menandai sampel berbeda.</t>
        </is>
      </c>
    </row>
    <row r="22">
      <c r="A22" s="60" t="inlineStr">
        <is>
          <t>INPUT-ONLY</t>
        </is>
      </c>
      <c r="B22" s="49" t="inlineStr">
        <is>
          <t>Jaringan PyTorch terlatih = black box; TAK ADA sheet &amp; tak ada lapisan hilir bermakna (LSTM-AE). Lihat M2_RE_10.</t>
        </is>
      </c>
    </row>
    <row r="24">
      <c r="A24" s="48" t="inlineStr">
        <is>
          <t>2. Inventaris Sheet &amp; Dokumen (per iterasi)</t>
        </is>
      </c>
    </row>
    <row r="25">
      <c r="A25" s="10" t="inlineStr">
        <is>
          <t>Iterasi</t>
        </is>
      </c>
      <c r="B25" s="10" t="inlineStr">
        <is>
          <t>Detector</t>
        </is>
      </c>
      <c r="C25" s="10" t="inlineStr">
        <is>
          <t>Dokumen RE</t>
        </is>
      </c>
      <c r="D25" s="10" t="inlineStr">
        <is>
          <t>Sheet</t>
        </is>
      </c>
    </row>
    <row r="26">
      <c r="A26" s="49" t="inlineStr">
        <is>
          <t>—</t>
        </is>
      </c>
      <c r="B26" s="49" t="inlineStr">
        <is>
          <t>Inti (shared)</t>
        </is>
      </c>
      <c r="C26" s="49" t="inlineStr">
        <is>
          <t>—</t>
        </is>
      </c>
      <c r="D26" s="49" t="inlineStr">
        <is>
          <t>README, Config</t>
        </is>
      </c>
    </row>
    <row r="27">
      <c r="A27" s="49" t="inlineStr">
        <is>
          <t>2</t>
        </is>
      </c>
      <c r="B27" s="49" t="inlineStr">
        <is>
          <t>M2eAvailability</t>
        </is>
      </c>
      <c r="C27" s="49" t="inlineStr">
        <is>
          <t>(Iterasi 2)</t>
        </is>
      </c>
      <c r="D27" s="49" t="inlineStr">
        <is>
          <t>Raw_Data, EmptyPVMap, Helpers_M2e, M2e_Availability, M2e_AllStrings, Findings_Summary</t>
        </is>
      </c>
    </row>
    <row r="28">
      <c r="A28" s="49" t="inlineStr">
        <is>
          <t>3</t>
        </is>
      </c>
      <c r="B28" s="49" t="inlineStr">
        <is>
          <t>M2bPeerZScore</t>
        </is>
      </c>
      <c r="C28" s="49" t="inlineStr">
        <is>
          <t>M2_RE_03</t>
        </is>
      </c>
      <c r="D28" s="49" t="inlineStr">
        <is>
          <t>PanelSpec, Raw_Data_M2b, Meteo_Dummy, Helpers_M2b, M2b_PeerZScore, M2b_StringStatus, M2b_StatComparison, Hampel_Preprocessing</t>
        </is>
      </c>
    </row>
    <row r="29">
      <c r="A29" s="49" t="inlineStr">
        <is>
          <t>4</t>
        </is>
      </c>
      <c r="B29" s="49" t="inlineStr">
        <is>
          <t>M2bOpenCircuit</t>
        </is>
      </c>
      <c r="C29" s="49" t="inlineStr">
        <is>
          <t>M2_RE_04</t>
        </is>
      </c>
      <c r="D29" s="49" t="inlineStr">
        <is>
          <t>Raw_Data_OC, Helpers_OC, M2b_OpenCircuit, M2b_OC_StringStatus</t>
        </is>
      </c>
    </row>
    <row r="30">
      <c r="A30" s="49" t="inlineStr">
        <is>
          <t>5</t>
        </is>
      </c>
      <c r="B30" s="49" t="inlineStr">
        <is>
          <t>M2bGroundFault</t>
        </is>
      </c>
      <c r="C30" s="49" t="inlineStr">
        <is>
          <t>M2_RE_05</t>
        </is>
      </c>
      <c r="D30" s="49" t="inlineStr">
        <is>
          <t>Raw_Data_GF, Helpers_GF, GF_StringMetrics, M2c_GroundFault, M2c_GF_StringStatus</t>
        </is>
      </c>
    </row>
    <row r="31">
      <c r="A31" s="49" t="inlineStr">
        <is>
          <t>6</t>
        </is>
      </c>
      <c r="B31" s="49" t="inlineStr">
        <is>
          <t>M2IForest</t>
        </is>
      </c>
      <c r="C31" s="49" t="inlineStr">
        <is>
          <t>M2_RE_06</t>
        </is>
      </c>
      <c r="D31" s="49" t="inlineStr">
        <is>
          <t>Raw_Data_IF, Features_IF, IF_Anomaly, IF_Summary</t>
        </is>
      </c>
    </row>
    <row r="32">
      <c r="A32" s="49" t="inlineStr">
        <is>
          <t>7</t>
        </is>
      </c>
      <c r="B32" s="49" t="inlineStr">
        <is>
          <t>M2aLowIrradiance</t>
        </is>
      </c>
      <c r="C32" s="49" t="inlineStr">
        <is>
          <t>M2_RE_07</t>
        </is>
      </c>
      <c r="D32" s="49" t="inlineStr">
        <is>
          <t>Raw_Data_LI, Helpers_LI, M2a_LowIrradiance, LI_Summary</t>
        </is>
      </c>
    </row>
    <row r="33">
      <c r="A33" s="49" t="inlineStr">
        <is>
          <t>8</t>
        </is>
      </c>
      <c r="B33" s="49" t="inlineStr">
        <is>
          <t>M2aShading</t>
        </is>
      </c>
      <c r="C33" s="49" t="inlineStr">
        <is>
          <t>M2_RE_08</t>
        </is>
      </c>
      <c r="D33" s="49" t="inlineStr">
        <is>
          <t>Raw_Data_SH, Helpers_SH, SH_Hourly, M2a_Shading</t>
        </is>
      </c>
    </row>
    <row r="34">
      <c r="A34" s="49" t="inlineStr">
        <is>
          <t>9</t>
        </is>
      </c>
      <c r="B34" s="49" t="inlineStr">
        <is>
          <t>M2aSoiling</t>
        </is>
      </c>
      <c r="C34" s="49" t="inlineStr">
        <is>
          <t>M2_RE_09</t>
        </is>
      </c>
      <c r="D34" s="49" t="inlineStr">
        <is>
          <t>Raw_Data_SO, Helpers_SO, SO_Economics, SO_Summary</t>
        </is>
      </c>
    </row>
    <row r="35">
      <c r="A35" s="49" t="inlineStr">
        <is>
          <t>10</t>
        </is>
      </c>
      <c r="B35" s="49" t="inlineStr">
        <is>
          <t>M2bIntermittent (LSTM-AE)</t>
        </is>
      </c>
      <c r="C35" s="49" t="inlineStr">
        <is>
          <t>M2_RE_10</t>
        </is>
      </c>
      <c r="D35" s="49" t="inlineStr">
        <is>
          <t>(tak ada sheet — input-only; jaringan PyTorch terlatih)</t>
        </is>
      </c>
    </row>
    <row r="36">
      <c r="A36" s="49" t="inlineStr">
        <is>
          <t>11</t>
        </is>
      </c>
      <c r="B36" s="49" t="inlineStr">
        <is>
          <t>M2bMpptRatio</t>
        </is>
      </c>
      <c r="C36" s="49" t="inlineStr">
        <is>
          <t>M2_RE_11</t>
        </is>
      </c>
      <c r="D36" s="49" t="inlineStr">
        <is>
          <t>Raw_Data_MR, Helpers_MR, M2b_MpptRatio, M2b_MR_StringStatus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M2 PV Performance — Workbook Excel</t>
        </is>
      </c>
    </row>
    <row r="2">
      <c r="A2" s="2" t="inlineStr">
        <is>
          <t>Reverse engineering dari pv_pipeline/ (notebook 20260514stringmap_v1.5.ipynb)</t>
        </is>
      </c>
    </row>
    <row r="4">
      <c r="A4" s="3" t="inlineStr">
        <is>
          <t>Iterasi log</t>
        </is>
      </c>
    </row>
    <row r="5">
      <c r="A5" s="4" t="inlineStr">
        <is>
          <t>Iterasi</t>
        </is>
      </c>
      <c r="B5" s="4" t="inlineStr">
        <is>
          <t>Tanggal</t>
        </is>
      </c>
      <c r="C5" s="4" t="inlineStr">
        <is>
          <t>Detector</t>
        </is>
      </c>
      <c r="D5" s="4" t="inlineStr">
        <is>
          <t>Sheet yang ditambah</t>
        </is>
      </c>
    </row>
    <row r="6">
      <c r="A6" s="5" t="inlineStr">
        <is>
          <t>1 (Phase 1)</t>
        </is>
      </c>
      <c r="B6" s="5" t="inlineStr">
        <is>
          <t>2026-05-28</t>
        </is>
      </c>
      <c r="C6" s="5" t="inlineStr">
        <is>
          <t>—</t>
        </is>
      </c>
      <c r="D6" s="5" t="inlineStr">
        <is>
          <t>Hanya dokumen overview (.docx + .md). Belum ada Excel.</t>
        </is>
      </c>
    </row>
    <row r="7">
      <c r="A7" s="5" t="inlineStr">
        <is>
          <t>2</t>
        </is>
      </c>
      <c r="B7" s="5" t="inlineStr">
        <is>
          <t>2026-05-28</t>
        </is>
      </c>
      <c r="C7" s="5" t="inlineStr">
        <is>
          <t>M2eAvailability</t>
        </is>
      </c>
      <c r="D7" s="5" t="inlineStr">
        <is>
          <t>README, Config, Raw_Data, EmptyPVMap, Helpers_M2e, M2e_Availability, M2e_AllStrings, Findings_Summary</t>
        </is>
      </c>
    </row>
    <row r="8">
      <c r="A8" s="5" t="inlineStr">
        <is>
          <t>3</t>
        </is>
      </c>
      <c r="B8" s="5" t="inlineStr">
        <is>
          <t>2026-05-28</t>
        </is>
      </c>
      <c r="C8" s="5" t="inlineStr">
        <is>
          <t>M2bPeerZScore</t>
        </is>
      </c>
      <c r="D8" s="5" t="inlineStr">
        <is>
          <t>Meteo_Dummy, PanelSpec, Raw_Data_M2b, Helpers_M2b, M2b_PeerZScore, M2b_StringStatus, Hampel_Preprocessing, M2b_StatComparison</t>
        </is>
      </c>
    </row>
    <row r="9">
      <c r="A9" s="5" t="inlineStr">
        <is>
          <t>4</t>
        </is>
      </c>
      <c r="B9" s="5" t="inlineStr">
        <is>
          <t>2026-05-29</t>
        </is>
      </c>
      <c r="C9" s="5" t="inlineStr">
        <is>
          <t>M2bOpenCircuit</t>
        </is>
      </c>
      <c r="D9" s="5" t="inlineStr">
        <is>
          <t>Raw_Data_OC, Helpers_OC, M2b_OpenCircuit, M2b_OC_StringStatus</t>
        </is>
      </c>
    </row>
    <row r="10">
      <c r="A10" s="29" t="inlineStr">
        <is>
          <t>5</t>
        </is>
      </c>
      <c r="B10" s="5" t="inlineStr">
        <is>
          <t>2026-05-30</t>
        </is>
      </c>
      <c r="C10" s="5" t="inlineStr">
        <is>
          <t>M2bGroundFault</t>
        </is>
      </c>
      <c r="D10" s="5" t="inlineStr">
        <is>
          <t>Raw_Data_GF, Helpers_GF, GF_StringMetrics, M2c_GroundFault, M2c_GF_StringStatus</t>
        </is>
      </c>
    </row>
    <row r="11" ht="30" customHeight="1">
      <c r="A11" s="29" t="inlineStr">
        <is>
          <t>6</t>
        </is>
      </c>
      <c r="B11" s="5" t="inlineStr">
        <is>
          <t>2026-05-30</t>
        </is>
      </c>
      <c r="C11" s="5" t="inlineStr">
        <is>
          <t>M2IForest (approx)</t>
        </is>
      </c>
      <c r="D11" s="5" t="inlineStr">
        <is>
          <t>Raw_Data_IF, Features_IF, IF_Anomaly, IF_Summary  [APPROKSIMASI MAD — bukan true iForest]</t>
        </is>
      </c>
    </row>
    <row r="12" ht="30" customHeight="1">
      <c r="A12" s="29" t="inlineStr">
        <is>
          <t>7</t>
        </is>
      </c>
      <c r="B12" s="5" t="inlineStr">
        <is>
          <t>2026-05-30</t>
        </is>
      </c>
      <c r="C12" s="5" t="inlineStr">
        <is>
          <t>M2aLowIrradiance</t>
        </is>
      </c>
      <c r="D12" s="5" t="inlineStr">
        <is>
          <t>Raw_Data_LI, Helpers_LI, M2a_LowIrradiance, LI_Summary</t>
        </is>
      </c>
    </row>
    <row r="13" ht="30" customHeight="1">
      <c r="A13" s="29" t="inlineStr">
        <is>
          <t>8</t>
        </is>
      </c>
      <c r="B13" s="5" t="inlineStr">
        <is>
          <t>2026-05-30</t>
        </is>
      </c>
      <c r="C13" s="5" t="inlineStr">
        <is>
          <t>M2aShading</t>
        </is>
      </c>
      <c r="D13" s="5" t="inlineStr">
        <is>
          <t>Raw_Data_SH, Helpers_SH, SH_Hourly, M2a_Shading</t>
        </is>
      </c>
    </row>
    <row r="14" ht="30" customHeight="1">
      <c r="A14" s="29" t="inlineStr">
        <is>
          <t>9</t>
        </is>
      </c>
      <c r="B14" s="5" t="inlineStr">
        <is>
          <t>2026-05-30</t>
        </is>
      </c>
      <c r="C14" s="5" t="inlineStr">
        <is>
          <t>M2aSoiling (skeleton)</t>
        </is>
      </c>
      <c r="D14" s="5" t="inlineStr">
        <is>
          <t>Raw_Data_SO, Helpers_SO, SO_Economics, SO_Summary  [SRR=input, ekonomi=live]</t>
        </is>
      </c>
    </row>
    <row r="15" ht="30" customHeight="1">
      <c r="A15" s="29" t="inlineStr">
        <is>
          <t>11</t>
        </is>
      </c>
      <c r="B15" s="5" t="inlineStr">
        <is>
          <t>2026-06-13</t>
        </is>
      </c>
      <c r="C15" s="5" t="inlineStr">
        <is>
          <t>M2bMpptRatio</t>
        </is>
      </c>
      <c r="D15" s="5" t="inlineStr">
        <is>
          <t>Raw_Data_MR, Helpers_MR, M2b_MpptRatio, M2b_MR_StringStatus</t>
        </is>
      </c>
    </row>
    <row r="16" ht="30" customHeight="1">
      <c r="A16" s="24" t="inlineStr">
        <is>
          <t>Cara membaca</t>
        </is>
      </c>
    </row>
    <row r="17">
      <c r="A17" s="30" t="inlineStr">
        <is>
          <t>• Sheet 'Config' adalah single source of truth untuk semua threshold. Edit di sini → seluruh workbook recalc.</t>
        </is>
      </c>
    </row>
    <row r="18">
      <c r="A18" s="30" t="inlineStr">
        <is>
          <t>• Sheet 'Raw_Data' berisi data dummy realistis. Ganti dengan data aktual mu (paste over) untuk pakai workbook ini di lapangan.</t>
        </is>
      </c>
    </row>
    <row r="19">
      <c r="A19" s="30" t="inlineStr">
        <is>
          <t>• Sheet 'Helpers_M2e' adalah JEMBATAN antara Raw_Data dan M2e_Availability. Tiap kolom punya formula yang ekuivalen dengan satu langkah di pv_pipeline/availability.py.</t>
        </is>
      </c>
    </row>
    <row r="20">
      <c r="A20" s="30" t="inlineStr">
        <is>
          <t>• Sheet 'M2e_Availability' menampilkan hasil akhir per inverter &amp; per string + severity. Sheet 'M2e_AllStrings' mereplika output sheet xlsx Python.</t>
        </is>
      </c>
    </row>
    <row r="21">
      <c r="A21" s="30" t="inlineStr">
        <is>
          <t>• Severity dihitung via IFS() dari uptime_pct ke threshold di Config.</t>
        </is>
      </c>
    </row>
    <row r="22">
      <c r="A22" s="30" t="inlineStr">
        <is>
          <t>• Workbook ini akan TUMBUH per iterasi — sheet baru ditambah tanpa mengubah yang lama.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14" customWidth="1" min="3" max="3"/>
    <col width="60" customWidth="1" min="4" max="4"/>
  </cols>
  <sheetData>
    <row r="1">
      <c r="A1" s="7" t="inlineStr">
        <is>
          <t>M2 Configuration (mirror config/m2_config.yaml)</t>
        </is>
      </c>
    </row>
    <row r="3">
      <c r="A3" s="8" t="inlineStr">
        <is>
          <t>Section</t>
        </is>
      </c>
      <c r="B3" s="8" t="inlineStr">
        <is>
          <t>Key</t>
        </is>
      </c>
      <c r="C3" s="8" t="inlineStr">
        <is>
          <t>Value</t>
        </is>
      </c>
      <c r="D3" s="8" t="inlineStr">
        <is>
          <t>Unit / Notes</t>
        </is>
      </c>
    </row>
    <row r="4">
      <c r="A4" s="5" t="inlineStr">
        <is>
          <t>m2e.severity</t>
        </is>
      </c>
      <c r="B4" s="5" t="inlineStr">
        <is>
          <t>critical_below</t>
        </is>
      </c>
      <c r="C4" s="9" t="n">
        <v>90</v>
      </c>
      <c r="D4" s="5" t="inlineStr">
        <is>
          <t>% uptime; &lt; ini → CRITICAL</t>
        </is>
      </c>
    </row>
    <row r="5">
      <c r="A5" s="5" t="inlineStr">
        <is>
          <t>m2e.severity</t>
        </is>
      </c>
      <c r="B5" s="5" t="inlineStr">
        <is>
          <t>high_below</t>
        </is>
      </c>
      <c r="C5" s="9" t="n">
        <v>95</v>
      </c>
      <c r="D5" s="5" t="inlineStr">
        <is>
          <t>% uptime; &lt; ini → HIGH</t>
        </is>
      </c>
    </row>
    <row r="6">
      <c r="A6" s="5" t="inlineStr">
        <is>
          <t>m2e.severity</t>
        </is>
      </c>
      <c r="B6" s="5" t="inlineStr">
        <is>
          <t>medium_below</t>
        </is>
      </c>
      <c r="C6" s="9" t="n">
        <v>97</v>
      </c>
      <c r="D6" s="5" t="inlineStr">
        <is>
          <t>% uptime; &lt; ini → MEDIUM</t>
        </is>
      </c>
    </row>
    <row r="7">
      <c r="A7" s="5" t="inlineStr">
        <is>
          <t>m2e.severity</t>
        </is>
      </c>
      <c r="B7" s="5" t="inlineStr">
        <is>
          <t>info_below</t>
        </is>
      </c>
      <c r="C7" s="9" t="n">
        <v>99</v>
      </c>
      <c r="D7" s="5" t="inlineStr">
        <is>
          <t>% uptime; &lt; ini → INFO; ≥ ini → NORMAL</t>
        </is>
      </c>
    </row>
    <row r="8">
      <c r="A8" s="5" t="inlineStr">
        <is>
          <t>m2e.severity</t>
        </is>
      </c>
      <c r="B8" s="5" t="inlineStr">
        <is>
          <t>emit_normal</t>
        </is>
      </c>
      <c r="C8" s="9" t="n">
        <v>0</v>
      </c>
      <c r="D8" s="5" t="inlineStr">
        <is>
          <t>1=emit NORMAL findings, 0=skip</t>
        </is>
      </c>
    </row>
    <row r="9">
      <c r="A9" s="5" t="inlineStr">
        <is>
          <t>m2e.string_proxy</t>
        </is>
      </c>
      <c r="B9" s="5" t="inlineStr">
        <is>
          <t>pstr_zero_threshold_kw</t>
        </is>
      </c>
      <c r="C9" s="9" t="n">
        <v>0.1</v>
      </c>
      <c r="D9" s="5" t="inlineStr">
        <is>
          <t>kW; PV power &lt; ini → string dianggap mati</t>
        </is>
      </c>
    </row>
    <row r="10">
      <c r="A10" s="5" t="inlineStr">
        <is>
          <t>m2e.string_proxy</t>
        </is>
      </c>
      <c r="B10" s="5" t="inlineStr">
        <is>
          <t>sibling_median_active_kw</t>
        </is>
      </c>
      <c r="C10" s="9" t="n">
        <v>1</v>
      </c>
      <c r="D10" s="5" t="inlineStr">
        <is>
          <t>kW; median sibling &gt;= ini → timestamp 'produktif'</t>
        </is>
      </c>
    </row>
    <row r="11">
      <c r="A11" s="5" t="inlineStr">
        <is>
          <t>m2e.string_proxy</t>
        </is>
      </c>
      <c r="B11" s="5" t="inlineStr">
        <is>
          <t>min_active_siblings_pct</t>
        </is>
      </c>
      <c r="C11" s="9" t="n">
        <v>50</v>
      </c>
      <c r="D11" s="5" t="inlineStr">
        <is>
          <t>%; minimum % sibling aktif → 'qualified' timestamp</t>
        </is>
      </c>
    </row>
    <row r="12">
      <c r="A12" s="5" t="inlineStr">
        <is>
          <t>m2e.string_proxy</t>
        </is>
      </c>
      <c r="B12" s="5" t="inlineStr">
        <is>
          <t>debounce_consecutive_steps</t>
        </is>
      </c>
      <c r="C12" s="9" t="n">
        <v>2</v>
      </c>
      <c r="D12" s="5" t="inlineStr">
        <is>
          <t>step; run candidate &gt;= ini → genuine event. DUMMY=2 (original spec). PRODUKSI IKN=20 (~1h40m persist).</t>
        </is>
      </c>
    </row>
    <row r="13">
      <c r="A13" s="5" t="inlineStr">
        <is>
          <t>system</t>
        </is>
      </c>
      <c r="B13" s="5" t="inlineStr">
        <is>
          <t>interval_minutes</t>
        </is>
      </c>
      <c r="C13" s="9" t="n">
        <v>5</v>
      </c>
      <c r="D13" s="5" t="inlineStr">
        <is>
          <t>menit; median selisih Start Time (auto-detected, override saat dummy)</t>
        </is>
      </c>
    </row>
    <row r="14">
      <c r="A14" s="5" t="inlineStr">
        <is>
          <t>system</t>
        </is>
      </c>
      <c r="B14" s="5" t="inlineStr">
        <is>
          <t>pv_max</t>
        </is>
      </c>
      <c r="C14" s="9" t="n">
        <v>28</v>
      </c>
      <c r="D14" s="5" t="inlineStr">
        <is>
          <t>PV string per inverter (hardcoded Huawei cap)</t>
        </is>
      </c>
    </row>
    <row r="15">
      <c r="A15" s="5" t="inlineStr">
        <is>
          <t>system</t>
        </is>
      </c>
      <c r="B15" s="5" t="inlineStr">
        <is>
          <t>n_pv_total_in_workbook</t>
        </is>
      </c>
      <c r="C15" s="9" t="n">
        <v>5</v>
      </c>
      <c r="D15" s="5" t="inlineStr">
        <is>
          <t>PV string yang ada di sheet ini (PV1..PV5)</t>
        </is>
      </c>
    </row>
    <row r="16">
      <c r="A16" s="5" t="inlineStr">
        <is>
          <t>m2b</t>
        </is>
      </c>
      <c r="B16" s="5" t="inlineStr">
        <is>
          <t>poa_threshold_wm2</t>
        </is>
      </c>
      <c r="C16" s="9" t="n">
        <v>300</v>
      </c>
      <c r="D16" s="5" t="inlineStr">
        <is>
          <t>W/m²; |z| Z-score hanya hitung saat POA &gt; ini (spec 4.2.1)</t>
        </is>
      </c>
    </row>
    <row r="17">
      <c r="A17" s="5" t="inlineStr">
        <is>
          <t>m2b</t>
        </is>
      </c>
      <c r="B17" s="5" t="inlineStr">
        <is>
          <t>poa_floor_wm2</t>
        </is>
      </c>
      <c r="C17" s="9" t="n">
        <v>50</v>
      </c>
      <c r="D17" s="5" t="inlineStr">
        <is>
          <t>W/m²; sunset fix — POA harus &gt; ini (sensor lag protection)</t>
        </is>
      </c>
    </row>
    <row r="18">
      <c r="A18" s="5" t="inlineStr">
        <is>
          <t>m2b</t>
        </is>
      </c>
      <c r="B18" s="5" t="inlineStr">
        <is>
          <t>z_threshold</t>
        </is>
      </c>
      <c r="C18" s="9" t="n">
        <v>2.5</v>
      </c>
      <c r="D18" s="5" t="inlineStr">
        <is>
          <t>|z| &gt; ini → flag suspect (spec 4.2.1)</t>
        </is>
      </c>
    </row>
    <row r="19">
      <c r="A19" s="5" t="inlineStr">
        <is>
          <t>m2b</t>
        </is>
      </c>
      <c r="B19" s="5" t="inlineStr">
        <is>
          <t>z_high_threshold</t>
        </is>
      </c>
      <c r="C19" s="9" t="n">
        <v>3.5</v>
      </c>
      <c r="D19" s="5" t="inlineStr">
        <is>
          <t>|z| &gt; ini → severity HIGH; else MEDIUM</t>
        </is>
      </c>
    </row>
    <row r="20">
      <c r="A20" s="5" t="inlineStr">
        <is>
          <t>m2b</t>
        </is>
      </c>
      <c r="B20" s="5" t="inlineStr">
        <is>
          <t>voc_ratio_threshold</t>
        </is>
      </c>
      <c r="C20" s="9" t="n">
        <v>0.95</v>
      </c>
      <c r="D20" s="5" t="inlineStr">
        <is>
          <t>voc_actual/voc_string_nominal &gt; ini → confirm high_R (spec 4.2.3)</t>
        </is>
      </c>
    </row>
    <row r="21">
      <c r="A21" s="5" t="inlineStr">
        <is>
          <t>m2b</t>
        </is>
      </c>
      <c r="B21" s="5" t="inlineStr">
        <is>
          <t>stat_method</t>
        </is>
      </c>
      <c r="C21" s="9" t="inlineStr">
        <is>
          <t>median</t>
        </is>
      </c>
      <c r="D21" s="5" t="inlineStr">
        <is>
          <t>mean | median | both (z_primary picker)</t>
        </is>
      </c>
    </row>
    <row r="22">
      <c r="A22" s="5" t="inlineStr">
        <is>
          <t>m2b</t>
        </is>
      </c>
      <c r="B22" s="5" t="inlineStr">
        <is>
          <t>min_peer_strings</t>
        </is>
      </c>
      <c r="C22" s="9" t="n">
        <v>3</v>
      </c>
      <c r="D22" s="5" t="inlineStr">
        <is>
          <t>min sibling per inverter untuk valid peer comparison</t>
        </is>
      </c>
    </row>
    <row r="23">
      <c r="A23" s="5" t="inlineStr">
        <is>
          <t>m2b</t>
        </is>
      </c>
      <c r="B23" s="5" t="inlineStr">
        <is>
          <t>min_daylight_samples</t>
        </is>
      </c>
      <c r="C23" s="9" t="n">
        <v>10</v>
      </c>
      <c r="D23" s="5" t="inlineStr">
        <is>
          <t>min samples lulus POA gate per inverter</t>
        </is>
      </c>
    </row>
    <row r="24">
      <c r="A24" s="5" t="inlineStr">
        <is>
          <t>m2b</t>
        </is>
      </c>
      <c r="B24" s="5" t="inlineStr">
        <is>
          <t>i_clip_floor_a</t>
        </is>
      </c>
      <c r="C24" s="9" t="n">
        <v>0.1</v>
      </c>
      <c r="D24" s="5" t="inlineStr">
        <is>
          <t>clip(lower=0.1A) untuk hindari divide-by-zero saat R=V/I</t>
        </is>
      </c>
    </row>
    <row r="25">
      <c r="A25" s="5" t="inlineStr">
        <is>
          <t>voc_estimator</t>
        </is>
      </c>
      <c r="B25" s="5" t="inlineStr">
        <is>
          <t>i_threshold_a</t>
        </is>
      </c>
      <c r="C25" s="9" t="n">
        <v>0.5</v>
      </c>
      <c r="D25" s="5" t="inlineStr">
        <is>
          <t>I &lt; ini → dianggap open-circuit (sunrise/sunset)</t>
        </is>
      </c>
    </row>
    <row r="26">
      <c r="A26" s="5" t="inlineStr">
        <is>
          <t>voc_estimator</t>
        </is>
      </c>
      <c r="B26" s="5" t="inlineStr">
        <is>
          <t>min_voc_v</t>
        </is>
      </c>
      <c r="C26" s="9" t="n">
        <v>10</v>
      </c>
      <c r="D26" s="5" t="inlineStr">
        <is>
          <t>V &gt; ini → buang zero-reading sample</t>
        </is>
      </c>
    </row>
    <row r="27">
      <c r="A27" s="5" t="inlineStr">
        <is>
          <t>voc_estimator</t>
        </is>
      </c>
      <c r="B27" s="5" t="inlineStr">
        <is>
          <t>min_samples</t>
        </is>
      </c>
      <c r="C27" s="9" t="n">
        <v>3</v>
      </c>
      <c r="D27" s="5" t="inlineStr">
        <is>
          <t>minimum samples valid untuk median voc</t>
        </is>
      </c>
    </row>
    <row r="28">
      <c r="A28" s="5" t="inlineStr">
        <is>
          <t>preprocessing</t>
        </is>
      </c>
      <c r="B28" s="5" t="inlineStr">
        <is>
          <t>hampel_window</t>
        </is>
      </c>
      <c r="C28" s="9" t="n">
        <v>15</v>
      </c>
      <c r="D28" s="5" t="inlineStr">
        <is>
          <t>samples; rolling window (75 menit @ 5-min)</t>
        </is>
      </c>
    </row>
    <row r="29">
      <c r="A29" s="5" t="inlineStr">
        <is>
          <t>preprocessing</t>
        </is>
      </c>
      <c r="B29" s="5" t="inlineStr">
        <is>
          <t>hampel_max_deviation</t>
        </is>
      </c>
      <c r="C29" s="9" t="n">
        <v>3</v>
      </c>
      <c r="D29" s="5" t="inlineStr">
        <is>
          <t>MAD-sigma; |x - median| / MAD &gt; ini → outlier</t>
        </is>
      </c>
    </row>
    <row r="30">
      <c r="A30" s="5" t="inlineStr">
        <is>
          <t>preprocessing</t>
        </is>
      </c>
      <c r="B30" s="5" t="inlineStr">
        <is>
          <t>enabled</t>
        </is>
      </c>
      <c r="C30" s="9" t="n">
        <v>0</v>
      </c>
      <c r="D30" s="5" t="inlineStr">
        <is>
          <t>1=apply Hampel cleaning, 0=skip (raw V/I)</t>
        </is>
      </c>
    </row>
    <row r="31">
      <c r="A31" s="5" t="inlineStr">
        <is>
          <t>poa</t>
        </is>
      </c>
      <c r="B31" s="5" t="inlineStr">
        <is>
          <t>default_source</t>
        </is>
      </c>
      <c r="C31" s="9" t="inlineStr">
        <is>
          <t>pyranometer_avg</t>
        </is>
      </c>
      <c r="D31" s="5" t="inlineStr">
        <is>
          <t>single source di dummy (production: 5 sources)</t>
        </is>
      </c>
    </row>
    <row r="32">
      <c r="A32" s="5" t="inlineStr">
        <is>
          <t>m2b_open_circuit</t>
        </is>
      </c>
      <c r="B32" s="5" t="inlineStr">
        <is>
          <t>poa_threshold_wm2</t>
        </is>
      </c>
      <c r="C32" s="22" t="n">
        <v>700</v>
      </c>
      <c r="D32" s="5" t="inlineStr">
        <is>
          <t>W/m²; daylight gate utama (config override; spec 4.2.3 tulis 200)</t>
        </is>
      </c>
    </row>
    <row r="33">
      <c r="A33" s="5" t="inlineStr">
        <is>
          <t>m2b_open_circuit</t>
        </is>
      </c>
      <c r="B33" s="5" t="inlineStr">
        <is>
          <t>poa_floor_wm2</t>
        </is>
      </c>
      <c r="C33" s="22" t="n">
        <v>50</v>
      </c>
      <c r="D33" s="5" t="inlineStr">
        <is>
          <t>W/m²; hard floor sunset/twilight (sensor-lag protection)</t>
        </is>
      </c>
    </row>
    <row r="34">
      <c r="A34" s="5" t="inlineStr">
        <is>
          <t>m2b_open_circuit</t>
        </is>
      </c>
      <c r="B34" s="5" t="inlineStr">
        <is>
          <t>i_ratio_threshold</t>
        </is>
      </c>
      <c r="C34" s="22" t="n">
        <v>0.05</v>
      </c>
      <c r="D34" s="5" t="inlineStr">
        <is>
          <t>I_string/I_q95 &lt; ini → qualifying (spec 4.2.3: &lt;5%)</t>
        </is>
      </c>
    </row>
    <row r="35">
      <c r="A35" s="5" t="inlineStr">
        <is>
          <t>m2b_open_circuit</t>
        </is>
      </c>
      <c r="B35" s="5" t="inlineStr">
        <is>
          <t>debounce_consecutive_steps</t>
        </is>
      </c>
      <c r="C35" s="22" t="n">
        <v>20</v>
      </c>
      <c r="D35" s="5" t="inlineStr">
        <is>
          <t>qualifying harus ≥N step konsekutif → genuine event (~100min @5-min)</t>
        </is>
      </c>
    </row>
    <row r="36">
      <c r="A36" s="5" t="inlineStr">
        <is>
          <t>m2b_open_circuit</t>
        </is>
      </c>
      <c r="B36" s="5" t="inlineStr">
        <is>
          <t>confidence_pct</t>
        </is>
      </c>
      <c r="C36" s="22" t="n">
        <v>95</v>
      </c>
      <c r="D36" s="5" t="inlineStr">
        <is>
          <t>confidence finding (spec 4.2.3)</t>
        </is>
      </c>
    </row>
    <row r="37">
      <c r="A37" s="5" t="inlineStr">
        <is>
          <t>m2b_open_circuit</t>
        </is>
      </c>
      <c r="B37" s="5" t="inlineStr">
        <is>
          <t>iq95_clip_floor_a</t>
        </is>
      </c>
      <c r="C37" s="22" t="n">
        <v>0.01</v>
      </c>
      <c r="D37" s="5" t="inlineStr">
        <is>
          <t>clip(lower) I_q95 untuk hindari div-by-zero</t>
        </is>
      </c>
    </row>
    <row r="38">
      <c r="A38" s="5" t="inlineStr">
        <is>
          <t>m2b_ground_fault</t>
        </is>
      </c>
      <c r="B38" s="5" t="inlineStr">
        <is>
          <t>poa_threshold_wm2</t>
        </is>
      </c>
      <c r="C38" s="22" t="n">
        <v>200</v>
      </c>
      <c r="D38" s="5" t="inlineStr">
        <is>
          <t>W/m²; daylight gate (selaras spec 4.2.3 &amp; default kode)</t>
        </is>
      </c>
    </row>
    <row r="39">
      <c r="A39" s="5" t="inlineStr">
        <is>
          <t>m2b_ground_fault</t>
        </is>
      </c>
      <c r="B39" s="5" t="inlineStr">
        <is>
          <t>poa_floor_wm2</t>
        </is>
      </c>
      <c r="C39" s="22" t="n">
        <v>50</v>
      </c>
      <c r="D39" s="5" t="inlineStr">
        <is>
          <t>W/m²; hard floor sunset/twilight</t>
        </is>
      </c>
    </row>
    <row r="40">
      <c r="A40" s="5" t="inlineStr">
        <is>
          <t>m2b_ground_fault</t>
        </is>
      </c>
      <c r="B40" s="5" t="inlineStr">
        <is>
          <t>v_to_ground_abs_threshold_v</t>
        </is>
      </c>
      <c r="C40" s="22" t="n">
        <v>50</v>
      </c>
      <c r="D40" s="5" t="inlineStr">
        <is>
          <t>MAX|V_PV-ground| &gt; ini → trigger 'absolute'</t>
        </is>
      </c>
    </row>
    <row r="41">
      <c r="A41" s="5" t="inlineStr">
        <is>
          <t>m2b_ground_fault</t>
        </is>
      </c>
      <c r="B41" s="5" t="inlineStr">
        <is>
          <t>adaptive_z_threshold</t>
        </is>
      </c>
      <c r="C41" s="22" t="n">
        <v>3</v>
      </c>
      <c r="D41" s="5" t="inlineStr">
        <is>
          <t>|median-fleet|/std &gt; ini → trigger 'adaptive'</t>
        </is>
      </c>
    </row>
    <row r="42">
      <c r="A42" s="5" t="inlineStr">
        <is>
          <t>m2b_ground_fault</t>
        </is>
      </c>
      <c r="B42" s="5" t="inlineStr">
        <is>
          <t>voc_ratio_threshold</t>
        </is>
      </c>
      <c r="C42" s="22" t="n">
        <v>0.85</v>
      </c>
      <c r="D42" s="5" t="inlineStr">
        <is>
          <t>voc_ratio &lt; ini (+i_z&gt;2) → trigger 'spec_4.2.3'</t>
        </is>
      </c>
    </row>
    <row r="43">
      <c r="A43" s="5" t="inlineStr">
        <is>
          <t>m2b_ground_fault</t>
        </is>
      </c>
      <c r="B43" s="5" t="inlineStr">
        <is>
          <t>i_high_z_threshold</t>
        </is>
      </c>
      <c r="C43" s="22" t="n">
        <v>2</v>
      </c>
      <c r="D43" s="5" t="inlineStr">
        <is>
          <t>peer I z-score &gt; ini → arus abnormal tinggi (spec)</t>
        </is>
      </c>
    </row>
    <row r="44">
      <c r="A44" s="5" t="inlineStr">
        <is>
          <t>m2b_ground_fault</t>
        </is>
      </c>
      <c r="B44" s="5" t="inlineStr">
        <is>
          <t>fleet_v_gnd_median_v</t>
        </is>
      </c>
      <c r="C44" s="22" t="n">
        <v>0</v>
      </c>
      <c r="D44" s="5" t="inlineStr">
        <is>
          <t>INPUT: median V_gnd fleet (~200 inv IKN); demo tak reproduksi fleet penuh</t>
        </is>
      </c>
    </row>
    <row r="45">
      <c r="A45" s="5" t="inlineStr">
        <is>
          <t>m2b_ground_fault</t>
        </is>
      </c>
      <c r="B45" s="5" t="inlineStr">
        <is>
          <t>fleet_v_gnd_std_v</t>
        </is>
      </c>
      <c r="C45" s="22" t="n">
        <v>8</v>
      </c>
      <c r="D45" s="5" t="inlineStr">
        <is>
          <t>INPUT: std V_gnd fleet; lihat catatan limitasi §5</t>
        </is>
      </c>
    </row>
    <row r="46">
      <c r="A46" s="5" t="inlineStr">
        <is>
          <t>m2_iforest</t>
        </is>
      </c>
      <c r="B46" s="5" t="inlineStr">
        <is>
          <t>contamination_demo</t>
        </is>
      </c>
      <c r="C46" s="22" t="n">
        <v>0.05</v>
      </c>
      <c r="D46" s="5" t="inlineStr">
        <is>
          <t>fraksi anomali demo (default produksi 0.01)</t>
        </is>
      </c>
    </row>
    <row r="47">
      <c r="A47" s="5" t="inlineStr">
        <is>
          <t>m2_iforest</t>
        </is>
      </c>
      <c r="B47" s="5" t="inlineStr">
        <is>
          <t>r_current_floor_a</t>
        </is>
      </c>
      <c r="C47" s="22" t="n">
        <v>0.1</v>
      </c>
      <c r="D47" s="5" t="inlineStr">
        <is>
          <t>R = V / MAX(I, ini)  (proxy resistansi)</t>
        </is>
      </c>
    </row>
    <row r="48">
      <c r="A48" s="5" t="inlineStr">
        <is>
          <t>m2_iforest</t>
        </is>
      </c>
      <c r="B48" s="5" t="inlineStr">
        <is>
          <t>mad_scale</t>
        </is>
      </c>
      <c r="C48" s="22" t="n">
        <v>1.4826</v>
      </c>
      <c r="D48" s="5" t="inlineStr">
        <is>
          <t>MAD → sigma (konsistensi normal): z = |x-med|/(1.4826·MAD)</t>
        </is>
      </c>
    </row>
    <row r="49">
      <c r="A49" s="5" t="inlineStr">
        <is>
          <t>m2_iforest</t>
        </is>
      </c>
      <c r="B49" s="5" t="inlineStr">
        <is>
          <t>real_contamination</t>
        </is>
      </c>
      <c r="C49" s="22" t="n">
        <v>0.01</v>
      </c>
      <c r="D49" s="5" t="inlineStr">
        <is>
          <t>DOKUMENTASI: contamination iForest asli (sklearn)</t>
        </is>
      </c>
    </row>
    <row r="50">
      <c r="A50" s="5" t="inlineStr">
        <is>
          <t>m2_iforest</t>
        </is>
      </c>
      <c r="B50" s="5" t="inlineStr">
        <is>
          <t>real_n_estimators</t>
        </is>
      </c>
      <c r="C50" s="22" t="n">
        <v>100</v>
      </c>
      <c r="D50" s="5" t="inlineStr">
        <is>
          <t>DOKUMENTASI: n_estimators iForest asli</t>
        </is>
      </c>
    </row>
    <row r="51">
      <c r="A51" s="5" t="inlineStr">
        <is>
          <t>m2_iforest</t>
        </is>
      </c>
      <c r="B51" s="5" t="inlineStr">
        <is>
          <t>real_random_state</t>
        </is>
      </c>
      <c r="C51" s="22" t="n">
        <v>42</v>
      </c>
      <c r="D51" s="5" t="inlineStr">
        <is>
          <t>DOKUMENTASI: random_state iForest asli (reproducible)</t>
        </is>
      </c>
    </row>
    <row r="52">
      <c r="A52" s="5" t="inlineStr">
        <is>
          <t>m2a_low_irradiance</t>
        </is>
      </c>
      <c r="B52" s="5" t="inlineStr">
        <is>
          <t>poa_low_min</t>
        </is>
      </c>
      <c r="C52" s="22" t="n">
        <v>50</v>
      </c>
      <c r="D52" s="5" t="inlineStr">
        <is>
          <t>band low POA min (W/m²)</t>
        </is>
      </c>
    </row>
    <row r="53">
      <c r="A53" s="5" t="inlineStr">
        <is>
          <t>m2a_low_irradiance</t>
        </is>
      </c>
      <c r="B53" s="5" t="inlineStr">
        <is>
          <t>poa_low_max</t>
        </is>
      </c>
      <c r="C53" s="22" t="n">
        <v>250</v>
      </c>
      <c r="D53" s="5" t="inlineStr">
        <is>
          <t>band low POA max</t>
        </is>
      </c>
    </row>
    <row r="54">
      <c r="A54" s="5" t="inlineStr">
        <is>
          <t>m2a_low_irradiance</t>
        </is>
      </c>
      <c r="B54" s="5" t="inlineStr">
        <is>
          <t>poa_mid_min</t>
        </is>
      </c>
      <c r="C54" s="22" t="n">
        <v>300</v>
      </c>
      <c r="D54" s="5" t="inlineStr">
        <is>
          <t>band mid POA min (cross-check soiling)</t>
        </is>
      </c>
    </row>
    <row r="55">
      <c r="A55" s="5" t="inlineStr">
        <is>
          <t>m2a_low_irradiance</t>
        </is>
      </c>
      <c r="B55" s="5" t="inlineStr">
        <is>
          <t>poa_mid_max</t>
        </is>
      </c>
      <c r="C55" s="22" t="n">
        <v>800</v>
      </c>
      <c r="D55" s="5" t="inlineStr">
        <is>
          <t>band mid POA max</t>
        </is>
      </c>
    </row>
    <row r="56">
      <c r="A56" s="5" t="inlineStr">
        <is>
          <t>m2a_low_irradiance</t>
        </is>
      </c>
      <c r="B56" s="5" t="inlineStr">
        <is>
          <t>slope_threshold</t>
        </is>
      </c>
      <c r="C56" s="22" t="n">
        <v>0</v>
      </c>
      <c r="D56" s="5" t="inlineStr">
        <is>
          <t>slope_low &lt; ini → flag (default 0 = slope negatif)</t>
        </is>
      </c>
    </row>
    <row r="57">
      <c r="A57" s="5" t="inlineStr">
        <is>
          <t>m2a_low_irradiance</t>
        </is>
      </c>
      <c r="B57" s="5" t="inlineStr">
        <is>
          <t>r_squared_min</t>
        </is>
      </c>
      <c r="C57" s="22" t="n">
        <v>0.3</v>
      </c>
      <c r="D57" s="5" t="inlineStr">
        <is>
          <t>r2_low ≥ ini supaya finding di-emit</t>
        </is>
      </c>
    </row>
    <row r="58">
      <c r="A58" s="5" t="inlineStr">
        <is>
          <t>m2a_low_irradiance</t>
        </is>
      </c>
      <c r="B58" s="5" t="inlineStr">
        <is>
          <t>min_low_samples</t>
        </is>
      </c>
      <c r="C58" s="22" t="n">
        <v>30</v>
      </c>
      <c r="D58" s="5" t="inlineStr">
        <is>
          <t>min sampel band low untuk regresi valid</t>
        </is>
      </c>
    </row>
    <row r="59">
      <c r="A59" s="5" t="inlineStr">
        <is>
          <t>m2a_shading</t>
        </is>
      </c>
      <c r="B59" s="5" t="inlineStr">
        <is>
          <t>poa_threshold_wm2</t>
        </is>
      </c>
      <c r="C59" s="22" t="n">
        <v>100</v>
      </c>
      <c r="D59" s="5" t="inlineStr">
        <is>
          <t>gate daylight (W/m²)</t>
        </is>
      </c>
    </row>
    <row r="60">
      <c r="A60" s="5" t="inlineStr">
        <is>
          <t>m2a_shading</t>
        </is>
      </c>
      <c r="B60" s="5" t="inlineStr">
        <is>
          <t>cv_low_multiplier</t>
        </is>
      </c>
      <c r="C60" s="22" t="n">
        <v>0.5</v>
      </c>
      <c r="D60" s="5" t="inlineStr">
        <is>
          <t>cv_hour &lt; ini·median(cv) → CV rendah (uniform)</t>
        </is>
      </c>
    </row>
    <row r="61">
      <c r="A61" s="5" t="inlineStr">
        <is>
          <t>m2a_shading</t>
        </is>
      </c>
      <c r="B61" s="5" t="inlineStr">
        <is>
          <t>pr_low_multiplier</t>
        </is>
      </c>
      <c r="C61" s="22" t="n">
        <v>0.85</v>
      </c>
      <c r="D61" s="5" t="inlineStr">
        <is>
          <t>pr_hour &lt; ini·median(pr) → underperform</t>
        </is>
      </c>
    </row>
    <row r="62">
      <c r="A62" s="5" t="inlineStr">
        <is>
          <t>m2a_shading</t>
        </is>
      </c>
      <c r="B62" s="5" t="inlineStr">
        <is>
          <t>am_pm_split_hour</t>
        </is>
      </c>
      <c r="C62" s="22" t="n">
        <v>12</v>
      </c>
      <c r="D62" s="5" t="inlineStr">
        <is>
          <t>batas AM/PM untuk asimetri diurnal</t>
        </is>
      </c>
    </row>
    <row r="63">
      <c r="A63" s="5" t="inlineStr">
        <is>
          <t>m2a_shading</t>
        </is>
      </c>
      <c r="B63" s="5" t="inlineStr">
        <is>
          <t>asymmetry_threshold</t>
        </is>
      </c>
      <c r="C63" s="22" t="n">
        <v>0.5</v>
      </c>
      <c r="D63" s="5" t="inlineStr">
        <is>
          <t>asimetri &lt; ini → uniform (soiling/awan), bukan terrain</t>
        </is>
      </c>
    </row>
    <row r="64">
      <c r="A64" s="5" t="inlineStr">
        <is>
          <t>m2a_shading</t>
        </is>
      </c>
      <c r="B64" s="5" t="inlineStr">
        <is>
          <t>min_hours_for_analysis</t>
        </is>
      </c>
      <c r="C64" s="22" t="n">
        <v>4</v>
      </c>
      <c r="D64" s="5" t="inlineStr">
        <is>
          <t>min jam untuk median referensi</t>
        </is>
      </c>
    </row>
    <row r="65">
      <c r="A65" s="5" t="inlineStr">
        <is>
          <t>m2a_shading</t>
        </is>
      </c>
      <c r="B65" s="5" t="inlineStr">
        <is>
          <t>min_samples_per_hour</t>
        </is>
      </c>
      <c r="C65" s="22" t="n">
        <v>5</v>
      </c>
      <c r="D65" s="5" t="inlineStr">
        <is>
          <t>min sampel (PV×ts) per jam</t>
        </is>
      </c>
    </row>
    <row r="66">
      <c r="A66" s="5" t="inlineStr">
        <is>
          <t>m2a_soiling</t>
        </is>
      </c>
      <c r="B66" s="5" t="inlineStr">
        <is>
          <t>min_days</t>
        </is>
      </c>
      <c r="C66" s="22" t="n">
        <v>90</v>
      </c>
      <c r="D66" s="5" t="inlineStr">
        <is>
          <t>min window hari untuk SRR (skeleton gate)</t>
        </is>
      </c>
    </row>
    <row r="67">
      <c r="A67" s="5" t="inlineStr">
        <is>
          <t>m2a_soiling</t>
        </is>
      </c>
      <c r="B67" s="5" t="inlineStr">
        <is>
          <t>capacity_kwp</t>
        </is>
      </c>
      <c r="C67" s="22" t="n">
        <v>71500</v>
      </c>
      <c r="D67" s="5" t="inlineStr">
        <is>
          <t>kapasitas DC site PLTS-IKN (PR denominator)</t>
        </is>
      </c>
    </row>
    <row r="68">
      <c r="A68" s="5" t="inlineStr">
        <is>
          <t>m2a_soiling</t>
        </is>
      </c>
      <c r="B68" s="5" t="inlineStr">
        <is>
          <t>electricity_tariff_idr</t>
        </is>
      </c>
      <c r="C68" s="22" t="n">
        <v>1500</v>
      </c>
      <c r="D68" s="5" t="inlineStr">
        <is>
          <t>tarif PPA (IDR/kWh)</t>
        </is>
      </c>
    </row>
    <row r="69">
      <c r="A69" s="5" t="inlineStr">
        <is>
          <t>m2a_soiling</t>
        </is>
      </c>
      <c r="B69" s="5" t="inlineStr">
        <is>
          <t>cleaning_cost_idr</t>
        </is>
      </c>
      <c r="C69" s="22" t="n">
        <v>50000000</v>
      </c>
      <c r="D69" s="5" t="inlineStr">
        <is>
          <t>biaya 1 cleaning (DEMO; default 0 = user wajib isi)</t>
        </is>
      </c>
    </row>
    <row r="70">
      <c r="A70" s="5" t="inlineStr">
        <is>
          <t>m2a_soiling</t>
        </is>
      </c>
      <c r="B70" s="5" t="inlineStr">
        <is>
          <t>payback_threshold_days</t>
        </is>
      </c>
      <c r="C70" s="22" t="n">
        <v>30</v>
      </c>
      <c r="D70" s="5" t="inlineStr">
        <is>
          <t>payback &lt; ini → recommend cleaning</t>
        </is>
      </c>
    </row>
    <row r="71">
      <c r="A71" s="5" t="inlineStr">
        <is>
          <t>m2b_mppt_ratio</t>
        </is>
      </c>
      <c r="B71" s="5" t="inlineStr">
        <is>
          <t>poa_threshold_wm2</t>
        </is>
      </c>
      <c r="C71" s="22" t="n">
        <v>300</v>
      </c>
      <c r="D71" s="5" t="inlineStr">
        <is>
          <t>moderate sun gate</t>
        </is>
      </c>
    </row>
    <row r="72">
      <c r="A72" s="5" t="inlineStr">
        <is>
          <t>m2b_mppt_ratio</t>
        </is>
      </c>
      <c r="B72" s="5" t="inlineStr">
        <is>
          <t>poa_floor_wm2</t>
        </is>
      </c>
      <c r="C72" s="22" t="n">
        <v>50</v>
      </c>
      <c r="D72" s="5" t="inlineStr">
        <is>
          <t>hard floor twilight</t>
        </is>
      </c>
    </row>
    <row r="73">
      <c r="A73" s="5" t="inlineStr">
        <is>
          <t>m2b_mppt_ratio</t>
        </is>
      </c>
      <c r="B73" s="5" t="inlineStr">
        <is>
          <t>ratio_threshold</t>
        </is>
      </c>
      <c r="C73" s="22" t="n">
        <v>0.85</v>
      </c>
      <c r="D73" s="5" t="inlineStr">
        <is>
          <t>I&lt;85% median partner -&gt; qualifying</t>
        </is>
      </c>
    </row>
    <row r="74">
      <c r="A74" s="5" t="inlineStr">
        <is>
          <t>m2b_mppt_ratio</t>
        </is>
      </c>
      <c r="B74" s="5" t="inlineStr">
        <is>
          <t>ratio_high</t>
        </is>
      </c>
      <c r="C74" s="22" t="n">
        <v>0.5</v>
      </c>
      <c r="D74" s="5" t="inlineStr">
        <is>
          <t>event_median&lt;0.50 -&gt; HIGH</t>
        </is>
      </c>
    </row>
    <row r="75">
      <c r="A75" s="5" t="inlineStr">
        <is>
          <t>m2b_mppt_ratio</t>
        </is>
      </c>
      <c r="B75" s="5" t="inlineStr">
        <is>
          <t>ratio_critical</t>
        </is>
      </c>
      <c r="C75" s="22" t="n">
        <v>0.2</v>
      </c>
      <c r="D75" s="5" t="inlineStr">
        <is>
          <t>event_median&lt;0.20 -&gt; CRITICAL</t>
        </is>
      </c>
    </row>
    <row r="76">
      <c r="A76" s="5" t="inlineStr">
        <is>
          <t>m2b_mppt_ratio</t>
        </is>
      </c>
      <c r="B76" s="5" t="inlineStr">
        <is>
          <t>debounce_consecutive_steps</t>
        </is>
      </c>
      <c r="C76" s="22" t="n">
        <v>20</v>
      </c>
      <c r="D76" s="5" t="inlineStr">
        <is>
          <t>~100 menit @ 5-min</t>
        </is>
      </c>
    </row>
    <row r="77">
      <c r="A77" s="5" t="inlineStr">
        <is>
          <t>m2b_mppt_ratio</t>
        </is>
      </c>
      <c r="B77" s="5" t="inlineStr">
        <is>
          <t>min_partner_strings</t>
        </is>
      </c>
      <c r="C77" s="22" t="n">
        <v>1</v>
      </c>
      <c r="D77" s="5" t="inlineStr">
        <is>
          <t>grup 2-string tetap dianalisis</t>
        </is>
      </c>
    </row>
    <row r="78">
      <c r="A78" s="5" t="inlineStr">
        <is>
          <t>m2b_mppt_ratio</t>
        </is>
      </c>
      <c r="B78" s="5" t="inlineStr">
        <is>
          <t>partner_clip</t>
        </is>
      </c>
      <c r="C78" s="22" t="n">
        <v>0.01</v>
      </c>
      <c r="D78" s="5" t="inlineStr">
        <is>
          <t>clip(lower=0.01) divide-by-zero guard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Raw_Data (dummy realistis — 2 inverter × 12 timestep)</t>
        </is>
      </c>
    </row>
    <row r="2">
      <c r="A2" s="2" t="inlineStr">
        <is>
          <t>Skenario: INV01 punya PV3 fault 6-timestep; INV02 down 4-timestep. PV5 (kedua inverter) ada di EmptyPVMap.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Inverter status</t>
        </is>
      </c>
      <c r="D4" s="10" t="inlineStr">
        <is>
          <t>PV1 Power(kW)</t>
        </is>
      </c>
      <c r="E4" s="10" t="inlineStr">
        <is>
          <t>PV2 Power(kW)</t>
        </is>
      </c>
      <c r="F4" s="10" t="inlineStr">
        <is>
          <t>PV3 Power(kW)</t>
        </is>
      </c>
      <c r="G4" s="10" t="inlineStr">
        <is>
          <t>PV4 Power(kW)</t>
        </is>
      </c>
      <c r="H4" s="10" t="inlineStr">
        <is>
          <t>PV5 Power(kW)</t>
        </is>
      </c>
    </row>
    <row r="5">
      <c r="A5" s="5" t="inlineStr">
        <is>
          <t>WB02-INV01</t>
        </is>
      </c>
      <c r="B5" s="16" t="n">
        <v>46156.41666666666</v>
      </c>
      <c r="C5" s="5" t="inlineStr">
        <is>
          <t>Grid connected</t>
        </is>
      </c>
      <c r="D5" s="17" t="n">
        <v>5</v>
      </c>
      <c r="E5" s="17" t="n">
        <v>4.9</v>
      </c>
      <c r="F5" s="17" t="n">
        <v>5.1</v>
      </c>
      <c r="G5" s="17" t="n">
        <v>5</v>
      </c>
      <c r="H5" s="17" t="n">
        <v>0</v>
      </c>
    </row>
    <row r="6">
      <c r="A6" s="5" t="inlineStr">
        <is>
          <t>WB02-INV01</t>
        </is>
      </c>
      <c r="B6" s="16" t="n">
        <v>46156.42013888889</v>
      </c>
      <c r="C6" s="5" t="inlineStr">
        <is>
          <t>Grid connected</t>
        </is>
      </c>
      <c r="D6" s="17" t="n">
        <v>5.05</v>
      </c>
      <c r="E6" s="17" t="n">
        <v>4.94</v>
      </c>
      <c r="F6" s="17" t="n">
        <v>5.1</v>
      </c>
      <c r="G6" s="17" t="n">
        <v>5.03</v>
      </c>
      <c r="H6" s="17" t="n">
        <v>0</v>
      </c>
    </row>
    <row r="7">
      <c r="A7" s="5" t="inlineStr">
        <is>
          <t>WB02-INV01</t>
        </is>
      </c>
      <c r="B7" s="16" t="n">
        <v>46156.42361111111</v>
      </c>
      <c r="C7" s="5" t="inlineStr">
        <is>
          <t>Grid connected</t>
        </is>
      </c>
      <c r="D7" s="17" t="n">
        <v>5.1</v>
      </c>
      <c r="E7" s="17" t="n">
        <v>4.98</v>
      </c>
      <c r="F7" s="17" t="n">
        <v>5.1</v>
      </c>
      <c r="G7" s="17" t="n">
        <v>5.06</v>
      </c>
      <c r="H7" s="17" t="n">
        <v>0</v>
      </c>
    </row>
    <row r="8">
      <c r="A8" s="5" t="inlineStr">
        <is>
          <t>WB02-INV01</t>
        </is>
      </c>
      <c r="B8" s="16" t="n">
        <v>46156.42708333334</v>
      </c>
      <c r="C8" s="5" t="inlineStr">
        <is>
          <t>Grid connected</t>
        </is>
      </c>
      <c r="D8" s="17" t="n">
        <v>5.15</v>
      </c>
      <c r="E8" s="17" t="n">
        <v>5.02</v>
      </c>
      <c r="F8" s="17" t="n">
        <v>0</v>
      </c>
      <c r="G8" s="17" t="n">
        <v>5</v>
      </c>
      <c r="H8" s="17" t="n">
        <v>0</v>
      </c>
    </row>
    <row r="9">
      <c r="A9" s="5" t="inlineStr">
        <is>
          <t>WB02-INV01</t>
        </is>
      </c>
      <c r="B9" s="16" t="n">
        <v>46156.43055555555</v>
      </c>
      <c r="C9" s="5" t="inlineStr">
        <is>
          <t>Grid connected</t>
        </is>
      </c>
      <c r="D9" s="17" t="n">
        <v>5</v>
      </c>
      <c r="E9" s="17" t="n">
        <v>5.06</v>
      </c>
      <c r="F9" s="17" t="n">
        <v>0</v>
      </c>
      <c r="G9" s="17" t="n">
        <v>5.03</v>
      </c>
      <c r="H9" s="17" t="n">
        <v>0</v>
      </c>
    </row>
    <row r="10">
      <c r="A10" s="5" t="inlineStr">
        <is>
          <t>WB02-INV01</t>
        </is>
      </c>
      <c r="B10" s="16" t="n">
        <v>46156.43402777778</v>
      </c>
      <c r="C10" s="5" t="inlineStr">
        <is>
          <t>Grid connected</t>
        </is>
      </c>
      <c r="D10" s="17" t="n">
        <v>5.05</v>
      </c>
      <c r="E10" s="17" t="n">
        <v>4.9</v>
      </c>
      <c r="F10" s="17" t="n">
        <v>0</v>
      </c>
      <c r="G10" s="17" t="n">
        <v>5.06</v>
      </c>
      <c r="H10" s="17" t="n">
        <v>0</v>
      </c>
    </row>
    <row r="11">
      <c r="A11" s="5" t="inlineStr">
        <is>
          <t>WB02-INV01</t>
        </is>
      </c>
      <c r="B11" s="16" t="n">
        <v>46156.4375</v>
      </c>
      <c r="C11" s="5" t="inlineStr">
        <is>
          <t>Grid connected</t>
        </is>
      </c>
      <c r="D11" s="17" t="n">
        <v>5.1</v>
      </c>
      <c r="E11" s="17" t="n">
        <v>4.94</v>
      </c>
      <c r="F11" s="17" t="n">
        <v>0</v>
      </c>
      <c r="G11" s="17" t="n">
        <v>5</v>
      </c>
      <c r="H11" s="17" t="n">
        <v>0</v>
      </c>
    </row>
    <row r="12">
      <c r="A12" s="5" t="inlineStr">
        <is>
          <t>WB02-INV01</t>
        </is>
      </c>
      <c r="B12" s="16" t="n">
        <v>46156.44097222222</v>
      </c>
      <c r="C12" s="5" t="inlineStr">
        <is>
          <t>Grid connected</t>
        </is>
      </c>
      <c r="D12" s="17" t="n">
        <v>5.15</v>
      </c>
      <c r="E12" s="17" t="n">
        <v>4.98</v>
      </c>
      <c r="F12" s="17" t="n">
        <v>0</v>
      </c>
      <c r="G12" s="17" t="n">
        <v>5.03</v>
      </c>
      <c r="H12" s="17" t="n">
        <v>0</v>
      </c>
    </row>
    <row r="13">
      <c r="A13" s="5" t="inlineStr">
        <is>
          <t>WB02-INV01</t>
        </is>
      </c>
      <c r="B13" s="16" t="n">
        <v>46156.44444444445</v>
      </c>
      <c r="C13" s="5" t="inlineStr">
        <is>
          <t>Grid connected</t>
        </is>
      </c>
      <c r="D13" s="17" t="n">
        <v>5</v>
      </c>
      <c r="E13" s="17" t="n">
        <v>5.02</v>
      </c>
      <c r="F13" s="17" t="n">
        <v>0</v>
      </c>
      <c r="G13" s="17" t="n">
        <v>5.06</v>
      </c>
      <c r="H13" s="17" t="n">
        <v>0</v>
      </c>
    </row>
    <row r="14">
      <c r="A14" s="5" t="inlineStr">
        <is>
          <t>WB02-INV01</t>
        </is>
      </c>
      <c r="B14" s="16" t="n">
        <v>46156.44791666666</v>
      </c>
      <c r="C14" s="5" t="inlineStr">
        <is>
          <t>Grid connected</t>
        </is>
      </c>
      <c r="D14" s="17" t="n">
        <v>5.05</v>
      </c>
      <c r="E14" s="17" t="n">
        <v>5.06</v>
      </c>
      <c r="F14" s="17" t="n">
        <v>5.1</v>
      </c>
      <c r="G14" s="17" t="n">
        <v>5</v>
      </c>
      <c r="H14" s="17" t="n">
        <v>0</v>
      </c>
    </row>
    <row r="15">
      <c r="A15" s="5" t="inlineStr">
        <is>
          <t>WB02-INV01</t>
        </is>
      </c>
      <c r="B15" s="16" t="n">
        <v>46156.45138888889</v>
      </c>
      <c r="C15" s="5" t="inlineStr">
        <is>
          <t>Grid connected</t>
        </is>
      </c>
      <c r="D15" s="17" t="n">
        <v>5.1</v>
      </c>
      <c r="E15" s="17" t="n">
        <v>4.9</v>
      </c>
      <c r="F15" s="17" t="n">
        <v>5.1</v>
      </c>
      <c r="G15" s="17" t="n">
        <v>5.03</v>
      </c>
      <c r="H15" s="17" t="n">
        <v>0</v>
      </c>
    </row>
    <row r="16">
      <c r="A16" s="5" t="inlineStr">
        <is>
          <t>WB02-INV01</t>
        </is>
      </c>
      <c r="B16" s="16" t="n">
        <v>46156.45486111111</v>
      </c>
      <c r="C16" s="5" t="inlineStr">
        <is>
          <t>Grid connected</t>
        </is>
      </c>
      <c r="D16" s="17" t="n">
        <v>5.15</v>
      </c>
      <c r="E16" s="17" t="n">
        <v>4.94</v>
      </c>
      <c r="F16" s="17" t="n">
        <v>5.1</v>
      </c>
      <c r="G16" s="17" t="n">
        <v>5.06</v>
      </c>
      <c r="H16" s="17" t="n">
        <v>0</v>
      </c>
    </row>
    <row r="17">
      <c r="A17" s="5" t="inlineStr">
        <is>
          <t>WB02-INV02</t>
        </is>
      </c>
      <c r="B17" s="16" t="n">
        <v>46156.41666666666</v>
      </c>
      <c r="C17" s="5" t="inlineStr">
        <is>
          <t>Grid connected</t>
        </is>
      </c>
      <c r="D17" s="17" t="n">
        <v>5</v>
      </c>
      <c r="E17" s="17" t="n">
        <v>5</v>
      </c>
      <c r="F17" s="17" t="n">
        <v>5</v>
      </c>
      <c r="G17" s="17" t="n">
        <v>5</v>
      </c>
      <c r="H17" s="17" t="n">
        <v>0</v>
      </c>
    </row>
    <row r="18">
      <c r="A18" s="5" t="inlineStr">
        <is>
          <t>WB02-INV02</t>
        </is>
      </c>
      <c r="B18" s="16" t="n">
        <v>46156.42013888889</v>
      </c>
      <c r="C18" s="5" t="inlineStr">
        <is>
          <t>Grid connected</t>
        </is>
      </c>
      <c r="D18" s="17" t="n">
        <v>5</v>
      </c>
      <c r="E18" s="17" t="n">
        <v>5</v>
      </c>
      <c r="F18" s="17" t="n">
        <v>5</v>
      </c>
      <c r="G18" s="17" t="n">
        <v>5</v>
      </c>
      <c r="H18" s="17" t="n">
        <v>0</v>
      </c>
    </row>
    <row r="19">
      <c r="A19" s="5" t="inlineStr">
        <is>
          <t>WB02-INV02</t>
        </is>
      </c>
      <c r="B19" s="16" t="n">
        <v>46156.42361111111</v>
      </c>
      <c r="C19" s="5" t="inlineStr">
        <is>
          <t>Grid connected</t>
        </is>
      </c>
      <c r="D19" s="17" t="n">
        <v>5</v>
      </c>
      <c r="E19" s="17" t="n">
        <v>5</v>
      </c>
      <c r="F19" s="17" t="n">
        <v>5</v>
      </c>
      <c r="G19" s="17" t="n">
        <v>5</v>
      </c>
      <c r="H19" s="17" t="n">
        <v>0</v>
      </c>
    </row>
    <row r="20">
      <c r="A20" s="5" t="inlineStr">
        <is>
          <t>WB02-INV02</t>
        </is>
      </c>
      <c r="B20" s="16" t="n">
        <v>46156.42708333334</v>
      </c>
      <c r="C20" s="5" t="inlineStr">
        <is>
          <t>Grid connected</t>
        </is>
      </c>
      <c r="D20" s="17" t="n">
        <v>5</v>
      </c>
      <c r="E20" s="17" t="n">
        <v>5</v>
      </c>
      <c r="F20" s="17" t="n">
        <v>5</v>
      </c>
      <c r="G20" s="17" t="n">
        <v>5</v>
      </c>
      <c r="H20" s="17" t="n">
        <v>0</v>
      </c>
    </row>
    <row r="21">
      <c r="A21" s="5" t="inlineStr">
        <is>
          <t>WB02-INV02</t>
        </is>
      </c>
      <c r="B21" s="16" t="n">
        <v>46156.43055555555</v>
      </c>
      <c r="C21" s="5" t="inlineStr">
        <is>
          <t>Shutdown command</t>
        </is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</row>
    <row r="22">
      <c r="A22" s="5" t="inlineStr">
        <is>
          <t>WB02-INV02</t>
        </is>
      </c>
      <c r="B22" s="16" t="n">
        <v>46156.43402777778</v>
      </c>
      <c r="C22" s="5" t="inlineStr">
        <is>
          <t>Shutdown command</t>
        </is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</row>
    <row r="23">
      <c r="A23" s="5" t="inlineStr">
        <is>
          <t>WB02-INV02</t>
        </is>
      </c>
      <c r="B23" s="16" t="n">
        <v>46156.4375</v>
      </c>
      <c r="C23" s="5" t="inlineStr">
        <is>
          <t>Shutdown command</t>
        </is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</row>
    <row r="24">
      <c r="A24" s="5" t="inlineStr">
        <is>
          <t>WB02-INV02</t>
        </is>
      </c>
      <c r="B24" s="16" t="n">
        <v>46156.44097222222</v>
      </c>
      <c r="C24" s="5" t="inlineStr">
        <is>
          <t>Shutdown command</t>
        </is>
      </c>
      <c r="D24" s="17" t="n">
        <v>0</v>
      </c>
      <c r="E24" s="17" t="n">
        <v>0</v>
      </c>
      <c r="F24" s="17" t="n">
        <v>0</v>
      </c>
      <c r="G24" s="17" t="n">
        <v>0</v>
      </c>
      <c r="H24" s="17" t="n">
        <v>0</v>
      </c>
    </row>
    <row r="25">
      <c r="A25" s="5" t="inlineStr">
        <is>
          <t>WB02-INV02</t>
        </is>
      </c>
      <c r="B25" s="16" t="n">
        <v>46156.44444444445</v>
      </c>
      <c r="C25" s="5" t="inlineStr">
        <is>
          <t>Grid connected</t>
        </is>
      </c>
      <c r="D25" s="17" t="n">
        <v>5</v>
      </c>
      <c r="E25" s="17" t="n">
        <v>5</v>
      </c>
      <c r="F25" s="17" t="n">
        <v>5</v>
      </c>
      <c r="G25" s="17" t="n">
        <v>5</v>
      </c>
      <c r="H25" s="17" t="n">
        <v>0</v>
      </c>
    </row>
    <row r="26">
      <c r="A26" s="5" t="inlineStr">
        <is>
          <t>WB02-INV02</t>
        </is>
      </c>
      <c r="B26" s="16" t="n">
        <v>46156.44791666666</v>
      </c>
      <c r="C26" s="5" t="inlineStr">
        <is>
          <t>Grid connected</t>
        </is>
      </c>
      <c r="D26" s="17" t="n">
        <v>5</v>
      </c>
      <c r="E26" s="17" t="n">
        <v>5</v>
      </c>
      <c r="F26" s="17" t="n">
        <v>5</v>
      </c>
      <c r="G26" s="17" t="n">
        <v>5</v>
      </c>
      <c r="H26" s="17" t="n">
        <v>0</v>
      </c>
    </row>
    <row r="27">
      <c r="A27" s="5" t="inlineStr">
        <is>
          <t>WB02-INV02</t>
        </is>
      </c>
      <c r="B27" s="16" t="n">
        <v>46156.45138888889</v>
      </c>
      <c r="C27" s="5" t="inlineStr">
        <is>
          <t>Grid connected</t>
        </is>
      </c>
      <c r="D27" s="17" t="n">
        <v>5</v>
      </c>
      <c r="E27" s="17" t="n">
        <v>5</v>
      </c>
      <c r="F27" s="17" t="n">
        <v>5</v>
      </c>
      <c r="G27" s="17" t="n">
        <v>5</v>
      </c>
      <c r="H27" s="17" t="n">
        <v>0</v>
      </c>
    </row>
    <row r="28">
      <c r="A28" s="5" t="inlineStr">
        <is>
          <t>WB02-INV02</t>
        </is>
      </c>
      <c r="B28" s="16" t="n">
        <v>46156.45486111111</v>
      </c>
      <c r="C28" s="5" t="inlineStr">
        <is>
          <t>Grid connected</t>
        </is>
      </c>
      <c r="D28" s="17" t="n">
        <v>5</v>
      </c>
      <c r="E28" s="17" t="n">
        <v>5</v>
      </c>
      <c r="F28" s="17" t="n">
        <v>5</v>
      </c>
      <c r="G28" s="17" t="n">
        <v>5</v>
      </c>
      <c r="H28" s="1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0" customWidth="1" min="3" max="3"/>
  </cols>
  <sheetData>
    <row r="1">
      <c r="A1" s="7" t="inlineStr">
        <is>
          <t>EmptyPVMap — slot PV yang fisik tidak terpasang (skip dari peer comparison)</t>
        </is>
      </c>
    </row>
    <row r="2">
      <c r="A2" s="2" t="inlineStr">
        <is>
          <t>Replica config/strings.yaml (245 inverter dalam file aktual). Di sini hanya entry yang relevan untuk dummy.</t>
        </is>
      </c>
    </row>
    <row r="4">
      <c r="A4" s="10" t="inlineStr">
        <is>
          <t>Inverter_ID</t>
        </is>
      </c>
      <c r="B4" s="10" t="inlineStr">
        <is>
          <t>Empty PV indices (CSV)</t>
        </is>
      </c>
      <c r="C4" s="10" t="inlineStr">
        <is>
          <t>Note</t>
        </is>
      </c>
    </row>
    <row r="5">
      <c r="A5" s="5" t="inlineStr">
        <is>
          <t>WB02-INV01</t>
        </is>
      </c>
      <c r="B5" s="5" t="inlineStr">
        <is>
          <t>5</t>
        </is>
      </c>
      <c r="C5" s="5" t="inlineStr">
        <is>
          <t>DEMO: PV5 EMPTY by design</t>
        </is>
      </c>
    </row>
    <row r="6">
      <c r="A6" s="5" t="inlineStr">
        <is>
          <t>WB02-INV02</t>
        </is>
      </c>
      <c r="B6" s="5" t="inlineStr">
        <is>
          <t>5</t>
        </is>
      </c>
      <c r="C6" s="5" t="inlineStr">
        <is>
          <t>DEMO: PV5 EMPTY by design</t>
        </is>
      </c>
    </row>
    <row r="7">
      <c r="A7" s="5" t="inlineStr">
        <is>
          <t>WB01-INV01</t>
        </is>
      </c>
      <c r="B7" s="5" t="inlineStr">
        <is>
          <t>19,20,21,22,23,24,25,26,27,28</t>
        </is>
      </c>
      <c r="C7" s="5" t="inlineStr">
        <is>
          <t>Pola WB01 produksi (PV19-28 kosong)</t>
        </is>
      </c>
    </row>
    <row r="8">
      <c r="A8" s="5" t="inlineStr">
        <is>
          <t>WB03-INV01</t>
        </is>
      </c>
      <c r="B8" s="5" t="inlineStr"/>
      <c r="C8" s="5" t="inlineStr">
        <is>
          <t>(contoh: tidak ada slot kosong)</t>
        </is>
      </c>
    </row>
    <row r="9">
      <c r="A9" s="5" t="inlineStr">
        <is>
          <t>WB05-INV05</t>
        </is>
      </c>
      <c r="B9" s="5" t="inlineStr">
        <is>
          <t>5</t>
        </is>
      </c>
      <c r="C9" s="5" t="inlineStr">
        <is>
          <t>DEMO M2b: PV5 EMPTY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9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7" t="inlineStr">
        <is>
          <t>Helpers_M2e — derived columns dari Raw_Data (per-row formulas)</t>
        </is>
      </c>
    </row>
    <row r="2">
      <c r="A2" s="2" t="inlineStr">
        <is>
          <t>Setiap kolom = 1 langkah di pv_pipeline/availability.py. Edit Raw_Data → recalc otomatis.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status_raw</t>
        </is>
      </c>
      <c r="D4" s="10" t="inlineStr">
        <is>
          <t>_status_class</t>
        </is>
      </c>
      <c r="E4" s="10" t="inlineStr">
        <is>
          <t>sib_median_kW</t>
        </is>
      </c>
      <c r="F4" s="10" t="inlineStr">
        <is>
          <t>active_count</t>
        </is>
      </c>
      <c r="G4" s="10" t="inlineStr">
        <is>
          <t>active_pct</t>
        </is>
      </c>
      <c r="H4" s="10" t="inlineStr">
        <is>
          <t>qualified</t>
        </is>
      </c>
      <c r="I4" s="10" t="inlineStr">
        <is>
          <t>is_on</t>
        </is>
      </c>
      <c r="J4" s="10" t="inlineStr">
        <is>
          <t>cand_PV1</t>
        </is>
      </c>
      <c r="K4" s="10" t="inlineStr">
        <is>
          <t>run_id_PV1</t>
        </is>
      </c>
      <c r="L4" s="10" t="inlineStr">
        <is>
          <t>run_len_PV1</t>
        </is>
      </c>
      <c r="M4" s="10" t="inlineStr">
        <is>
          <t>in_event_PV1</t>
        </is>
      </c>
      <c r="N4" s="10" t="inlineStr">
        <is>
          <t>cand_PV2</t>
        </is>
      </c>
      <c r="O4" s="10" t="inlineStr">
        <is>
          <t>run_id_PV2</t>
        </is>
      </c>
      <c r="P4" s="10" t="inlineStr">
        <is>
          <t>run_len_PV2</t>
        </is>
      </c>
      <c r="Q4" s="10" t="inlineStr">
        <is>
          <t>in_event_PV2</t>
        </is>
      </c>
      <c r="R4" s="10" t="inlineStr">
        <is>
          <t>cand_PV3</t>
        </is>
      </c>
      <c r="S4" s="10" t="inlineStr">
        <is>
          <t>run_id_PV3</t>
        </is>
      </c>
      <c r="T4" s="10" t="inlineStr">
        <is>
          <t>run_len_PV3</t>
        </is>
      </c>
      <c r="U4" s="10" t="inlineStr">
        <is>
          <t>in_event_PV3</t>
        </is>
      </c>
      <c r="V4" s="10" t="inlineStr">
        <is>
          <t>cand_PV4</t>
        </is>
      </c>
      <c r="W4" s="10" t="inlineStr">
        <is>
          <t>run_id_PV4</t>
        </is>
      </c>
      <c r="X4" s="10" t="inlineStr">
        <is>
          <t>run_len_PV4</t>
        </is>
      </c>
      <c r="Y4" s="10" t="inlineStr">
        <is>
          <t>in_event_PV4</t>
        </is>
      </c>
      <c r="Z4" s="10" t="inlineStr">
        <is>
          <t>cand_PV5</t>
        </is>
      </c>
      <c r="AA4" s="10" t="inlineStr">
        <is>
          <t>run_id_PV5</t>
        </is>
      </c>
      <c r="AB4" s="10" t="inlineStr">
        <is>
          <t>run_len_PV5</t>
        </is>
      </c>
      <c r="AC4" s="10" t="inlineStr">
        <is>
          <t>in_event_PV5</t>
        </is>
      </c>
    </row>
    <row r="5">
      <c r="A5" s="5">
        <f>Raw_Data!A5</f>
        <v/>
      </c>
      <c r="B5" s="16">
        <f>Raw_Data!B5</f>
        <v/>
      </c>
      <c r="C5" s="5">
        <f>Raw_Data!C5</f>
        <v/>
      </c>
      <c r="D5" s="5">
        <f>IF(ISNUMBER(SEARCH("shutdown",LOWER(C5)))+ISNUMBER(SEARCH("fault",LOWER(C5))),"DOWN",IF(ISNUMBER(SEARCH("grid connected",LOWER(C5)))+ISNUMBER(SEARCH("on-grid",LOWER(C5))),"ON",IF(ISNUMBER(SEARCH("standby",LOWER(C5)))+ISNUMBER(SEARCH("no sunlight",LOWER(C5))),"TRANSITIONAL","UNKNOWN")))</f>
        <v/>
      </c>
      <c r="E5" s="17">
        <f>MEDIAN(Raw_Data!D5:H5)</f>
        <v/>
      </c>
      <c r="F5" s="5">
        <f>COUNTIF(Raw_Data!D5:H5, "&gt;"&amp;cfg_pstr_zero_threshold_kw)</f>
        <v/>
      </c>
      <c r="G5" s="18">
        <f>100*F5/cfg_n_pv_total_in_workbook</f>
        <v/>
      </c>
      <c r="H5" s="5">
        <f>IF(AND(E5&gt;=cfg_sibling_median_active_kw, G5&gt;=cfg_min_active_siblings_pct),1,0)</f>
        <v/>
      </c>
      <c r="I5" s="5">
        <f>IF(D5="ON",1,0)</f>
        <v/>
      </c>
      <c r="J5" s="5">
        <f>IF(AND(I5=1, H5=1, Raw_Data!D5&lt;cfg_pstr_zero_threshold_kw),1,0)</f>
        <v/>
      </c>
      <c r="K5" s="5">
        <f>IF(J5=1,1,0)</f>
        <v/>
      </c>
      <c r="L5" s="5">
        <f>IF(J5=1,COUNTIFS($A$5:$A$28,A5,$K$5:$K$28,K5,$J$5:$J$28,1),0)</f>
        <v/>
      </c>
      <c r="M5" s="5">
        <f>IF(AND(J5=1, L5&gt;=cfg_debounce_consecutive_steps),1,0)</f>
        <v/>
      </c>
      <c r="N5" s="5">
        <f>IF(AND(I5=1, H5=1, Raw_Data!E5&lt;cfg_pstr_zero_threshold_kw),1,0)</f>
        <v/>
      </c>
      <c r="O5" s="5">
        <f>IF(N5=1,1,0)</f>
        <v/>
      </c>
      <c r="P5" s="5">
        <f>IF(N5=1,COUNTIFS($A$5:$A$28,A5,$O$5:$O$28,O5,$N$5:$N$28,1),0)</f>
        <v/>
      </c>
      <c r="Q5" s="5">
        <f>IF(AND(N5=1, P5&gt;=cfg_debounce_consecutive_steps),1,0)</f>
        <v/>
      </c>
      <c r="R5" s="5">
        <f>IF(AND(I5=1, H5=1, Raw_Data!F5&lt;cfg_pstr_zero_threshold_kw),1,0)</f>
        <v/>
      </c>
      <c r="S5" s="5">
        <f>IF(R5=1,1,0)</f>
        <v/>
      </c>
      <c r="T5" s="5">
        <f>IF(R5=1,COUNTIFS($A$5:$A$28,A5,$S$5:$S$28,S5,$R$5:$R$28,1),0)</f>
        <v/>
      </c>
      <c r="U5" s="5">
        <f>IF(AND(R5=1, T5&gt;=cfg_debounce_consecutive_steps),1,0)</f>
        <v/>
      </c>
      <c r="V5" s="5">
        <f>IF(AND(I5=1, H5=1, Raw_Data!G5&lt;cfg_pstr_zero_threshold_kw),1,0)</f>
        <v/>
      </c>
      <c r="W5" s="5">
        <f>IF(V5=1,1,0)</f>
        <v/>
      </c>
      <c r="X5" s="5">
        <f>IF(V5=1,COUNTIFS($A$5:$A$28,A5,$W$5:$W$28,W5,$V$5:$V$28,1),0)</f>
        <v/>
      </c>
      <c r="Y5" s="5">
        <f>IF(AND(V5=1, X5&gt;=cfg_debounce_consecutive_steps),1,0)</f>
        <v/>
      </c>
      <c r="Z5" s="5">
        <f>IF(AND(I5=1, H5=1, Raw_Data!H5&lt;cfg_pstr_zero_threshold_kw),1,0)</f>
        <v/>
      </c>
      <c r="AA5" s="5">
        <f>IF(Z5=1,1,0)</f>
        <v/>
      </c>
      <c r="AB5" s="5">
        <f>IF(Z5=1,COUNTIFS($A$5:$A$28,A5,$AA$5:$AA$28,AA5,$Z$5:$Z$28,1),0)</f>
        <v/>
      </c>
      <c r="AC5" s="5">
        <f>IF(AND(Z5=1, AB5&gt;=cfg_debounce_consecutive_steps),1,0)</f>
        <v/>
      </c>
    </row>
    <row r="6">
      <c r="A6" s="5">
        <f>Raw_Data!A6</f>
        <v/>
      </c>
      <c r="B6" s="16">
        <f>Raw_Data!B6</f>
        <v/>
      </c>
      <c r="C6" s="5">
        <f>Raw_Data!C6</f>
        <v/>
      </c>
      <c r="D6" s="5">
        <f>IF(ISNUMBER(SEARCH("shutdown",LOWER(C6)))+ISNUMBER(SEARCH("fault",LOWER(C6))),"DOWN",IF(ISNUMBER(SEARCH("grid connected",LOWER(C6)))+ISNUMBER(SEARCH("on-grid",LOWER(C6))),"ON",IF(ISNUMBER(SEARCH("standby",LOWER(C6)))+ISNUMBER(SEARCH("no sunlight",LOWER(C6))),"TRANSITIONAL","UNKNOWN")))</f>
        <v/>
      </c>
      <c r="E6" s="17">
        <f>MEDIAN(Raw_Data!D6:H6)</f>
        <v/>
      </c>
      <c r="F6" s="5">
        <f>COUNTIF(Raw_Data!D6:H6, "&gt;"&amp;cfg_pstr_zero_threshold_kw)</f>
        <v/>
      </c>
      <c r="G6" s="18">
        <f>100*F6/cfg_n_pv_total_in_workbook</f>
        <v/>
      </c>
      <c r="H6" s="5">
        <f>IF(AND(E6&gt;=cfg_sibling_median_active_kw, G6&gt;=cfg_min_active_siblings_pct),1,0)</f>
        <v/>
      </c>
      <c r="I6" s="5">
        <f>IF(D6="ON",1,0)</f>
        <v/>
      </c>
      <c r="J6" s="5">
        <f>IF(AND(I6=1, H6=1, Raw_Data!D6&lt;cfg_pstr_zero_threshold_kw),1,0)</f>
        <v/>
      </c>
      <c r="K6" s="5">
        <f>IF(A6&lt;&gt;A5,IF(J6=1, MAX($K$5:K5)+1, 0),IF(AND(J6=1, J5=0), K5+1,IF(J6=1, K5, K5)))</f>
        <v/>
      </c>
      <c r="L6" s="5">
        <f>IF(J6=1,COUNTIFS($A$5:$A$28,A6,$K$5:$K$28,K6,$J$5:$J$28,1),0)</f>
        <v/>
      </c>
      <c r="M6" s="5">
        <f>IF(AND(J6=1, L6&gt;=cfg_debounce_consecutive_steps),1,0)</f>
        <v/>
      </c>
      <c r="N6" s="5">
        <f>IF(AND(I6=1, H6=1, Raw_Data!E6&lt;cfg_pstr_zero_threshold_kw),1,0)</f>
        <v/>
      </c>
      <c r="O6" s="5">
        <f>IF(A6&lt;&gt;A5,IF(N6=1, MAX($O$5:O5)+1, 0),IF(AND(N6=1, N5=0), O5+1,IF(N6=1, O5, O5)))</f>
        <v/>
      </c>
      <c r="P6" s="5">
        <f>IF(N6=1,COUNTIFS($A$5:$A$28,A6,$O$5:$O$28,O6,$N$5:$N$28,1),0)</f>
        <v/>
      </c>
      <c r="Q6" s="5">
        <f>IF(AND(N6=1, P6&gt;=cfg_debounce_consecutive_steps),1,0)</f>
        <v/>
      </c>
      <c r="R6" s="5">
        <f>IF(AND(I6=1, H6=1, Raw_Data!F6&lt;cfg_pstr_zero_threshold_kw),1,0)</f>
        <v/>
      </c>
      <c r="S6" s="5">
        <f>IF(A6&lt;&gt;A5,IF(R6=1, MAX($S$5:S5)+1, 0),IF(AND(R6=1, R5=0), S5+1,IF(R6=1, S5, S5)))</f>
        <v/>
      </c>
      <c r="T6" s="5">
        <f>IF(R6=1,COUNTIFS($A$5:$A$28,A6,$S$5:$S$28,S6,$R$5:$R$28,1),0)</f>
        <v/>
      </c>
      <c r="U6" s="5">
        <f>IF(AND(R6=1, T6&gt;=cfg_debounce_consecutive_steps),1,0)</f>
        <v/>
      </c>
      <c r="V6" s="5">
        <f>IF(AND(I6=1, H6=1, Raw_Data!G6&lt;cfg_pstr_zero_threshold_kw),1,0)</f>
        <v/>
      </c>
      <c r="W6" s="5">
        <f>IF(A6&lt;&gt;A5,IF(V6=1, MAX($W$5:W5)+1, 0),IF(AND(V6=1, V5=0), W5+1,IF(V6=1, W5, W5)))</f>
        <v/>
      </c>
      <c r="X6" s="5">
        <f>IF(V6=1,COUNTIFS($A$5:$A$28,A6,$W$5:$W$28,W6,$V$5:$V$28,1),0)</f>
        <v/>
      </c>
      <c r="Y6" s="5">
        <f>IF(AND(V6=1, X6&gt;=cfg_debounce_consecutive_steps),1,0)</f>
        <v/>
      </c>
      <c r="Z6" s="5">
        <f>IF(AND(I6=1, H6=1, Raw_Data!H6&lt;cfg_pstr_zero_threshold_kw),1,0)</f>
        <v/>
      </c>
      <c r="AA6" s="5">
        <f>IF(A6&lt;&gt;A5,IF(Z6=1, MAX($AA$5:AA5)+1, 0),IF(AND(Z6=1, Z5=0), AA5+1,IF(Z6=1, AA5, AA5)))</f>
        <v/>
      </c>
      <c r="AB6" s="5">
        <f>IF(Z6=1,COUNTIFS($A$5:$A$28,A6,$AA$5:$AA$28,AA6,$Z$5:$Z$28,1),0)</f>
        <v/>
      </c>
      <c r="AC6" s="5">
        <f>IF(AND(Z6=1, AB6&gt;=cfg_debounce_consecutive_steps),1,0)</f>
        <v/>
      </c>
    </row>
    <row r="7">
      <c r="A7" s="5">
        <f>Raw_Data!A7</f>
        <v/>
      </c>
      <c r="B7" s="16">
        <f>Raw_Data!B7</f>
        <v/>
      </c>
      <c r="C7" s="5">
        <f>Raw_Data!C7</f>
        <v/>
      </c>
      <c r="D7" s="5">
        <f>IF(ISNUMBER(SEARCH("shutdown",LOWER(C7)))+ISNUMBER(SEARCH("fault",LOWER(C7))),"DOWN",IF(ISNUMBER(SEARCH("grid connected",LOWER(C7)))+ISNUMBER(SEARCH("on-grid",LOWER(C7))),"ON",IF(ISNUMBER(SEARCH("standby",LOWER(C7)))+ISNUMBER(SEARCH("no sunlight",LOWER(C7))),"TRANSITIONAL","UNKNOWN")))</f>
        <v/>
      </c>
      <c r="E7" s="17">
        <f>MEDIAN(Raw_Data!D7:H7)</f>
        <v/>
      </c>
      <c r="F7" s="5">
        <f>COUNTIF(Raw_Data!D7:H7, "&gt;"&amp;cfg_pstr_zero_threshold_kw)</f>
        <v/>
      </c>
      <c r="G7" s="18">
        <f>100*F7/cfg_n_pv_total_in_workbook</f>
        <v/>
      </c>
      <c r="H7" s="5">
        <f>IF(AND(E7&gt;=cfg_sibling_median_active_kw, G7&gt;=cfg_min_active_siblings_pct),1,0)</f>
        <v/>
      </c>
      <c r="I7" s="5">
        <f>IF(D7="ON",1,0)</f>
        <v/>
      </c>
      <c r="J7" s="5">
        <f>IF(AND(I7=1, H7=1, Raw_Data!D7&lt;cfg_pstr_zero_threshold_kw),1,0)</f>
        <v/>
      </c>
      <c r="K7" s="5">
        <f>IF(A7&lt;&gt;A6,IF(J7=1, MAX($K$5:K6)+1, 0),IF(AND(J7=1, J6=0), K6+1,IF(J7=1, K6, K6)))</f>
        <v/>
      </c>
      <c r="L7" s="5">
        <f>IF(J7=1,COUNTIFS($A$5:$A$28,A7,$K$5:$K$28,K7,$J$5:$J$28,1),0)</f>
        <v/>
      </c>
      <c r="M7" s="5">
        <f>IF(AND(J7=1, L7&gt;=cfg_debounce_consecutive_steps),1,0)</f>
        <v/>
      </c>
      <c r="N7" s="5">
        <f>IF(AND(I7=1, H7=1, Raw_Data!E7&lt;cfg_pstr_zero_threshold_kw),1,0)</f>
        <v/>
      </c>
      <c r="O7" s="5">
        <f>IF(A7&lt;&gt;A6,IF(N7=1, MAX($O$5:O6)+1, 0),IF(AND(N7=1, N6=0), O6+1,IF(N7=1, O6, O6)))</f>
        <v/>
      </c>
      <c r="P7" s="5">
        <f>IF(N7=1,COUNTIFS($A$5:$A$28,A7,$O$5:$O$28,O7,$N$5:$N$28,1),0)</f>
        <v/>
      </c>
      <c r="Q7" s="5">
        <f>IF(AND(N7=1, P7&gt;=cfg_debounce_consecutive_steps),1,0)</f>
        <v/>
      </c>
      <c r="R7" s="5">
        <f>IF(AND(I7=1, H7=1, Raw_Data!F7&lt;cfg_pstr_zero_threshold_kw),1,0)</f>
        <v/>
      </c>
      <c r="S7" s="5">
        <f>IF(A7&lt;&gt;A6,IF(R7=1, MAX($S$5:S6)+1, 0),IF(AND(R7=1, R6=0), S6+1,IF(R7=1, S6, S6)))</f>
        <v/>
      </c>
      <c r="T7" s="5">
        <f>IF(R7=1,COUNTIFS($A$5:$A$28,A7,$S$5:$S$28,S7,$R$5:$R$28,1),0)</f>
        <v/>
      </c>
      <c r="U7" s="5">
        <f>IF(AND(R7=1, T7&gt;=cfg_debounce_consecutive_steps),1,0)</f>
        <v/>
      </c>
      <c r="V7" s="5">
        <f>IF(AND(I7=1, H7=1, Raw_Data!G7&lt;cfg_pstr_zero_threshold_kw),1,0)</f>
        <v/>
      </c>
      <c r="W7" s="5">
        <f>IF(A7&lt;&gt;A6,IF(V7=1, MAX($W$5:W6)+1, 0),IF(AND(V7=1, V6=0), W6+1,IF(V7=1, W6, W6)))</f>
        <v/>
      </c>
      <c r="X7" s="5">
        <f>IF(V7=1,COUNTIFS($A$5:$A$28,A7,$W$5:$W$28,W7,$V$5:$V$28,1),0)</f>
        <v/>
      </c>
      <c r="Y7" s="5">
        <f>IF(AND(V7=1, X7&gt;=cfg_debounce_consecutive_steps),1,0)</f>
        <v/>
      </c>
      <c r="Z7" s="5">
        <f>IF(AND(I7=1, H7=1, Raw_Data!H7&lt;cfg_pstr_zero_threshold_kw),1,0)</f>
        <v/>
      </c>
      <c r="AA7" s="5">
        <f>IF(A7&lt;&gt;A6,IF(Z7=1, MAX($AA$5:AA6)+1, 0),IF(AND(Z7=1, Z6=0), AA6+1,IF(Z7=1, AA6, AA6)))</f>
        <v/>
      </c>
      <c r="AB7" s="5">
        <f>IF(Z7=1,COUNTIFS($A$5:$A$28,A7,$AA$5:$AA$28,AA7,$Z$5:$Z$28,1),0)</f>
        <v/>
      </c>
      <c r="AC7" s="5">
        <f>IF(AND(Z7=1, AB7&gt;=cfg_debounce_consecutive_steps),1,0)</f>
        <v/>
      </c>
    </row>
    <row r="8">
      <c r="A8" s="5">
        <f>Raw_Data!A8</f>
        <v/>
      </c>
      <c r="B8" s="16">
        <f>Raw_Data!B8</f>
        <v/>
      </c>
      <c r="C8" s="5">
        <f>Raw_Data!C8</f>
        <v/>
      </c>
      <c r="D8" s="5">
        <f>IF(ISNUMBER(SEARCH("shutdown",LOWER(C8)))+ISNUMBER(SEARCH("fault",LOWER(C8))),"DOWN",IF(ISNUMBER(SEARCH("grid connected",LOWER(C8)))+ISNUMBER(SEARCH("on-grid",LOWER(C8))),"ON",IF(ISNUMBER(SEARCH("standby",LOWER(C8)))+ISNUMBER(SEARCH("no sunlight",LOWER(C8))),"TRANSITIONAL","UNKNOWN")))</f>
        <v/>
      </c>
      <c r="E8" s="17">
        <f>MEDIAN(Raw_Data!D8:H8)</f>
        <v/>
      </c>
      <c r="F8" s="5">
        <f>COUNTIF(Raw_Data!D8:H8, "&gt;"&amp;cfg_pstr_zero_threshold_kw)</f>
        <v/>
      </c>
      <c r="G8" s="18">
        <f>100*F8/cfg_n_pv_total_in_workbook</f>
        <v/>
      </c>
      <c r="H8" s="5">
        <f>IF(AND(E8&gt;=cfg_sibling_median_active_kw, G8&gt;=cfg_min_active_siblings_pct),1,0)</f>
        <v/>
      </c>
      <c r="I8" s="5">
        <f>IF(D8="ON",1,0)</f>
        <v/>
      </c>
      <c r="J8" s="5">
        <f>IF(AND(I8=1, H8=1, Raw_Data!D8&lt;cfg_pstr_zero_threshold_kw),1,0)</f>
        <v/>
      </c>
      <c r="K8" s="5">
        <f>IF(A8&lt;&gt;A7,IF(J8=1, MAX($K$5:K7)+1, 0),IF(AND(J8=1, J7=0), K7+1,IF(J8=1, K7, K7)))</f>
        <v/>
      </c>
      <c r="L8" s="5">
        <f>IF(J8=1,COUNTIFS($A$5:$A$28,A8,$K$5:$K$28,K8,$J$5:$J$28,1),0)</f>
        <v/>
      </c>
      <c r="M8" s="5">
        <f>IF(AND(J8=1, L8&gt;=cfg_debounce_consecutive_steps),1,0)</f>
        <v/>
      </c>
      <c r="N8" s="5">
        <f>IF(AND(I8=1, H8=1, Raw_Data!E8&lt;cfg_pstr_zero_threshold_kw),1,0)</f>
        <v/>
      </c>
      <c r="O8" s="5">
        <f>IF(A8&lt;&gt;A7,IF(N8=1, MAX($O$5:O7)+1, 0),IF(AND(N8=1, N7=0), O7+1,IF(N8=1, O7, O7)))</f>
        <v/>
      </c>
      <c r="P8" s="5">
        <f>IF(N8=1,COUNTIFS($A$5:$A$28,A8,$O$5:$O$28,O8,$N$5:$N$28,1),0)</f>
        <v/>
      </c>
      <c r="Q8" s="5">
        <f>IF(AND(N8=1, P8&gt;=cfg_debounce_consecutive_steps),1,0)</f>
        <v/>
      </c>
      <c r="R8" s="5">
        <f>IF(AND(I8=1, H8=1, Raw_Data!F8&lt;cfg_pstr_zero_threshold_kw),1,0)</f>
        <v/>
      </c>
      <c r="S8" s="5">
        <f>IF(A8&lt;&gt;A7,IF(R8=1, MAX($S$5:S7)+1, 0),IF(AND(R8=1, R7=0), S7+1,IF(R8=1, S7, S7)))</f>
        <v/>
      </c>
      <c r="T8" s="5">
        <f>IF(R8=1,COUNTIFS($A$5:$A$28,A8,$S$5:$S$28,S8,$R$5:$R$28,1),0)</f>
        <v/>
      </c>
      <c r="U8" s="5">
        <f>IF(AND(R8=1, T8&gt;=cfg_debounce_consecutive_steps),1,0)</f>
        <v/>
      </c>
      <c r="V8" s="5">
        <f>IF(AND(I8=1, H8=1, Raw_Data!G8&lt;cfg_pstr_zero_threshold_kw),1,0)</f>
        <v/>
      </c>
      <c r="W8" s="5">
        <f>IF(A8&lt;&gt;A7,IF(V8=1, MAX($W$5:W7)+1, 0),IF(AND(V8=1, V7=0), W7+1,IF(V8=1, W7, W7)))</f>
        <v/>
      </c>
      <c r="X8" s="5">
        <f>IF(V8=1,COUNTIFS($A$5:$A$28,A8,$W$5:$W$28,W8,$V$5:$V$28,1),0)</f>
        <v/>
      </c>
      <c r="Y8" s="5">
        <f>IF(AND(V8=1, X8&gt;=cfg_debounce_consecutive_steps),1,0)</f>
        <v/>
      </c>
      <c r="Z8" s="5">
        <f>IF(AND(I8=1, H8=1, Raw_Data!H8&lt;cfg_pstr_zero_threshold_kw),1,0)</f>
        <v/>
      </c>
      <c r="AA8" s="5">
        <f>IF(A8&lt;&gt;A7,IF(Z8=1, MAX($AA$5:AA7)+1, 0),IF(AND(Z8=1, Z7=0), AA7+1,IF(Z8=1, AA7, AA7)))</f>
        <v/>
      </c>
      <c r="AB8" s="5">
        <f>IF(Z8=1,COUNTIFS($A$5:$A$28,A8,$AA$5:$AA$28,AA8,$Z$5:$Z$28,1),0)</f>
        <v/>
      </c>
      <c r="AC8" s="5">
        <f>IF(AND(Z8=1, AB8&gt;=cfg_debounce_consecutive_steps),1,0)</f>
        <v/>
      </c>
    </row>
    <row r="9">
      <c r="A9" s="5">
        <f>Raw_Data!A9</f>
        <v/>
      </c>
      <c r="B9" s="16">
        <f>Raw_Data!B9</f>
        <v/>
      </c>
      <c r="C9" s="5">
        <f>Raw_Data!C9</f>
        <v/>
      </c>
      <c r="D9" s="5">
        <f>IF(ISNUMBER(SEARCH("shutdown",LOWER(C9)))+ISNUMBER(SEARCH("fault",LOWER(C9))),"DOWN",IF(ISNUMBER(SEARCH("grid connected",LOWER(C9)))+ISNUMBER(SEARCH("on-grid",LOWER(C9))),"ON",IF(ISNUMBER(SEARCH("standby",LOWER(C9)))+ISNUMBER(SEARCH("no sunlight",LOWER(C9))),"TRANSITIONAL","UNKNOWN")))</f>
        <v/>
      </c>
      <c r="E9" s="17">
        <f>MEDIAN(Raw_Data!D9:H9)</f>
        <v/>
      </c>
      <c r="F9" s="5">
        <f>COUNTIF(Raw_Data!D9:H9, "&gt;"&amp;cfg_pstr_zero_threshold_kw)</f>
        <v/>
      </c>
      <c r="G9" s="18">
        <f>100*F9/cfg_n_pv_total_in_workbook</f>
        <v/>
      </c>
      <c r="H9" s="5">
        <f>IF(AND(E9&gt;=cfg_sibling_median_active_kw, G9&gt;=cfg_min_active_siblings_pct),1,0)</f>
        <v/>
      </c>
      <c r="I9" s="5">
        <f>IF(D9="ON",1,0)</f>
        <v/>
      </c>
      <c r="J9" s="5">
        <f>IF(AND(I9=1, H9=1, Raw_Data!D9&lt;cfg_pstr_zero_threshold_kw),1,0)</f>
        <v/>
      </c>
      <c r="K9" s="5">
        <f>IF(A9&lt;&gt;A8,IF(J9=1, MAX($K$5:K8)+1, 0),IF(AND(J9=1, J8=0), K8+1,IF(J9=1, K8, K8)))</f>
        <v/>
      </c>
      <c r="L9" s="5">
        <f>IF(J9=1,COUNTIFS($A$5:$A$28,A9,$K$5:$K$28,K9,$J$5:$J$28,1),0)</f>
        <v/>
      </c>
      <c r="M9" s="5">
        <f>IF(AND(J9=1, L9&gt;=cfg_debounce_consecutive_steps),1,0)</f>
        <v/>
      </c>
      <c r="N9" s="5">
        <f>IF(AND(I9=1, H9=1, Raw_Data!E9&lt;cfg_pstr_zero_threshold_kw),1,0)</f>
        <v/>
      </c>
      <c r="O9" s="5">
        <f>IF(A9&lt;&gt;A8,IF(N9=1, MAX($O$5:O8)+1, 0),IF(AND(N9=1, N8=0), O8+1,IF(N9=1, O8, O8)))</f>
        <v/>
      </c>
      <c r="P9" s="5">
        <f>IF(N9=1,COUNTIFS($A$5:$A$28,A9,$O$5:$O$28,O9,$N$5:$N$28,1),0)</f>
        <v/>
      </c>
      <c r="Q9" s="5">
        <f>IF(AND(N9=1, P9&gt;=cfg_debounce_consecutive_steps),1,0)</f>
        <v/>
      </c>
      <c r="R9" s="5">
        <f>IF(AND(I9=1, H9=1, Raw_Data!F9&lt;cfg_pstr_zero_threshold_kw),1,0)</f>
        <v/>
      </c>
      <c r="S9" s="5">
        <f>IF(A9&lt;&gt;A8,IF(R9=1, MAX($S$5:S8)+1, 0),IF(AND(R9=1, R8=0), S8+1,IF(R9=1, S8, S8)))</f>
        <v/>
      </c>
      <c r="T9" s="5">
        <f>IF(R9=1,COUNTIFS($A$5:$A$28,A9,$S$5:$S$28,S9,$R$5:$R$28,1),0)</f>
        <v/>
      </c>
      <c r="U9" s="5">
        <f>IF(AND(R9=1, T9&gt;=cfg_debounce_consecutive_steps),1,0)</f>
        <v/>
      </c>
      <c r="V9" s="5">
        <f>IF(AND(I9=1, H9=1, Raw_Data!G9&lt;cfg_pstr_zero_threshold_kw),1,0)</f>
        <v/>
      </c>
      <c r="W9" s="5">
        <f>IF(A9&lt;&gt;A8,IF(V9=1, MAX($W$5:W8)+1, 0),IF(AND(V9=1, V8=0), W8+1,IF(V9=1, W8, W8)))</f>
        <v/>
      </c>
      <c r="X9" s="5">
        <f>IF(V9=1,COUNTIFS($A$5:$A$28,A9,$W$5:$W$28,W9,$V$5:$V$28,1),0)</f>
        <v/>
      </c>
      <c r="Y9" s="5">
        <f>IF(AND(V9=1, X9&gt;=cfg_debounce_consecutive_steps),1,0)</f>
        <v/>
      </c>
      <c r="Z9" s="5">
        <f>IF(AND(I9=1, H9=1, Raw_Data!H9&lt;cfg_pstr_zero_threshold_kw),1,0)</f>
        <v/>
      </c>
      <c r="AA9" s="5">
        <f>IF(A9&lt;&gt;A8,IF(Z9=1, MAX($AA$5:AA8)+1, 0),IF(AND(Z9=1, Z8=0), AA8+1,IF(Z9=1, AA8, AA8)))</f>
        <v/>
      </c>
      <c r="AB9" s="5">
        <f>IF(Z9=1,COUNTIFS($A$5:$A$28,A9,$AA$5:$AA$28,AA9,$Z$5:$Z$28,1),0)</f>
        <v/>
      </c>
      <c r="AC9" s="5">
        <f>IF(AND(Z9=1, AB9&gt;=cfg_debounce_consecutive_steps),1,0)</f>
        <v/>
      </c>
    </row>
    <row r="10">
      <c r="A10" s="5">
        <f>Raw_Data!A10</f>
        <v/>
      </c>
      <c r="B10" s="16">
        <f>Raw_Data!B10</f>
        <v/>
      </c>
      <c r="C10" s="5">
        <f>Raw_Data!C10</f>
        <v/>
      </c>
      <c r="D10" s="5">
        <f>IF(ISNUMBER(SEARCH("shutdown",LOWER(C10)))+ISNUMBER(SEARCH("fault",LOWER(C10))),"DOWN",IF(ISNUMBER(SEARCH("grid connected",LOWER(C10)))+ISNUMBER(SEARCH("on-grid",LOWER(C10))),"ON",IF(ISNUMBER(SEARCH("standby",LOWER(C10)))+ISNUMBER(SEARCH("no sunlight",LOWER(C10))),"TRANSITIONAL","UNKNOWN")))</f>
        <v/>
      </c>
      <c r="E10" s="17">
        <f>MEDIAN(Raw_Data!D10:H10)</f>
        <v/>
      </c>
      <c r="F10" s="5">
        <f>COUNTIF(Raw_Data!D10:H10, "&gt;"&amp;cfg_pstr_zero_threshold_kw)</f>
        <v/>
      </c>
      <c r="G10" s="18">
        <f>100*F10/cfg_n_pv_total_in_workbook</f>
        <v/>
      </c>
      <c r="H10" s="5">
        <f>IF(AND(E10&gt;=cfg_sibling_median_active_kw, G10&gt;=cfg_min_active_siblings_pct),1,0)</f>
        <v/>
      </c>
      <c r="I10" s="5">
        <f>IF(D10="ON",1,0)</f>
        <v/>
      </c>
      <c r="J10" s="5">
        <f>IF(AND(I10=1, H10=1, Raw_Data!D10&lt;cfg_pstr_zero_threshold_kw),1,0)</f>
        <v/>
      </c>
      <c r="K10" s="5">
        <f>IF(A10&lt;&gt;A9,IF(J10=1, MAX($K$5:K9)+1, 0),IF(AND(J10=1, J9=0), K9+1,IF(J10=1, K9, K9)))</f>
        <v/>
      </c>
      <c r="L10" s="5">
        <f>IF(J10=1,COUNTIFS($A$5:$A$28,A10,$K$5:$K$28,K10,$J$5:$J$28,1),0)</f>
        <v/>
      </c>
      <c r="M10" s="5">
        <f>IF(AND(J10=1, L10&gt;=cfg_debounce_consecutive_steps),1,0)</f>
        <v/>
      </c>
      <c r="N10" s="5">
        <f>IF(AND(I10=1, H10=1, Raw_Data!E10&lt;cfg_pstr_zero_threshold_kw),1,0)</f>
        <v/>
      </c>
      <c r="O10" s="5">
        <f>IF(A10&lt;&gt;A9,IF(N10=1, MAX($O$5:O9)+1, 0),IF(AND(N10=1, N9=0), O9+1,IF(N10=1, O9, O9)))</f>
        <v/>
      </c>
      <c r="P10" s="5">
        <f>IF(N10=1,COUNTIFS($A$5:$A$28,A10,$O$5:$O$28,O10,$N$5:$N$28,1),0)</f>
        <v/>
      </c>
      <c r="Q10" s="5">
        <f>IF(AND(N10=1, P10&gt;=cfg_debounce_consecutive_steps),1,0)</f>
        <v/>
      </c>
      <c r="R10" s="5">
        <f>IF(AND(I10=1, H10=1, Raw_Data!F10&lt;cfg_pstr_zero_threshold_kw),1,0)</f>
        <v/>
      </c>
      <c r="S10" s="5">
        <f>IF(A10&lt;&gt;A9,IF(R10=1, MAX($S$5:S9)+1, 0),IF(AND(R10=1, R9=0), S9+1,IF(R10=1, S9, S9)))</f>
        <v/>
      </c>
      <c r="T10" s="5">
        <f>IF(R10=1,COUNTIFS($A$5:$A$28,A10,$S$5:$S$28,S10,$R$5:$R$28,1),0)</f>
        <v/>
      </c>
      <c r="U10" s="5">
        <f>IF(AND(R10=1, T10&gt;=cfg_debounce_consecutive_steps),1,0)</f>
        <v/>
      </c>
      <c r="V10" s="5">
        <f>IF(AND(I10=1, H10=1, Raw_Data!G10&lt;cfg_pstr_zero_threshold_kw),1,0)</f>
        <v/>
      </c>
      <c r="W10" s="5">
        <f>IF(A10&lt;&gt;A9,IF(V10=1, MAX($W$5:W9)+1, 0),IF(AND(V10=1, V9=0), W9+1,IF(V10=1, W9, W9)))</f>
        <v/>
      </c>
      <c r="X10" s="5">
        <f>IF(V10=1,COUNTIFS($A$5:$A$28,A10,$W$5:$W$28,W10,$V$5:$V$28,1),0)</f>
        <v/>
      </c>
      <c r="Y10" s="5">
        <f>IF(AND(V10=1, X10&gt;=cfg_debounce_consecutive_steps),1,0)</f>
        <v/>
      </c>
      <c r="Z10" s="5">
        <f>IF(AND(I10=1, H10=1, Raw_Data!H10&lt;cfg_pstr_zero_threshold_kw),1,0)</f>
        <v/>
      </c>
      <c r="AA10" s="5">
        <f>IF(A10&lt;&gt;A9,IF(Z10=1, MAX($AA$5:AA9)+1, 0),IF(AND(Z10=1, Z9=0), AA9+1,IF(Z10=1, AA9, AA9)))</f>
        <v/>
      </c>
      <c r="AB10" s="5">
        <f>IF(Z10=1,COUNTIFS($A$5:$A$28,A10,$AA$5:$AA$28,AA10,$Z$5:$Z$28,1),0)</f>
        <v/>
      </c>
      <c r="AC10" s="5">
        <f>IF(AND(Z10=1, AB10&gt;=cfg_debounce_consecutive_steps),1,0)</f>
        <v/>
      </c>
    </row>
    <row r="11">
      <c r="A11" s="5">
        <f>Raw_Data!A11</f>
        <v/>
      </c>
      <c r="B11" s="16">
        <f>Raw_Data!B11</f>
        <v/>
      </c>
      <c r="C11" s="5">
        <f>Raw_Data!C11</f>
        <v/>
      </c>
      <c r="D11" s="5">
        <f>IF(ISNUMBER(SEARCH("shutdown",LOWER(C11)))+ISNUMBER(SEARCH("fault",LOWER(C11))),"DOWN",IF(ISNUMBER(SEARCH("grid connected",LOWER(C11)))+ISNUMBER(SEARCH("on-grid",LOWER(C11))),"ON",IF(ISNUMBER(SEARCH("standby",LOWER(C11)))+ISNUMBER(SEARCH("no sunlight",LOWER(C11))),"TRANSITIONAL","UNKNOWN")))</f>
        <v/>
      </c>
      <c r="E11" s="17">
        <f>MEDIAN(Raw_Data!D11:H11)</f>
        <v/>
      </c>
      <c r="F11" s="5">
        <f>COUNTIF(Raw_Data!D11:H11, "&gt;"&amp;cfg_pstr_zero_threshold_kw)</f>
        <v/>
      </c>
      <c r="G11" s="18">
        <f>100*F11/cfg_n_pv_total_in_workbook</f>
        <v/>
      </c>
      <c r="H11" s="5">
        <f>IF(AND(E11&gt;=cfg_sibling_median_active_kw, G11&gt;=cfg_min_active_siblings_pct),1,0)</f>
        <v/>
      </c>
      <c r="I11" s="5">
        <f>IF(D11="ON",1,0)</f>
        <v/>
      </c>
      <c r="J11" s="5">
        <f>IF(AND(I11=1, H11=1, Raw_Data!D11&lt;cfg_pstr_zero_threshold_kw),1,0)</f>
        <v/>
      </c>
      <c r="K11" s="5">
        <f>IF(A11&lt;&gt;A10,IF(J11=1, MAX($K$5:K10)+1, 0),IF(AND(J11=1, J10=0), K10+1,IF(J11=1, K10, K10)))</f>
        <v/>
      </c>
      <c r="L11" s="5">
        <f>IF(J11=1,COUNTIFS($A$5:$A$28,A11,$K$5:$K$28,K11,$J$5:$J$28,1),0)</f>
        <v/>
      </c>
      <c r="M11" s="5">
        <f>IF(AND(J11=1, L11&gt;=cfg_debounce_consecutive_steps),1,0)</f>
        <v/>
      </c>
      <c r="N11" s="5">
        <f>IF(AND(I11=1, H11=1, Raw_Data!E11&lt;cfg_pstr_zero_threshold_kw),1,0)</f>
        <v/>
      </c>
      <c r="O11" s="5">
        <f>IF(A11&lt;&gt;A10,IF(N11=1, MAX($O$5:O10)+1, 0),IF(AND(N11=1, N10=0), O10+1,IF(N11=1, O10, O10)))</f>
        <v/>
      </c>
      <c r="P11" s="5">
        <f>IF(N11=1,COUNTIFS($A$5:$A$28,A11,$O$5:$O$28,O11,$N$5:$N$28,1),0)</f>
        <v/>
      </c>
      <c r="Q11" s="5">
        <f>IF(AND(N11=1, P11&gt;=cfg_debounce_consecutive_steps),1,0)</f>
        <v/>
      </c>
      <c r="R11" s="5">
        <f>IF(AND(I11=1, H11=1, Raw_Data!F11&lt;cfg_pstr_zero_threshold_kw),1,0)</f>
        <v/>
      </c>
      <c r="S11" s="5">
        <f>IF(A11&lt;&gt;A10,IF(R11=1, MAX($S$5:S10)+1, 0),IF(AND(R11=1, R10=0), S10+1,IF(R11=1, S10, S10)))</f>
        <v/>
      </c>
      <c r="T11" s="5">
        <f>IF(R11=1,COUNTIFS($A$5:$A$28,A11,$S$5:$S$28,S11,$R$5:$R$28,1),0)</f>
        <v/>
      </c>
      <c r="U11" s="5">
        <f>IF(AND(R11=1, T11&gt;=cfg_debounce_consecutive_steps),1,0)</f>
        <v/>
      </c>
      <c r="V11" s="5">
        <f>IF(AND(I11=1, H11=1, Raw_Data!G11&lt;cfg_pstr_zero_threshold_kw),1,0)</f>
        <v/>
      </c>
      <c r="W11" s="5">
        <f>IF(A11&lt;&gt;A10,IF(V11=1, MAX($W$5:W10)+1, 0),IF(AND(V11=1, V10=0), W10+1,IF(V11=1, W10, W10)))</f>
        <v/>
      </c>
      <c r="X11" s="5">
        <f>IF(V11=1,COUNTIFS($A$5:$A$28,A11,$W$5:$W$28,W11,$V$5:$V$28,1),0)</f>
        <v/>
      </c>
      <c r="Y11" s="5">
        <f>IF(AND(V11=1, X11&gt;=cfg_debounce_consecutive_steps),1,0)</f>
        <v/>
      </c>
      <c r="Z11" s="5">
        <f>IF(AND(I11=1, H11=1, Raw_Data!H11&lt;cfg_pstr_zero_threshold_kw),1,0)</f>
        <v/>
      </c>
      <c r="AA11" s="5">
        <f>IF(A11&lt;&gt;A10,IF(Z11=1, MAX($AA$5:AA10)+1, 0),IF(AND(Z11=1, Z10=0), AA10+1,IF(Z11=1, AA10, AA10)))</f>
        <v/>
      </c>
      <c r="AB11" s="5">
        <f>IF(Z11=1,COUNTIFS($A$5:$A$28,A11,$AA$5:$AA$28,AA11,$Z$5:$Z$28,1),0)</f>
        <v/>
      </c>
      <c r="AC11" s="5">
        <f>IF(AND(Z11=1, AB11&gt;=cfg_debounce_consecutive_steps),1,0)</f>
        <v/>
      </c>
    </row>
    <row r="12">
      <c r="A12" s="5">
        <f>Raw_Data!A12</f>
        <v/>
      </c>
      <c r="B12" s="16">
        <f>Raw_Data!B12</f>
        <v/>
      </c>
      <c r="C12" s="5">
        <f>Raw_Data!C12</f>
        <v/>
      </c>
      <c r="D12" s="5">
        <f>IF(ISNUMBER(SEARCH("shutdown",LOWER(C12)))+ISNUMBER(SEARCH("fault",LOWER(C12))),"DOWN",IF(ISNUMBER(SEARCH("grid connected",LOWER(C12)))+ISNUMBER(SEARCH("on-grid",LOWER(C12))),"ON",IF(ISNUMBER(SEARCH("standby",LOWER(C12)))+ISNUMBER(SEARCH("no sunlight",LOWER(C12))),"TRANSITIONAL","UNKNOWN")))</f>
        <v/>
      </c>
      <c r="E12" s="17">
        <f>MEDIAN(Raw_Data!D12:H12)</f>
        <v/>
      </c>
      <c r="F12" s="5">
        <f>COUNTIF(Raw_Data!D12:H12, "&gt;"&amp;cfg_pstr_zero_threshold_kw)</f>
        <v/>
      </c>
      <c r="G12" s="18">
        <f>100*F12/cfg_n_pv_total_in_workbook</f>
        <v/>
      </c>
      <c r="H12" s="5">
        <f>IF(AND(E12&gt;=cfg_sibling_median_active_kw, G12&gt;=cfg_min_active_siblings_pct),1,0)</f>
        <v/>
      </c>
      <c r="I12" s="5">
        <f>IF(D12="ON",1,0)</f>
        <v/>
      </c>
      <c r="J12" s="5">
        <f>IF(AND(I12=1, H12=1, Raw_Data!D12&lt;cfg_pstr_zero_threshold_kw),1,0)</f>
        <v/>
      </c>
      <c r="K12" s="5">
        <f>IF(A12&lt;&gt;A11,IF(J12=1, MAX($K$5:K11)+1, 0),IF(AND(J12=1, J11=0), K11+1,IF(J12=1, K11, K11)))</f>
        <v/>
      </c>
      <c r="L12" s="5">
        <f>IF(J12=1,COUNTIFS($A$5:$A$28,A12,$K$5:$K$28,K12,$J$5:$J$28,1),0)</f>
        <v/>
      </c>
      <c r="M12" s="5">
        <f>IF(AND(J12=1, L12&gt;=cfg_debounce_consecutive_steps),1,0)</f>
        <v/>
      </c>
      <c r="N12" s="5">
        <f>IF(AND(I12=1, H12=1, Raw_Data!E12&lt;cfg_pstr_zero_threshold_kw),1,0)</f>
        <v/>
      </c>
      <c r="O12" s="5">
        <f>IF(A12&lt;&gt;A11,IF(N12=1, MAX($O$5:O11)+1, 0),IF(AND(N12=1, N11=0), O11+1,IF(N12=1, O11, O11)))</f>
        <v/>
      </c>
      <c r="P12" s="5">
        <f>IF(N12=1,COUNTIFS($A$5:$A$28,A12,$O$5:$O$28,O12,$N$5:$N$28,1),0)</f>
        <v/>
      </c>
      <c r="Q12" s="5">
        <f>IF(AND(N12=1, P12&gt;=cfg_debounce_consecutive_steps),1,0)</f>
        <v/>
      </c>
      <c r="R12" s="5">
        <f>IF(AND(I12=1, H12=1, Raw_Data!F12&lt;cfg_pstr_zero_threshold_kw),1,0)</f>
        <v/>
      </c>
      <c r="S12" s="5">
        <f>IF(A12&lt;&gt;A11,IF(R12=1, MAX($S$5:S11)+1, 0),IF(AND(R12=1, R11=0), S11+1,IF(R12=1, S11, S11)))</f>
        <v/>
      </c>
      <c r="T12" s="5">
        <f>IF(R12=1,COUNTIFS($A$5:$A$28,A12,$S$5:$S$28,S12,$R$5:$R$28,1),0)</f>
        <v/>
      </c>
      <c r="U12" s="5">
        <f>IF(AND(R12=1, T12&gt;=cfg_debounce_consecutive_steps),1,0)</f>
        <v/>
      </c>
      <c r="V12" s="5">
        <f>IF(AND(I12=1, H12=1, Raw_Data!G12&lt;cfg_pstr_zero_threshold_kw),1,0)</f>
        <v/>
      </c>
      <c r="W12" s="5">
        <f>IF(A12&lt;&gt;A11,IF(V12=1, MAX($W$5:W11)+1, 0),IF(AND(V12=1, V11=0), W11+1,IF(V12=1, W11, W11)))</f>
        <v/>
      </c>
      <c r="X12" s="5">
        <f>IF(V12=1,COUNTIFS($A$5:$A$28,A12,$W$5:$W$28,W12,$V$5:$V$28,1),0)</f>
        <v/>
      </c>
      <c r="Y12" s="5">
        <f>IF(AND(V12=1, X12&gt;=cfg_debounce_consecutive_steps),1,0)</f>
        <v/>
      </c>
      <c r="Z12" s="5">
        <f>IF(AND(I12=1, H12=1, Raw_Data!H12&lt;cfg_pstr_zero_threshold_kw),1,0)</f>
        <v/>
      </c>
      <c r="AA12" s="5">
        <f>IF(A12&lt;&gt;A11,IF(Z12=1, MAX($AA$5:AA11)+1, 0),IF(AND(Z12=1, Z11=0), AA11+1,IF(Z12=1, AA11, AA11)))</f>
        <v/>
      </c>
      <c r="AB12" s="5">
        <f>IF(Z12=1,COUNTIFS($A$5:$A$28,A12,$AA$5:$AA$28,AA12,$Z$5:$Z$28,1),0)</f>
        <v/>
      </c>
      <c r="AC12" s="5">
        <f>IF(AND(Z12=1, AB12&gt;=cfg_debounce_consecutive_steps),1,0)</f>
        <v/>
      </c>
    </row>
    <row r="13">
      <c r="A13" s="5">
        <f>Raw_Data!A13</f>
        <v/>
      </c>
      <c r="B13" s="16">
        <f>Raw_Data!B13</f>
        <v/>
      </c>
      <c r="C13" s="5">
        <f>Raw_Data!C13</f>
        <v/>
      </c>
      <c r="D13" s="5">
        <f>IF(ISNUMBER(SEARCH("shutdown",LOWER(C13)))+ISNUMBER(SEARCH("fault",LOWER(C13))),"DOWN",IF(ISNUMBER(SEARCH("grid connected",LOWER(C13)))+ISNUMBER(SEARCH("on-grid",LOWER(C13))),"ON",IF(ISNUMBER(SEARCH("standby",LOWER(C13)))+ISNUMBER(SEARCH("no sunlight",LOWER(C13))),"TRANSITIONAL","UNKNOWN")))</f>
        <v/>
      </c>
      <c r="E13" s="17">
        <f>MEDIAN(Raw_Data!D13:H13)</f>
        <v/>
      </c>
      <c r="F13" s="5">
        <f>COUNTIF(Raw_Data!D13:H13, "&gt;"&amp;cfg_pstr_zero_threshold_kw)</f>
        <v/>
      </c>
      <c r="G13" s="18">
        <f>100*F13/cfg_n_pv_total_in_workbook</f>
        <v/>
      </c>
      <c r="H13" s="5">
        <f>IF(AND(E13&gt;=cfg_sibling_median_active_kw, G13&gt;=cfg_min_active_siblings_pct),1,0)</f>
        <v/>
      </c>
      <c r="I13" s="5">
        <f>IF(D13="ON",1,0)</f>
        <v/>
      </c>
      <c r="J13" s="5">
        <f>IF(AND(I13=1, H13=1, Raw_Data!D13&lt;cfg_pstr_zero_threshold_kw),1,0)</f>
        <v/>
      </c>
      <c r="K13" s="5">
        <f>IF(A13&lt;&gt;A12,IF(J13=1, MAX($K$5:K12)+1, 0),IF(AND(J13=1, J12=0), K12+1,IF(J13=1, K12, K12)))</f>
        <v/>
      </c>
      <c r="L13" s="5">
        <f>IF(J13=1,COUNTIFS($A$5:$A$28,A13,$K$5:$K$28,K13,$J$5:$J$28,1),0)</f>
        <v/>
      </c>
      <c r="M13" s="5">
        <f>IF(AND(J13=1, L13&gt;=cfg_debounce_consecutive_steps),1,0)</f>
        <v/>
      </c>
      <c r="N13" s="5">
        <f>IF(AND(I13=1, H13=1, Raw_Data!E13&lt;cfg_pstr_zero_threshold_kw),1,0)</f>
        <v/>
      </c>
      <c r="O13" s="5">
        <f>IF(A13&lt;&gt;A12,IF(N13=1, MAX($O$5:O12)+1, 0),IF(AND(N13=1, N12=0), O12+1,IF(N13=1, O12, O12)))</f>
        <v/>
      </c>
      <c r="P13" s="5">
        <f>IF(N13=1,COUNTIFS($A$5:$A$28,A13,$O$5:$O$28,O13,$N$5:$N$28,1),0)</f>
        <v/>
      </c>
      <c r="Q13" s="5">
        <f>IF(AND(N13=1, P13&gt;=cfg_debounce_consecutive_steps),1,0)</f>
        <v/>
      </c>
      <c r="R13" s="5">
        <f>IF(AND(I13=1, H13=1, Raw_Data!F13&lt;cfg_pstr_zero_threshold_kw),1,0)</f>
        <v/>
      </c>
      <c r="S13" s="5">
        <f>IF(A13&lt;&gt;A12,IF(R13=1, MAX($S$5:S12)+1, 0),IF(AND(R13=1, R12=0), S12+1,IF(R13=1, S12, S12)))</f>
        <v/>
      </c>
      <c r="T13" s="5">
        <f>IF(R13=1,COUNTIFS($A$5:$A$28,A13,$S$5:$S$28,S13,$R$5:$R$28,1),0)</f>
        <v/>
      </c>
      <c r="U13" s="5">
        <f>IF(AND(R13=1, T13&gt;=cfg_debounce_consecutive_steps),1,0)</f>
        <v/>
      </c>
      <c r="V13" s="5">
        <f>IF(AND(I13=1, H13=1, Raw_Data!G13&lt;cfg_pstr_zero_threshold_kw),1,0)</f>
        <v/>
      </c>
      <c r="W13" s="5">
        <f>IF(A13&lt;&gt;A12,IF(V13=1, MAX($W$5:W12)+1, 0),IF(AND(V13=1, V12=0), W12+1,IF(V13=1, W12, W12)))</f>
        <v/>
      </c>
      <c r="X13" s="5">
        <f>IF(V13=1,COUNTIFS($A$5:$A$28,A13,$W$5:$W$28,W13,$V$5:$V$28,1),0)</f>
        <v/>
      </c>
      <c r="Y13" s="5">
        <f>IF(AND(V13=1, X13&gt;=cfg_debounce_consecutive_steps),1,0)</f>
        <v/>
      </c>
      <c r="Z13" s="5">
        <f>IF(AND(I13=1, H13=1, Raw_Data!H13&lt;cfg_pstr_zero_threshold_kw),1,0)</f>
        <v/>
      </c>
      <c r="AA13" s="5">
        <f>IF(A13&lt;&gt;A12,IF(Z13=1, MAX($AA$5:AA12)+1, 0),IF(AND(Z13=1, Z12=0), AA12+1,IF(Z13=1, AA12, AA12)))</f>
        <v/>
      </c>
      <c r="AB13" s="5">
        <f>IF(Z13=1,COUNTIFS($A$5:$A$28,A13,$AA$5:$AA$28,AA13,$Z$5:$Z$28,1),0)</f>
        <v/>
      </c>
      <c r="AC13" s="5">
        <f>IF(AND(Z13=1, AB13&gt;=cfg_debounce_consecutive_steps),1,0)</f>
        <v/>
      </c>
    </row>
    <row r="14">
      <c r="A14" s="5">
        <f>Raw_Data!A14</f>
        <v/>
      </c>
      <c r="B14" s="16">
        <f>Raw_Data!B14</f>
        <v/>
      </c>
      <c r="C14" s="5">
        <f>Raw_Data!C14</f>
        <v/>
      </c>
      <c r="D14" s="5">
        <f>IF(ISNUMBER(SEARCH("shutdown",LOWER(C14)))+ISNUMBER(SEARCH("fault",LOWER(C14))),"DOWN",IF(ISNUMBER(SEARCH("grid connected",LOWER(C14)))+ISNUMBER(SEARCH("on-grid",LOWER(C14))),"ON",IF(ISNUMBER(SEARCH("standby",LOWER(C14)))+ISNUMBER(SEARCH("no sunlight",LOWER(C14))),"TRANSITIONAL","UNKNOWN")))</f>
        <v/>
      </c>
      <c r="E14" s="17">
        <f>MEDIAN(Raw_Data!D14:H14)</f>
        <v/>
      </c>
      <c r="F14" s="5">
        <f>COUNTIF(Raw_Data!D14:H14, "&gt;"&amp;cfg_pstr_zero_threshold_kw)</f>
        <v/>
      </c>
      <c r="G14" s="18">
        <f>100*F14/cfg_n_pv_total_in_workbook</f>
        <v/>
      </c>
      <c r="H14" s="5">
        <f>IF(AND(E14&gt;=cfg_sibling_median_active_kw, G14&gt;=cfg_min_active_siblings_pct),1,0)</f>
        <v/>
      </c>
      <c r="I14" s="5">
        <f>IF(D14="ON",1,0)</f>
        <v/>
      </c>
      <c r="J14" s="5">
        <f>IF(AND(I14=1, H14=1, Raw_Data!D14&lt;cfg_pstr_zero_threshold_kw),1,0)</f>
        <v/>
      </c>
      <c r="K14" s="5">
        <f>IF(A14&lt;&gt;A13,IF(J14=1, MAX($K$5:K13)+1, 0),IF(AND(J14=1, J13=0), K13+1,IF(J14=1, K13, K13)))</f>
        <v/>
      </c>
      <c r="L14" s="5">
        <f>IF(J14=1,COUNTIFS($A$5:$A$28,A14,$K$5:$K$28,K14,$J$5:$J$28,1),0)</f>
        <v/>
      </c>
      <c r="M14" s="5">
        <f>IF(AND(J14=1, L14&gt;=cfg_debounce_consecutive_steps),1,0)</f>
        <v/>
      </c>
      <c r="N14" s="5">
        <f>IF(AND(I14=1, H14=1, Raw_Data!E14&lt;cfg_pstr_zero_threshold_kw),1,0)</f>
        <v/>
      </c>
      <c r="O14" s="5">
        <f>IF(A14&lt;&gt;A13,IF(N14=1, MAX($O$5:O13)+1, 0),IF(AND(N14=1, N13=0), O13+1,IF(N14=1, O13, O13)))</f>
        <v/>
      </c>
      <c r="P14" s="5">
        <f>IF(N14=1,COUNTIFS($A$5:$A$28,A14,$O$5:$O$28,O14,$N$5:$N$28,1),0)</f>
        <v/>
      </c>
      <c r="Q14" s="5">
        <f>IF(AND(N14=1, P14&gt;=cfg_debounce_consecutive_steps),1,0)</f>
        <v/>
      </c>
      <c r="R14" s="5">
        <f>IF(AND(I14=1, H14=1, Raw_Data!F14&lt;cfg_pstr_zero_threshold_kw),1,0)</f>
        <v/>
      </c>
      <c r="S14" s="5">
        <f>IF(A14&lt;&gt;A13,IF(R14=1, MAX($S$5:S13)+1, 0),IF(AND(R14=1, R13=0), S13+1,IF(R14=1, S13, S13)))</f>
        <v/>
      </c>
      <c r="T14" s="5">
        <f>IF(R14=1,COUNTIFS($A$5:$A$28,A14,$S$5:$S$28,S14,$R$5:$R$28,1),0)</f>
        <v/>
      </c>
      <c r="U14" s="5">
        <f>IF(AND(R14=1, T14&gt;=cfg_debounce_consecutive_steps),1,0)</f>
        <v/>
      </c>
      <c r="V14" s="5">
        <f>IF(AND(I14=1, H14=1, Raw_Data!G14&lt;cfg_pstr_zero_threshold_kw),1,0)</f>
        <v/>
      </c>
      <c r="W14" s="5">
        <f>IF(A14&lt;&gt;A13,IF(V14=1, MAX($W$5:W13)+1, 0),IF(AND(V14=1, V13=0), W13+1,IF(V14=1, W13, W13)))</f>
        <v/>
      </c>
      <c r="X14" s="5">
        <f>IF(V14=1,COUNTIFS($A$5:$A$28,A14,$W$5:$W$28,W14,$V$5:$V$28,1),0)</f>
        <v/>
      </c>
      <c r="Y14" s="5">
        <f>IF(AND(V14=1, X14&gt;=cfg_debounce_consecutive_steps),1,0)</f>
        <v/>
      </c>
      <c r="Z14" s="5">
        <f>IF(AND(I14=1, H14=1, Raw_Data!H14&lt;cfg_pstr_zero_threshold_kw),1,0)</f>
        <v/>
      </c>
      <c r="AA14" s="5">
        <f>IF(A14&lt;&gt;A13,IF(Z14=1, MAX($AA$5:AA13)+1, 0),IF(AND(Z14=1, Z13=0), AA13+1,IF(Z14=1, AA13, AA13)))</f>
        <v/>
      </c>
      <c r="AB14" s="5">
        <f>IF(Z14=1,COUNTIFS($A$5:$A$28,A14,$AA$5:$AA$28,AA14,$Z$5:$Z$28,1),0)</f>
        <v/>
      </c>
      <c r="AC14" s="5">
        <f>IF(AND(Z14=1, AB14&gt;=cfg_debounce_consecutive_steps),1,0)</f>
        <v/>
      </c>
    </row>
    <row r="15">
      <c r="A15" s="5">
        <f>Raw_Data!A15</f>
        <v/>
      </c>
      <c r="B15" s="16">
        <f>Raw_Data!B15</f>
        <v/>
      </c>
      <c r="C15" s="5">
        <f>Raw_Data!C15</f>
        <v/>
      </c>
      <c r="D15" s="5">
        <f>IF(ISNUMBER(SEARCH("shutdown",LOWER(C15)))+ISNUMBER(SEARCH("fault",LOWER(C15))),"DOWN",IF(ISNUMBER(SEARCH("grid connected",LOWER(C15)))+ISNUMBER(SEARCH("on-grid",LOWER(C15))),"ON",IF(ISNUMBER(SEARCH("standby",LOWER(C15)))+ISNUMBER(SEARCH("no sunlight",LOWER(C15))),"TRANSITIONAL","UNKNOWN")))</f>
        <v/>
      </c>
      <c r="E15" s="17">
        <f>MEDIAN(Raw_Data!D15:H15)</f>
        <v/>
      </c>
      <c r="F15" s="5">
        <f>COUNTIF(Raw_Data!D15:H15, "&gt;"&amp;cfg_pstr_zero_threshold_kw)</f>
        <v/>
      </c>
      <c r="G15" s="18">
        <f>100*F15/cfg_n_pv_total_in_workbook</f>
        <v/>
      </c>
      <c r="H15" s="5">
        <f>IF(AND(E15&gt;=cfg_sibling_median_active_kw, G15&gt;=cfg_min_active_siblings_pct),1,0)</f>
        <v/>
      </c>
      <c r="I15" s="5">
        <f>IF(D15="ON",1,0)</f>
        <v/>
      </c>
      <c r="J15" s="5">
        <f>IF(AND(I15=1, H15=1, Raw_Data!D15&lt;cfg_pstr_zero_threshold_kw),1,0)</f>
        <v/>
      </c>
      <c r="K15" s="5">
        <f>IF(A15&lt;&gt;A14,IF(J15=1, MAX($K$5:K14)+1, 0),IF(AND(J15=1, J14=0), K14+1,IF(J15=1, K14, K14)))</f>
        <v/>
      </c>
      <c r="L15" s="5">
        <f>IF(J15=1,COUNTIFS($A$5:$A$28,A15,$K$5:$K$28,K15,$J$5:$J$28,1),0)</f>
        <v/>
      </c>
      <c r="M15" s="5">
        <f>IF(AND(J15=1, L15&gt;=cfg_debounce_consecutive_steps),1,0)</f>
        <v/>
      </c>
      <c r="N15" s="5">
        <f>IF(AND(I15=1, H15=1, Raw_Data!E15&lt;cfg_pstr_zero_threshold_kw),1,0)</f>
        <v/>
      </c>
      <c r="O15" s="5">
        <f>IF(A15&lt;&gt;A14,IF(N15=1, MAX($O$5:O14)+1, 0),IF(AND(N15=1, N14=0), O14+1,IF(N15=1, O14, O14)))</f>
        <v/>
      </c>
      <c r="P15" s="5">
        <f>IF(N15=1,COUNTIFS($A$5:$A$28,A15,$O$5:$O$28,O15,$N$5:$N$28,1),0)</f>
        <v/>
      </c>
      <c r="Q15" s="5">
        <f>IF(AND(N15=1, P15&gt;=cfg_debounce_consecutive_steps),1,0)</f>
        <v/>
      </c>
      <c r="R15" s="5">
        <f>IF(AND(I15=1, H15=1, Raw_Data!F15&lt;cfg_pstr_zero_threshold_kw),1,0)</f>
        <v/>
      </c>
      <c r="S15" s="5">
        <f>IF(A15&lt;&gt;A14,IF(R15=1, MAX($S$5:S14)+1, 0),IF(AND(R15=1, R14=0), S14+1,IF(R15=1, S14, S14)))</f>
        <v/>
      </c>
      <c r="T15" s="5">
        <f>IF(R15=1,COUNTIFS($A$5:$A$28,A15,$S$5:$S$28,S15,$R$5:$R$28,1),0)</f>
        <v/>
      </c>
      <c r="U15" s="5">
        <f>IF(AND(R15=1, T15&gt;=cfg_debounce_consecutive_steps),1,0)</f>
        <v/>
      </c>
      <c r="V15" s="5">
        <f>IF(AND(I15=1, H15=1, Raw_Data!G15&lt;cfg_pstr_zero_threshold_kw),1,0)</f>
        <v/>
      </c>
      <c r="W15" s="5">
        <f>IF(A15&lt;&gt;A14,IF(V15=1, MAX($W$5:W14)+1, 0),IF(AND(V15=1, V14=0), W14+1,IF(V15=1, W14, W14)))</f>
        <v/>
      </c>
      <c r="X15" s="5">
        <f>IF(V15=1,COUNTIFS($A$5:$A$28,A15,$W$5:$W$28,W15,$V$5:$V$28,1),0)</f>
        <v/>
      </c>
      <c r="Y15" s="5">
        <f>IF(AND(V15=1, X15&gt;=cfg_debounce_consecutive_steps),1,0)</f>
        <v/>
      </c>
      <c r="Z15" s="5">
        <f>IF(AND(I15=1, H15=1, Raw_Data!H15&lt;cfg_pstr_zero_threshold_kw),1,0)</f>
        <v/>
      </c>
      <c r="AA15" s="5">
        <f>IF(A15&lt;&gt;A14,IF(Z15=1, MAX($AA$5:AA14)+1, 0),IF(AND(Z15=1, Z14=0), AA14+1,IF(Z15=1, AA14, AA14)))</f>
        <v/>
      </c>
      <c r="AB15" s="5">
        <f>IF(Z15=1,COUNTIFS($A$5:$A$28,A15,$AA$5:$AA$28,AA15,$Z$5:$Z$28,1),0)</f>
        <v/>
      </c>
      <c r="AC15" s="5">
        <f>IF(AND(Z15=1, AB15&gt;=cfg_debounce_consecutive_steps),1,0)</f>
        <v/>
      </c>
    </row>
    <row r="16">
      <c r="A16" s="5">
        <f>Raw_Data!A16</f>
        <v/>
      </c>
      <c r="B16" s="16">
        <f>Raw_Data!B16</f>
        <v/>
      </c>
      <c r="C16" s="5">
        <f>Raw_Data!C16</f>
        <v/>
      </c>
      <c r="D16" s="5">
        <f>IF(ISNUMBER(SEARCH("shutdown",LOWER(C16)))+ISNUMBER(SEARCH("fault",LOWER(C16))),"DOWN",IF(ISNUMBER(SEARCH("grid connected",LOWER(C16)))+ISNUMBER(SEARCH("on-grid",LOWER(C16))),"ON",IF(ISNUMBER(SEARCH("standby",LOWER(C16)))+ISNUMBER(SEARCH("no sunlight",LOWER(C16))),"TRANSITIONAL","UNKNOWN")))</f>
        <v/>
      </c>
      <c r="E16" s="17">
        <f>MEDIAN(Raw_Data!D16:H16)</f>
        <v/>
      </c>
      <c r="F16" s="5">
        <f>COUNTIF(Raw_Data!D16:H16, "&gt;"&amp;cfg_pstr_zero_threshold_kw)</f>
        <v/>
      </c>
      <c r="G16" s="18">
        <f>100*F16/cfg_n_pv_total_in_workbook</f>
        <v/>
      </c>
      <c r="H16" s="5">
        <f>IF(AND(E16&gt;=cfg_sibling_median_active_kw, G16&gt;=cfg_min_active_siblings_pct),1,0)</f>
        <v/>
      </c>
      <c r="I16" s="5">
        <f>IF(D16="ON",1,0)</f>
        <v/>
      </c>
      <c r="J16" s="5">
        <f>IF(AND(I16=1, H16=1, Raw_Data!D16&lt;cfg_pstr_zero_threshold_kw),1,0)</f>
        <v/>
      </c>
      <c r="K16" s="5">
        <f>IF(A16&lt;&gt;A15,IF(J16=1, MAX($K$5:K15)+1, 0),IF(AND(J16=1, J15=0), K15+1,IF(J16=1, K15, K15)))</f>
        <v/>
      </c>
      <c r="L16" s="5">
        <f>IF(J16=1,COUNTIFS($A$5:$A$28,A16,$K$5:$K$28,K16,$J$5:$J$28,1),0)</f>
        <v/>
      </c>
      <c r="M16" s="5">
        <f>IF(AND(J16=1, L16&gt;=cfg_debounce_consecutive_steps),1,0)</f>
        <v/>
      </c>
      <c r="N16" s="5">
        <f>IF(AND(I16=1, H16=1, Raw_Data!E16&lt;cfg_pstr_zero_threshold_kw),1,0)</f>
        <v/>
      </c>
      <c r="O16" s="5">
        <f>IF(A16&lt;&gt;A15,IF(N16=1, MAX($O$5:O15)+1, 0),IF(AND(N16=1, N15=0), O15+1,IF(N16=1, O15, O15)))</f>
        <v/>
      </c>
      <c r="P16" s="5">
        <f>IF(N16=1,COUNTIFS($A$5:$A$28,A16,$O$5:$O$28,O16,$N$5:$N$28,1),0)</f>
        <v/>
      </c>
      <c r="Q16" s="5">
        <f>IF(AND(N16=1, P16&gt;=cfg_debounce_consecutive_steps),1,0)</f>
        <v/>
      </c>
      <c r="R16" s="5">
        <f>IF(AND(I16=1, H16=1, Raw_Data!F16&lt;cfg_pstr_zero_threshold_kw),1,0)</f>
        <v/>
      </c>
      <c r="S16" s="5">
        <f>IF(A16&lt;&gt;A15,IF(R16=1, MAX($S$5:S15)+1, 0),IF(AND(R16=1, R15=0), S15+1,IF(R16=1, S15, S15)))</f>
        <v/>
      </c>
      <c r="T16" s="5">
        <f>IF(R16=1,COUNTIFS($A$5:$A$28,A16,$S$5:$S$28,S16,$R$5:$R$28,1),0)</f>
        <v/>
      </c>
      <c r="U16" s="5">
        <f>IF(AND(R16=1, T16&gt;=cfg_debounce_consecutive_steps),1,0)</f>
        <v/>
      </c>
      <c r="V16" s="5">
        <f>IF(AND(I16=1, H16=1, Raw_Data!G16&lt;cfg_pstr_zero_threshold_kw),1,0)</f>
        <v/>
      </c>
      <c r="W16" s="5">
        <f>IF(A16&lt;&gt;A15,IF(V16=1, MAX($W$5:W15)+1, 0),IF(AND(V16=1, V15=0), W15+1,IF(V16=1, W15, W15)))</f>
        <v/>
      </c>
      <c r="X16" s="5">
        <f>IF(V16=1,COUNTIFS($A$5:$A$28,A16,$W$5:$W$28,W16,$V$5:$V$28,1),0)</f>
        <v/>
      </c>
      <c r="Y16" s="5">
        <f>IF(AND(V16=1, X16&gt;=cfg_debounce_consecutive_steps),1,0)</f>
        <v/>
      </c>
      <c r="Z16" s="5">
        <f>IF(AND(I16=1, H16=1, Raw_Data!H16&lt;cfg_pstr_zero_threshold_kw),1,0)</f>
        <v/>
      </c>
      <c r="AA16" s="5">
        <f>IF(A16&lt;&gt;A15,IF(Z16=1, MAX($AA$5:AA15)+1, 0),IF(AND(Z16=1, Z15=0), AA15+1,IF(Z16=1, AA15, AA15)))</f>
        <v/>
      </c>
      <c r="AB16" s="5">
        <f>IF(Z16=1,COUNTIFS($A$5:$A$28,A16,$AA$5:$AA$28,AA16,$Z$5:$Z$28,1),0)</f>
        <v/>
      </c>
      <c r="AC16" s="5">
        <f>IF(AND(Z16=1, AB16&gt;=cfg_debounce_consecutive_steps),1,0)</f>
        <v/>
      </c>
    </row>
    <row r="17">
      <c r="A17" s="5">
        <f>Raw_Data!A17</f>
        <v/>
      </c>
      <c r="B17" s="16">
        <f>Raw_Data!B17</f>
        <v/>
      </c>
      <c r="C17" s="5">
        <f>Raw_Data!C17</f>
        <v/>
      </c>
      <c r="D17" s="5">
        <f>IF(ISNUMBER(SEARCH("shutdown",LOWER(C17)))+ISNUMBER(SEARCH("fault",LOWER(C17))),"DOWN",IF(ISNUMBER(SEARCH("grid connected",LOWER(C17)))+ISNUMBER(SEARCH("on-grid",LOWER(C17))),"ON",IF(ISNUMBER(SEARCH("standby",LOWER(C17)))+ISNUMBER(SEARCH("no sunlight",LOWER(C17))),"TRANSITIONAL","UNKNOWN")))</f>
        <v/>
      </c>
      <c r="E17" s="17">
        <f>MEDIAN(Raw_Data!D17:H17)</f>
        <v/>
      </c>
      <c r="F17" s="5">
        <f>COUNTIF(Raw_Data!D17:H17, "&gt;"&amp;cfg_pstr_zero_threshold_kw)</f>
        <v/>
      </c>
      <c r="G17" s="18">
        <f>100*F17/cfg_n_pv_total_in_workbook</f>
        <v/>
      </c>
      <c r="H17" s="5">
        <f>IF(AND(E17&gt;=cfg_sibling_median_active_kw, G17&gt;=cfg_min_active_siblings_pct),1,0)</f>
        <v/>
      </c>
      <c r="I17" s="5">
        <f>IF(D17="ON",1,0)</f>
        <v/>
      </c>
      <c r="J17" s="5">
        <f>IF(AND(I17=1, H17=1, Raw_Data!D17&lt;cfg_pstr_zero_threshold_kw),1,0)</f>
        <v/>
      </c>
      <c r="K17" s="5">
        <f>IF(A17&lt;&gt;A16,IF(J17=1, MAX($K$5:K16)+1, 0),IF(AND(J17=1, J16=0), K16+1,IF(J17=1, K16, K16)))</f>
        <v/>
      </c>
      <c r="L17" s="5">
        <f>IF(J17=1,COUNTIFS($A$5:$A$28,A17,$K$5:$K$28,K17,$J$5:$J$28,1),0)</f>
        <v/>
      </c>
      <c r="M17" s="5">
        <f>IF(AND(J17=1, L17&gt;=cfg_debounce_consecutive_steps),1,0)</f>
        <v/>
      </c>
      <c r="N17" s="5">
        <f>IF(AND(I17=1, H17=1, Raw_Data!E17&lt;cfg_pstr_zero_threshold_kw),1,0)</f>
        <v/>
      </c>
      <c r="O17" s="5">
        <f>IF(A17&lt;&gt;A16,IF(N17=1, MAX($O$5:O16)+1, 0),IF(AND(N17=1, N16=0), O16+1,IF(N17=1, O16, O16)))</f>
        <v/>
      </c>
      <c r="P17" s="5">
        <f>IF(N17=1,COUNTIFS($A$5:$A$28,A17,$O$5:$O$28,O17,$N$5:$N$28,1),0)</f>
        <v/>
      </c>
      <c r="Q17" s="5">
        <f>IF(AND(N17=1, P17&gt;=cfg_debounce_consecutive_steps),1,0)</f>
        <v/>
      </c>
      <c r="R17" s="5">
        <f>IF(AND(I17=1, H17=1, Raw_Data!F17&lt;cfg_pstr_zero_threshold_kw),1,0)</f>
        <v/>
      </c>
      <c r="S17" s="5">
        <f>IF(A17&lt;&gt;A16,IF(R17=1, MAX($S$5:S16)+1, 0),IF(AND(R17=1, R16=0), S16+1,IF(R17=1, S16, S16)))</f>
        <v/>
      </c>
      <c r="T17" s="5">
        <f>IF(R17=1,COUNTIFS($A$5:$A$28,A17,$S$5:$S$28,S17,$R$5:$R$28,1),0)</f>
        <v/>
      </c>
      <c r="U17" s="5">
        <f>IF(AND(R17=1, T17&gt;=cfg_debounce_consecutive_steps),1,0)</f>
        <v/>
      </c>
      <c r="V17" s="5">
        <f>IF(AND(I17=1, H17=1, Raw_Data!G17&lt;cfg_pstr_zero_threshold_kw),1,0)</f>
        <v/>
      </c>
      <c r="W17" s="5">
        <f>IF(A17&lt;&gt;A16,IF(V17=1, MAX($W$5:W16)+1, 0),IF(AND(V17=1, V16=0), W16+1,IF(V17=1, W16, W16)))</f>
        <v/>
      </c>
      <c r="X17" s="5">
        <f>IF(V17=1,COUNTIFS($A$5:$A$28,A17,$W$5:$W$28,W17,$V$5:$V$28,1),0)</f>
        <v/>
      </c>
      <c r="Y17" s="5">
        <f>IF(AND(V17=1, X17&gt;=cfg_debounce_consecutive_steps),1,0)</f>
        <v/>
      </c>
      <c r="Z17" s="5">
        <f>IF(AND(I17=1, H17=1, Raw_Data!H17&lt;cfg_pstr_zero_threshold_kw),1,0)</f>
        <v/>
      </c>
      <c r="AA17" s="5">
        <f>IF(A17&lt;&gt;A16,IF(Z17=1, MAX($AA$5:AA16)+1, 0),IF(AND(Z17=1, Z16=0), AA16+1,IF(Z17=1, AA16, AA16)))</f>
        <v/>
      </c>
      <c r="AB17" s="5">
        <f>IF(Z17=1,COUNTIFS($A$5:$A$28,A17,$AA$5:$AA$28,AA17,$Z$5:$Z$28,1),0)</f>
        <v/>
      </c>
      <c r="AC17" s="5">
        <f>IF(AND(Z17=1, AB17&gt;=cfg_debounce_consecutive_steps),1,0)</f>
        <v/>
      </c>
    </row>
    <row r="18">
      <c r="A18" s="5">
        <f>Raw_Data!A18</f>
        <v/>
      </c>
      <c r="B18" s="16">
        <f>Raw_Data!B18</f>
        <v/>
      </c>
      <c r="C18" s="5">
        <f>Raw_Data!C18</f>
        <v/>
      </c>
      <c r="D18" s="5">
        <f>IF(ISNUMBER(SEARCH("shutdown",LOWER(C18)))+ISNUMBER(SEARCH("fault",LOWER(C18))),"DOWN",IF(ISNUMBER(SEARCH("grid connected",LOWER(C18)))+ISNUMBER(SEARCH("on-grid",LOWER(C18))),"ON",IF(ISNUMBER(SEARCH("standby",LOWER(C18)))+ISNUMBER(SEARCH("no sunlight",LOWER(C18))),"TRANSITIONAL","UNKNOWN")))</f>
        <v/>
      </c>
      <c r="E18" s="17">
        <f>MEDIAN(Raw_Data!D18:H18)</f>
        <v/>
      </c>
      <c r="F18" s="5">
        <f>COUNTIF(Raw_Data!D18:H18, "&gt;"&amp;cfg_pstr_zero_threshold_kw)</f>
        <v/>
      </c>
      <c r="G18" s="18">
        <f>100*F18/cfg_n_pv_total_in_workbook</f>
        <v/>
      </c>
      <c r="H18" s="5">
        <f>IF(AND(E18&gt;=cfg_sibling_median_active_kw, G18&gt;=cfg_min_active_siblings_pct),1,0)</f>
        <v/>
      </c>
      <c r="I18" s="5">
        <f>IF(D18="ON",1,0)</f>
        <v/>
      </c>
      <c r="J18" s="5">
        <f>IF(AND(I18=1, H18=1, Raw_Data!D18&lt;cfg_pstr_zero_threshold_kw),1,0)</f>
        <v/>
      </c>
      <c r="K18" s="5">
        <f>IF(A18&lt;&gt;A17,IF(J18=1, MAX($K$5:K17)+1, 0),IF(AND(J18=1, J17=0), K17+1,IF(J18=1, K17, K17)))</f>
        <v/>
      </c>
      <c r="L18" s="5">
        <f>IF(J18=1,COUNTIFS($A$5:$A$28,A18,$K$5:$K$28,K18,$J$5:$J$28,1),0)</f>
        <v/>
      </c>
      <c r="M18" s="5">
        <f>IF(AND(J18=1, L18&gt;=cfg_debounce_consecutive_steps),1,0)</f>
        <v/>
      </c>
      <c r="N18" s="5">
        <f>IF(AND(I18=1, H18=1, Raw_Data!E18&lt;cfg_pstr_zero_threshold_kw),1,0)</f>
        <v/>
      </c>
      <c r="O18" s="5">
        <f>IF(A18&lt;&gt;A17,IF(N18=1, MAX($O$5:O17)+1, 0),IF(AND(N18=1, N17=0), O17+1,IF(N18=1, O17, O17)))</f>
        <v/>
      </c>
      <c r="P18" s="5">
        <f>IF(N18=1,COUNTIFS($A$5:$A$28,A18,$O$5:$O$28,O18,$N$5:$N$28,1),0)</f>
        <v/>
      </c>
      <c r="Q18" s="5">
        <f>IF(AND(N18=1, P18&gt;=cfg_debounce_consecutive_steps),1,0)</f>
        <v/>
      </c>
      <c r="R18" s="5">
        <f>IF(AND(I18=1, H18=1, Raw_Data!F18&lt;cfg_pstr_zero_threshold_kw),1,0)</f>
        <v/>
      </c>
      <c r="S18" s="5">
        <f>IF(A18&lt;&gt;A17,IF(R18=1, MAX($S$5:S17)+1, 0),IF(AND(R18=1, R17=0), S17+1,IF(R18=1, S17, S17)))</f>
        <v/>
      </c>
      <c r="T18" s="5">
        <f>IF(R18=1,COUNTIFS($A$5:$A$28,A18,$S$5:$S$28,S18,$R$5:$R$28,1),0)</f>
        <v/>
      </c>
      <c r="U18" s="5">
        <f>IF(AND(R18=1, T18&gt;=cfg_debounce_consecutive_steps),1,0)</f>
        <v/>
      </c>
      <c r="V18" s="5">
        <f>IF(AND(I18=1, H18=1, Raw_Data!G18&lt;cfg_pstr_zero_threshold_kw),1,0)</f>
        <v/>
      </c>
      <c r="W18" s="5">
        <f>IF(A18&lt;&gt;A17,IF(V18=1, MAX($W$5:W17)+1, 0),IF(AND(V18=1, V17=0), W17+1,IF(V18=1, W17, W17)))</f>
        <v/>
      </c>
      <c r="X18" s="5">
        <f>IF(V18=1,COUNTIFS($A$5:$A$28,A18,$W$5:$W$28,W18,$V$5:$V$28,1),0)</f>
        <v/>
      </c>
      <c r="Y18" s="5">
        <f>IF(AND(V18=1, X18&gt;=cfg_debounce_consecutive_steps),1,0)</f>
        <v/>
      </c>
      <c r="Z18" s="5">
        <f>IF(AND(I18=1, H18=1, Raw_Data!H18&lt;cfg_pstr_zero_threshold_kw),1,0)</f>
        <v/>
      </c>
      <c r="AA18" s="5">
        <f>IF(A18&lt;&gt;A17,IF(Z18=1, MAX($AA$5:AA17)+1, 0),IF(AND(Z18=1, Z17=0), AA17+1,IF(Z18=1, AA17, AA17)))</f>
        <v/>
      </c>
      <c r="AB18" s="5">
        <f>IF(Z18=1,COUNTIFS($A$5:$A$28,A18,$AA$5:$AA$28,AA18,$Z$5:$Z$28,1),0)</f>
        <v/>
      </c>
      <c r="AC18" s="5">
        <f>IF(AND(Z18=1, AB18&gt;=cfg_debounce_consecutive_steps),1,0)</f>
        <v/>
      </c>
    </row>
    <row r="19">
      <c r="A19" s="5">
        <f>Raw_Data!A19</f>
        <v/>
      </c>
      <c r="B19" s="16">
        <f>Raw_Data!B19</f>
        <v/>
      </c>
      <c r="C19" s="5">
        <f>Raw_Data!C19</f>
        <v/>
      </c>
      <c r="D19" s="5">
        <f>IF(ISNUMBER(SEARCH("shutdown",LOWER(C19)))+ISNUMBER(SEARCH("fault",LOWER(C19))),"DOWN",IF(ISNUMBER(SEARCH("grid connected",LOWER(C19)))+ISNUMBER(SEARCH("on-grid",LOWER(C19))),"ON",IF(ISNUMBER(SEARCH("standby",LOWER(C19)))+ISNUMBER(SEARCH("no sunlight",LOWER(C19))),"TRANSITIONAL","UNKNOWN")))</f>
        <v/>
      </c>
      <c r="E19" s="17">
        <f>MEDIAN(Raw_Data!D19:H19)</f>
        <v/>
      </c>
      <c r="F19" s="5">
        <f>COUNTIF(Raw_Data!D19:H19, "&gt;"&amp;cfg_pstr_zero_threshold_kw)</f>
        <v/>
      </c>
      <c r="G19" s="18">
        <f>100*F19/cfg_n_pv_total_in_workbook</f>
        <v/>
      </c>
      <c r="H19" s="5">
        <f>IF(AND(E19&gt;=cfg_sibling_median_active_kw, G19&gt;=cfg_min_active_siblings_pct),1,0)</f>
        <v/>
      </c>
      <c r="I19" s="5">
        <f>IF(D19="ON",1,0)</f>
        <v/>
      </c>
      <c r="J19" s="5">
        <f>IF(AND(I19=1, H19=1, Raw_Data!D19&lt;cfg_pstr_zero_threshold_kw),1,0)</f>
        <v/>
      </c>
      <c r="K19" s="5">
        <f>IF(A19&lt;&gt;A18,IF(J19=1, MAX($K$5:K18)+1, 0),IF(AND(J19=1, J18=0), K18+1,IF(J19=1, K18, K18)))</f>
        <v/>
      </c>
      <c r="L19" s="5">
        <f>IF(J19=1,COUNTIFS($A$5:$A$28,A19,$K$5:$K$28,K19,$J$5:$J$28,1),0)</f>
        <v/>
      </c>
      <c r="M19" s="5">
        <f>IF(AND(J19=1, L19&gt;=cfg_debounce_consecutive_steps),1,0)</f>
        <v/>
      </c>
      <c r="N19" s="5">
        <f>IF(AND(I19=1, H19=1, Raw_Data!E19&lt;cfg_pstr_zero_threshold_kw),1,0)</f>
        <v/>
      </c>
      <c r="O19" s="5">
        <f>IF(A19&lt;&gt;A18,IF(N19=1, MAX($O$5:O18)+1, 0),IF(AND(N19=1, N18=0), O18+1,IF(N19=1, O18, O18)))</f>
        <v/>
      </c>
      <c r="P19" s="5">
        <f>IF(N19=1,COUNTIFS($A$5:$A$28,A19,$O$5:$O$28,O19,$N$5:$N$28,1),0)</f>
        <v/>
      </c>
      <c r="Q19" s="5">
        <f>IF(AND(N19=1, P19&gt;=cfg_debounce_consecutive_steps),1,0)</f>
        <v/>
      </c>
      <c r="R19" s="5">
        <f>IF(AND(I19=1, H19=1, Raw_Data!F19&lt;cfg_pstr_zero_threshold_kw),1,0)</f>
        <v/>
      </c>
      <c r="S19" s="5">
        <f>IF(A19&lt;&gt;A18,IF(R19=1, MAX($S$5:S18)+1, 0),IF(AND(R19=1, R18=0), S18+1,IF(R19=1, S18, S18)))</f>
        <v/>
      </c>
      <c r="T19" s="5">
        <f>IF(R19=1,COUNTIFS($A$5:$A$28,A19,$S$5:$S$28,S19,$R$5:$R$28,1),0)</f>
        <v/>
      </c>
      <c r="U19" s="5">
        <f>IF(AND(R19=1, T19&gt;=cfg_debounce_consecutive_steps),1,0)</f>
        <v/>
      </c>
      <c r="V19" s="5">
        <f>IF(AND(I19=1, H19=1, Raw_Data!G19&lt;cfg_pstr_zero_threshold_kw),1,0)</f>
        <v/>
      </c>
      <c r="W19" s="5">
        <f>IF(A19&lt;&gt;A18,IF(V19=1, MAX($W$5:W18)+1, 0),IF(AND(V19=1, V18=0), W18+1,IF(V19=1, W18, W18)))</f>
        <v/>
      </c>
      <c r="X19" s="5">
        <f>IF(V19=1,COUNTIFS($A$5:$A$28,A19,$W$5:$W$28,W19,$V$5:$V$28,1),0)</f>
        <v/>
      </c>
      <c r="Y19" s="5">
        <f>IF(AND(V19=1, X19&gt;=cfg_debounce_consecutive_steps),1,0)</f>
        <v/>
      </c>
      <c r="Z19" s="5">
        <f>IF(AND(I19=1, H19=1, Raw_Data!H19&lt;cfg_pstr_zero_threshold_kw),1,0)</f>
        <v/>
      </c>
      <c r="AA19" s="5">
        <f>IF(A19&lt;&gt;A18,IF(Z19=1, MAX($AA$5:AA18)+1, 0),IF(AND(Z19=1, Z18=0), AA18+1,IF(Z19=1, AA18, AA18)))</f>
        <v/>
      </c>
      <c r="AB19" s="5">
        <f>IF(Z19=1,COUNTIFS($A$5:$A$28,A19,$AA$5:$AA$28,AA19,$Z$5:$Z$28,1),0)</f>
        <v/>
      </c>
      <c r="AC19" s="5">
        <f>IF(AND(Z19=1, AB19&gt;=cfg_debounce_consecutive_steps),1,0)</f>
        <v/>
      </c>
    </row>
    <row r="20">
      <c r="A20" s="5">
        <f>Raw_Data!A20</f>
        <v/>
      </c>
      <c r="B20" s="16">
        <f>Raw_Data!B20</f>
        <v/>
      </c>
      <c r="C20" s="5">
        <f>Raw_Data!C20</f>
        <v/>
      </c>
      <c r="D20" s="5">
        <f>IF(ISNUMBER(SEARCH("shutdown",LOWER(C20)))+ISNUMBER(SEARCH("fault",LOWER(C20))),"DOWN",IF(ISNUMBER(SEARCH("grid connected",LOWER(C20)))+ISNUMBER(SEARCH("on-grid",LOWER(C20))),"ON",IF(ISNUMBER(SEARCH("standby",LOWER(C20)))+ISNUMBER(SEARCH("no sunlight",LOWER(C20))),"TRANSITIONAL","UNKNOWN")))</f>
        <v/>
      </c>
      <c r="E20" s="17">
        <f>MEDIAN(Raw_Data!D20:H20)</f>
        <v/>
      </c>
      <c r="F20" s="5">
        <f>COUNTIF(Raw_Data!D20:H20, "&gt;"&amp;cfg_pstr_zero_threshold_kw)</f>
        <v/>
      </c>
      <c r="G20" s="18">
        <f>100*F20/cfg_n_pv_total_in_workbook</f>
        <v/>
      </c>
      <c r="H20" s="5">
        <f>IF(AND(E20&gt;=cfg_sibling_median_active_kw, G20&gt;=cfg_min_active_siblings_pct),1,0)</f>
        <v/>
      </c>
      <c r="I20" s="5">
        <f>IF(D20="ON",1,0)</f>
        <v/>
      </c>
      <c r="J20" s="5">
        <f>IF(AND(I20=1, H20=1, Raw_Data!D20&lt;cfg_pstr_zero_threshold_kw),1,0)</f>
        <v/>
      </c>
      <c r="K20" s="5">
        <f>IF(A20&lt;&gt;A19,IF(J20=1, MAX($K$5:K19)+1, 0),IF(AND(J20=1, J19=0), K19+1,IF(J20=1, K19, K19)))</f>
        <v/>
      </c>
      <c r="L20" s="5">
        <f>IF(J20=1,COUNTIFS($A$5:$A$28,A20,$K$5:$K$28,K20,$J$5:$J$28,1),0)</f>
        <v/>
      </c>
      <c r="M20" s="5">
        <f>IF(AND(J20=1, L20&gt;=cfg_debounce_consecutive_steps),1,0)</f>
        <v/>
      </c>
      <c r="N20" s="5">
        <f>IF(AND(I20=1, H20=1, Raw_Data!E20&lt;cfg_pstr_zero_threshold_kw),1,0)</f>
        <v/>
      </c>
      <c r="O20" s="5">
        <f>IF(A20&lt;&gt;A19,IF(N20=1, MAX($O$5:O19)+1, 0),IF(AND(N20=1, N19=0), O19+1,IF(N20=1, O19, O19)))</f>
        <v/>
      </c>
      <c r="P20" s="5">
        <f>IF(N20=1,COUNTIFS($A$5:$A$28,A20,$O$5:$O$28,O20,$N$5:$N$28,1),0)</f>
        <v/>
      </c>
      <c r="Q20" s="5">
        <f>IF(AND(N20=1, P20&gt;=cfg_debounce_consecutive_steps),1,0)</f>
        <v/>
      </c>
      <c r="R20" s="5">
        <f>IF(AND(I20=1, H20=1, Raw_Data!F20&lt;cfg_pstr_zero_threshold_kw),1,0)</f>
        <v/>
      </c>
      <c r="S20" s="5">
        <f>IF(A20&lt;&gt;A19,IF(R20=1, MAX($S$5:S19)+1, 0),IF(AND(R20=1, R19=0), S19+1,IF(R20=1, S19, S19)))</f>
        <v/>
      </c>
      <c r="T20" s="5">
        <f>IF(R20=1,COUNTIFS($A$5:$A$28,A20,$S$5:$S$28,S20,$R$5:$R$28,1),0)</f>
        <v/>
      </c>
      <c r="U20" s="5">
        <f>IF(AND(R20=1, T20&gt;=cfg_debounce_consecutive_steps),1,0)</f>
        <v/>
      </c>
      <c r="V20" s="5">
        <f>IF(AND(I20=1, H20=1, Raw_Data!G20&lt;cfg_pstr_zero_threshold_kw),1,0)</f>
        <v/>
      </c>
      <c r="W20" s="5">
        <f>IF(A20&lt;&gt;A19,IF(V20=1, MAX($W$5:W19)+1, 0),IF(AND(V20=1, V19=0), W19+1,IF(V20=1, W19, W19)))</f>
        <v/>
      </c>
      <c r="X20" s="5">
        <f>IF(V20=1,COUNTIFS($A$5:$A$28,A20,$W$5:$W$28,W20,$V$5:$V$28,1),0)</f>
        <v/>
      </c>
      <c r="Y20" s="5">
        <f>IF(AND(V20=1, X20&gt;=cfg_debounce_consecutive_steps),1,0)</f>
        <v/>
      </c>
      <c r="Z20" s="5">
        <f>IF(AND(I20=1, H20=1, Raw_Data!H20&lt;cfg_pstr_zero_threshold_kw),1,0)</f>
        <v/>
      </c>
      <c r="AA20" s="5">
        <f>IF(A20&lt;&gt;A19,IF(Z20=1, MAX($AA$5:AA19)+1, 0),IF(AND(Z20=1, Z19=0), AA19+1,IF(Z20=1, AA19, AA19)))</f>
        <v/>
      </c>
      <c r="AB20" s="5">
        <f>IF(Z20=1,COUNTIFS($A$5:$A$28,A20,$AA$5:$AA$28,AA20,$Z$5:$Z$28,1),0)</f>
        <v/>
      </c>
      <c r="AC20" s="5">
        <f>IF(AND(Z20=1, AB20&gt;=cfg_debounce_consecutive_steps),1,0)</f>
        <v/>
      </c>
    </row>
    <row r="21">
      <c r="A21" s="5">
        <f>Raw_Data!A21</f>
        <v/>
      </c>
      <c r="B21" s="16">
        <f>Raw_Data!B21</f>
        <v/>
      </c>
      <c r="C21" s="5">
        <f>Raw_Data!C21</f>
        <v/>
      </c>
      <c r="D21" s="5">
        <f>IF(ISNUMBER(SEARCH("shutdown",LOWER(C21)))+ISNUMBER(SEARCH("fault",LOWER(C21))),"DOWN",IF(ISNUMBER(SEARCH("grid connected",LOWER(C21)))+ISNUMBER(SEARCH("on-grid",LOWER(C21))),"ON",IF(ISNUMBER(SEARCH("standby",LOWER(C21)))+ISNUMBER(SEARCH("no sunlight",LOWER(C21))),"TRANSITIONAL","UNKNOWN")))</f>
        <v/>
      </c>
      <c r="E21" s="17">
        <f>MEDIAN(Raw_Data!D21:H21)</f>
        <v/>
      </c>
      <c r="F21" s="5">
        <f>COUNTIF(Raw_Data!D21:H21, "&gt;"&amp;cfg_pstr_zero_threshold_kw)</f>
        <v/>
      </c>
      <c r="G21" s="18">
        <f>100*F21/cfg_n_pv_total_in_workbook</f>
        <v/>
      </c>
      <c r="H21" s="5">
        <f>IF(AND(E21&gt;=cfg_sibling_median_active_kw, G21&gt;=cfg_min_active_siblings_pct),1,0)</f>
        <v/>
      </c>
      <c r="I21" s="5">
        <f>IF(D21="ON",1,0)</f>
        <v/>
      </c>
      <c r="J21" s="5">
        <f>IF(AND(I21=1, H21=1, Raw_Data!D21&lt;cfg_pstr_zero_threshold_kw),1,0)</f>
        <v/>
      </c>
      <c r="K21" s="5">
        <f>IF(A21&lt;&gt;A20,IF(J21=1, MAX($K$5:K20)+1, 0),IF(AND(J21=1, J20=0), K20+1,IF(J21=1, K20, K20)))</f>
        <v/>
      </c>
      <c r="L21" s="5">
        <f>IF(J21=1,COUNTIFS($A$5:$A$28,A21,$K$5:$K$28,K21,$J$5:$J$28,1),0)</f>
        <v/>
      </c>
      <c r="M21" s="5">
        <f>IF(AND(J21=1, L21&gt;=cfg_debounce_consecutive_steps),1,0)</f>
        <v/>
      </c>
      <c r="N21" s="5">
        <f>IF(AND(I21=1, H21=1, Raw_Data!E21&lt;cfg_pstr_zero_threshold_kw),1,0)</f>
        <v/>
      </c>
      <c r="O21" s="5">
        <f>IF(A21&lt;&gt;A20,IF(N21=1, MAX($O$5:O20)+1, 0),IF(AND(N21=1, N20=0), O20+1,IF(N21=1, O20, O20)))</f>
        <v/>
      </c>
      <c r="P21" s="5">
        <f>IF(N21=1,COUNTIFS($A$5:$A$28,A21,$O$5:$O$28,O21,$N$5:$N$28,1),0)</f>
        <v/>
      </c>
      <c r="Q21" s="5">
        <f>IF(AND(N21=1, P21&gt;=cfg_debounce_consecutive_steps),1,0)</f>
        <v/>
      </c>
      <c r="R21" s="5">
        <f>IF(AND(I21=1, H21=1, Raw_Data!F21&lt;cfg_pstr_zero_threshold_kw),1,0)</f>
        <v/>
      </c>
      <c r="S21" s="5">
        <f>IF(A21&lt;&gt;A20,IF(R21=1, MAX($S$5:S20)+1, 0),IF(AND(R21=1, R20=0), S20+1,IF(R21=1, S20, S20)))</f>
        <v/>
      </c>
      <c r="T21" s="5">
        <f>IF(R21=1,COUNTIFS($A$5:$A$28,A21,$S$5:$S$28,S21,$R$5:$R$28,1),0)</f>
        <v/>
      </c>
      <c r="U21" s="5">
        <f>IF(AND(R21=1, T21&gt;=cfg_debounce_consecutive_steps),1,0)</f>
        <v/>
      </c>
      <c r="V21" s="5">
        <f>IF(AND(I21=1, H21=1, Raw_Data!G21&lt;cfg_pstr_zero_threshold_kw),1,0)</f>
        <v/>
      </c>
      <c r="W21" s="5">
        <f>IF(A21&lt;&gt;A20,IF(V21=1, MAX($W$5:W20)+1, 0),IF(AND(V21=1, V20=0), W20+1,IF(V21=1, W20, W20)))</f>
        <v/>
      </c>
      <c r="X21" s="5">
        <f>IF(V21=1,COUNTIFS($A$5:$A$28,A21,$W$5:$W$28,W21,$V$5:$V$28,1),0)</f>
        <v/>
      </c>
      <c r="Y21" s="5">
        <f>IF(AND(V21=1, X21&gt;=cfg_debounce_consecutive_steps),1,0)</f>
        <v/>
      </c>
      <c r="Z21" s="5">
        <f>IF(AND(I21=1, H21=1, Raw_Data!H21&lt;cfg_pstr_zero_threshold_kw),1,0)</f>
        <v/>
      </c>
      <c r="AA21" s="5">
        <f>IF(A21&lt;&gt;A20,IF(Z21=1, MAX($AA$5:AA20)+1, 0),IF(AND(Z21=1, Z20=0), AA20+1,IF(Z21=1, AA20, AA20)))</f>
        <v/>
      </c>
      <c r="AB21" s="5">
        <f>IF(Z21=1,COUNTIFS($A$5:$A$28,A21,$AA$5:$AA$28,AA21,$Z$5:$Z$28,1),0)</f>
        <v/>
      </c>
      <c r="AC21" s="5">
        <f>IF(AND(Z21=1, AB21&gt;=cfg_debounce_consecutive_steps),1,0)</f>
        <v/>
      </c>
    </row>
    <row r="22">
      <c r="A22" s="5">
        <f>Raw_Data!A22</f>
        <v/>
      </c>
      <c r="B22" s="16">
        <f>Raw_Data!B22</f>
        <v/>
      </c>
      <c r="C22" s="5">
        <f>Raw_Data!C22</f>
        <v/>
      </c>
      <c r="D22" s="5">
        <f>IF(ISNUMBER(SEARCH("shutdown",LOWER(C22)))+ISNUMBER(SEARCH("fault",LOWER(C22))),"DOWN",IF(ISNUMBER(SEARCH("grid connected",LOWER(C22)))+ISNUMBER(SEARCH("on-grid",LOWER(C22))),"ON",IF(ISNUMBER(SEARCH("standby",LOWER(C22)))+ISNUMBER(SEARCH("no sunlight",LOWER(C22))),"TRANSITIONAL","UNKNOWN")))</f>
        <v/>
      </c>
      <c r="E22" s="17">
        <f>MEDIAN(Raw_Data!D22:H22)</f>
        <v/>
      </c>
      <c r="F22" s="5">
        <f>COUNTIF(Raw_Data!D22:H22, "&gt;"&amp;cfg_pstr_zero_threshold_kw)</f>
        <v/>
      </c>
      <c r="G22" s="18">
        <f>100*F22/cfg_n_pv_total_in_workbook</f>
        <v/>
      </c>
      <c r="H22" s="5">
        <f>IF(AND(E22&gt;=cfg_sibling_median_active_kw, G22&gt;=cfg_min_active_siblings_pct),1,0)</f>
        <v/>
      </c>
      <c r="I22" s="5">
        <f>IF(D22="ON",1,0)</f>
        <v/>
      </c>
      <c r="J22" s="5">
        <f>IF(AND(I22=1, H22=1, Raw_Data!D22&lt;cfg_pstr_zero_threshold_kw),1,0)</f>
        <v/>
      </c>
      <c r="K22" s="5">
        <f>IF(A22&lt;&gt;A21,IF(J22=1, MAX($K$5:K21)+1, 0),IF(AND(J22=1, J21=0), K21+1,IF(J22=1, K21, K21)))</f>
        <v/>
      </c>
      <c r="L22" s="5">
        <f>IF(J22=1,COUNTIFS($A$5:$A$28,A22,$K$5:$K$28,K22,$J$5:$J$28,1),0)</f>
        <v/>
      </c>
      <c r="M22" s="5">
        <f>IF(AND(J22=1, L22&gt;=cfg_debounce_consecutive_steps),1,0)</f>
        <v/>
      </c>
      <c r="N22" s="5">
        <f>IF(AND(I22=1, H22=1, Raw_Data!E22&lt;cfg_pstr_zero_threshold_kw),1,0)</f>
        <v/>
      </c>
      <c r="O22" s="5">
        <f>IF(A22&lt;&gt;A21,IF(N22=1, MAX($O$5:O21)+1, 0),IF(AND(N22=1, N21=0), O21+1,IF(N22=1, O21, O21)))</f>
        <v/>
      </c>
      <c r="P22" s="5">
        <f>IF(N22=1,COUNTIFS($A$5:$A$28,A22,$O$5:$O$28,O22,$N$5:$N$28,1),0)</f>
        <v/>
      </c>
      <c r="Q22" s="5">
        <f>IF(AND(N22=1, P22&gt;=cfg_debounce_consecutive_steps),1,0)</f>
        <v/>
      </c>
      <c r="R22" s="5">
        <f>IF(AND(I22=1, H22=1, Raw_Data!F22&lt;cfg_pstr_zero_threshold_kw),1,0)</f>
        <v/>
      </c>
      <c r="S22" s="5">
        <f>IF(A22&lt;&gt;A21,IF(R22=1, MAX($S$5:S21)+1, 0),IF(AND(R22=1, R21=0), S21+1,IF(R22=1, S21, S21)))</f>
        <v/>
      </c>
      <c r="T22" s="5">
        <f>IF(R22=1,COUNTIFS($A$5:$A$28,A22,$S$5:$S$28,S22,$R$5:$R$28,1),0)</f>
        <v/>
      </c>
      <c r="U22" s="5">
        <f>IF(AND(R22=1, T22&gt;=cfg_debounce_consecutive_steps),1,0)</f>
        <v/>
      </c>
      <c r="V22" s="5">
        <f>IF(AND(I22=1, H22=1, Raw_Data!G22&lt;cfg_pstr_zero_threshold_kw),1,0)</f>
        <v/>
      </c>
      <c r="W22" s="5">
        <f>IF(A22&lt;&gt;A21,IF(V22=1, MAX($W$5:W21)+1, 0),IF(AND(V22=1, V21=0), W21+1,IF(V22=1, W21, W21)))</f>
        <v/>
      </c>
      <c r="X22" s="5">
        <f>IF(V22=1,COUNTIFS($A$5:$A$28,A22,$W$5:$W$28,W22,$V$5:$V$28,1),0)</f>
        <v/>
      </c>
      <c r="Y22" s="5">
        <f>IF(AND(V22=1, X22&gt;=cfg_debounce_consecutive_steps),1,0)</f>
        <v/>
      </c>
      <c r="Z22" s="5">
        <f>IF(AND(I22=1, H22=1, Raw_Data!H22&lt;cfg_pstr_zero_threshold_kw),1,0)</f>
        <v/>
      </c>
      <c r="AA22" s="5">
        <f>IF(A22&lt;&gt;A21,IF(Z22=1, MAX($AA$5:AA21)+1, 0),IF(AND(Z22=1, Z21=0), AA21+1,IF(Z22=1, AA21, AA21)))</f>
        <v/>
      </c>
      <c r="AB22" s="5">
        <f>IF(Z22=1,COUNTIFS($A$5:$A$28,A22,$AA$5:$AA$28,AA22,$Z$5:$Z$28,1),0)</f>
        <v/>
      </c>
      <c r="AC22" s="5">
        <f>IF(AND(Z22=1, AB22&gt;=cfg_debounce_consecutive_steps),1,0)</f>
        <v/>
      </c>
    </row>
    <row r="23">
      <c r="A23" s="5">
        <f>Raw_Data!A23</f>
        <v/>
      </c>
      <c r="B23" s="16">
        <f>Raw_Data!B23</f>
        <v/>
      </c>
      <c r="C23" s="5">
        <f>Raw_Data!C23</f>
        <v/>
      </c>
      <c r="D23" s="5">
        <f>IF(ISNUMBER(SEARCH("shutdown",LOWER(C23)))+ISNUMBER(SEARCH("fault",LOWER(C23))),"DOWN",IF(ISNUMBER(SEARCH("grid connected",LOWER(C23)))+ISNUMBER(SEARCH("on-grid",LOWER(C23))),"ON",IF(ISNUMBER(SEARCH("standby",LOWER(C23)))+ISNUMBER(SEARCH("no sunlight",LOWER(C23))),"TRANSITIONAL","UNKNOWN")))</f>
        <v/>
      </c>
      <c r="E23" s="17">
        <f>MEDIAN(Raw_Data!D23:H23)</f>
        <v/>
      </c>
      <c r="F23" s="5">
        <f>COUNTIF(Raw_Data!D23:H23, "&gt;"&amp;cfg_pstr_zero_threshold_kw)</f>
        <v/>
      </c>
      <c r="G23" s="18">
        <f>100*F23/cfg_n_pv_total_in_workbook</f>
        <v/>
      </c>
      <c r="H23" s="5">
        <f>IF(AND(E23&gt;=cfg_sibling_median_active_kw, G23&gt;=cfg_min_active_siblings_pct),1,0)</f>
        <v/>
      </c>
      <c r="I23" s="5">
        <f>IF(D23="ON",1,0)</f>
        <v/>
      </c>
      <c r="J23" s="5">
        <f>IF(AND(I23=1, H23=1, Raw_Data!D23&lt;cfg_pstr_zero_threshold_kw),1,0)</f>
        <v/>
      </c>
      <c r="K23" s="5">
        <f>IF(A23&lt;&gt;A22,IF(J23=1, MAX($K$5:K22)+1, 0),IF(AND(J23=1, J22=0), K22+1,IF(J23=1, K22, K22)))</f>
        <v/>
      </c>
      <c r="L23" s="5">
        <f>IF(J23=1,COUNTIFS($A$5:$A$28,A23,$K$5:$K$28,K23,$J$5:$J$28,1),0)</f>
        <v/>
      </c>
      <c r="M23" s="5">
        <f>IF(AND(J23=1, L23&gt;=cfg_debounce_consecutive_steps),1,0)</f>
        <v/>
      </c>
      <c r="N23" s="5">
        <f>IF(AND(I23=1, H23=1, Raw_Data!E23&lt;cfg_pstr_zero_threshold_kw),1,0)</f>
        <v/>
      </c>
      <c r="O23" s="5">
        <f>IF(A23&lt;&gt;A22,IF(N23=1, MAX($O$5:O22)+1, 0),IF(AND(N23=1, N22=0), O22+1,IF(N23=1, O22, O22)))</f>
        <v/>
      </c>
      <c r="P23" s="5">
        <f>IF(N23=1,COUNTIFS($A$5:$A$28,A23,$O$5:$O$28,O23,$N$5:$N$28,1),0)</f>
        <v/>
      </c>
      <c r="Q23" s="5">
        <f>IF(AND(N23=1, P23&gt;=cfg_debounce_consecutive_steps),1,0)</f>
        <v/>
      </c>
      <c r="R23" s="5">
        <f>IF(AND(I23=1, H23=1, Raw_Data!F23&lt;cfg_pstr_zero_threshold_kw),1,0)</f>
        <v/>
      </c>
      <c r="S23" s="5">
        <f>IF(A23&lt;&gt;A22,IF(R23=1, MAX($S$5:S22)+1, 0),IF(AND(R23=1, R22=0), S22+1,IF(R23=1, S22, S22)))</f>
        <v/>
      </c>
      <c r="T23" s="5">
        <f>IF(R23=1,COUNTIFS($A$5:$A$28,A23,$S$5:$S$28,S23,$R$5:$R$28,1),0)</f>
        <v/>
      </c>
      <c r="U23" s="5">
        <f>IF(AND(R23=1, T23&gt;=cfg_debounce_consecutive_steps),1,0)</f>
        <v/>
      </c>
      <c r="V23" s="5">
        <f>IF(AND(I23=1, H23=1, Raw_Data!G23&lt;cfg_pstr_zero_threshold_kw),1,0)</f>
        <v/>
      </c>
      <c r="W23" s="5">
        <f>IF(A23&lt;&gt;A22,IF(V23=1, MAX($W$5:W22)+1, 0),IF(AND(V23=1, V22=0), W22+1,IF(V23=1, W22, W22)))</f>
        <v/>
      </c>
      <c r="X23" s="5">
        <f>IF(V23=1,COUNTIFS($A$5:$A$28,A23,$W$5:$W$28,W23,$V$5:$V$28,1),0)</f>
        <v/>
      </c>
      <c r="Y23" s="5">
        <f>IF(AND(V23=1, X23&gt;=cfg_debounce_consecutive_steps),1,0)</f>
        <v/>
      </c>
      <c r="Z23" s="5">
        <f>IF(AND(I23=1, H23=1, Raw_Data!H23&lt;cfg_pstr_zero_threshold_kw),1,0)</f>
        <v/>
      </c>
      <c r="AA23" s="5">
        <f>IF(A23&lt;&gt;A22,IF(Z23=1, MAX($AA$5:AA22)+1, 0),IF(AND(Z23=1, Z22=0), AA22+1,IF(Z23=1, AA22, AA22)))</f>
        <v/>
      </c>
      <c r="AB23" s="5">
        <f>IF(Z23=1,COUNTIFS($A$5:$A$28,A23,$AA$5:$AA$28,AA23,$Z$5:$Z$28,1),0)</f>
        <v/>
      </c>
      <c r="AC23" s="5">
        <f>IF(AND(Z23=1, AB23&gt;=cfg_debounce_consecutive_steps),1,0)</f>
        <v/>
      </c>
    </row>
    <row r="24">
      <c r="A24" s="5">
        <f>Raw_Data!A24</f>
        <v/>
      </c>
      <c r="B24" s="16">
        <f>Raw_Data!B24</f>
        <v/>
      </c>
      <c r="C24" s="5">
        <f>Raw_Data!C24</f>
        <v/>
      </c>
      <c r="D24" s="5">
        <f>IF(ISNUMBER(SEARCH("shutdown",LOWER(C24)))+ISNUMBER(SEARCH("fault",LOWER(C24))),"DOWN",IF(ISNUMBER(SEARCH("grid connected",LOWER(C24)))+ISNUMBER(SEARCH("on-grid",LOWER(C24))),"ON",IF(ISNUMBER(SEARCH("standby",LOWER(C24)))+ISNUMBER(SEARCH("no sunlight",LOWER(C24))),"TRANSITIONAL","UNKNOWN")))</f>
        <v/>
      </c>
      <c r="E24" s="17">
        <f>MEDIAN(Raw_Data!D24:H24)</f>
        <v/>
      </c>
      <c r="F24" s="5">
        <f>COUNTIF(Raw_Data!D24:H24, "&gt;"&amp;cfg_pstr_zero_threshold_kw)</f>
        <v/>
      </c>
      <c r="G24" s="18">
        <f>100*F24/cfg_n_pv_total_in_workbook</f>
        <v/>
      </c>
      <c r="H24" s="5">
        <f>IF(AND(E24&gt;=cfg_sibling_median_active_kw, G24&gt;=cfg_min_active_siblings_pct),1,0)</f>
        <v/>
      </c>
      <c r="I24" s="5">
        <f>IF(D24="ON",1,0)</f>
        <v/>
      </c>
      <c r="J24" s="5">
        <f>IF(AND(I24=1, H24=1, Raw_Data!D24&lt;cfg_pstr_zero_threshold_kw),1,0)</f>
        <v/>
      </c>
      <c r="K24" s="5">
        <f>IF(A24&lt;&gt;A23,IF(J24=1, MAX($K$5:K23)+1, 0),IF(AND(J24=1, J23=0), K23+1,IF(J24=1, K23, K23)))</f>
        <v/>
      </c>
      <c r="L24" s="5">
        <f>IF(J24=1,COUNTIFS($A$5:$A$28,A24,$K$5:$K$28,K24,$J$5:$J$28,1),0)</f>
        <v/>
      </c>
      <c r="M24" s="5">
        <f>IF(AND(J24=1, L24&gt;=cfg_debounce_consecutive_steps),1,0)</f>
        <v/>
      </c>
      <c r="N24" s="5">
        <f>IF(AND(I24=1, H24=1, Raw_Data!E24&lt;cfg_pstr_zero_threshold_kw),1,0)</f>
        <v/>
      </c>
      <c r="O24" s="5">
        <f>IF(A24&lt;&gt;A23,IF(N24=1, MAX($O$5:O23)+1, 0),IF(AND(N24=1, N23=0), O23+1,IF(N24=1, O23, O23)))</f>
        <v/>
      </c>
      <c r="P24" s="5">
        <f>IF(N24=1,COUNTIFS($A$5:$A$28,A24,$O$5:$O$28,O24,$N$5:$N$28,1),0)</f>
        <v/>
      </c>
      <c r="Q24" s="5">
        <f>IF(AND(N24=1, P24&gt;=cfg_debounce_consecutive_steps),1,0)</f>
        <v/>
      </c>
      <c r="R24" s="5">
        <f>IF(AND(I24=1, H24=1, Raw_Data!F24&lt;cfg_pstr_zero_threshold_kw),1,0)</f>
        <v/>
      </c>
      <c r="S24" s="5">
        <f>IF(A24&lt;&gt;A23,IF(R24=1, MAX($S$5:S23)+1, 0),IF(AND(R24=1, R23=0), S23+1,IF(R24=1, S23, S23)))</f>
        <v/>
      </c>
      <c r="T24" s="5">
        <f>IF(R24=1,COUNTIFS($A$5:$A$28,A24,$S$5:$S$28,S24,$R$5:$R$28,1),0)</f>
        <v/>
      </c>
      <c r="U24" s="5">
        <f>IF(AND(R24=1, T24&gt;=cfg_debounce_consecutive_steps),1,0)</f>
        <v/>
      </c>
      <c r="V24" s="5">
        <f>IF(AND(I24=1, H24=1, Raw_Data!G24&lt;cfg_pstr_zero_threshold_kw),1,0)</f>
        <v/>
      </c>
      <c r="W24" s="5">
        <f>IF(A24&lt;&gt;A23,IF(V24=1, MAX($W$5:W23)+1, 0),IF(AND(V24=1, V23=0), W23+1,IF(V24=1, W23, W23)))</f>
        <v/>
      </c>
      <c r="X24" s="5">
        <f>IF(V24=1,COUNTIFS($A$5:$A$28,A24,$W$5:$W$28,W24,$V$5:$V$28,1),0)</f>
        <v/>
      </c>
      <c r="Y24" s="5">
        <f>IF(AND(V24=1, X24&gt;=cfg_debounce_consecutive_steps),1,0)</f>
        <v/>
      </c>
      <c r="Z24" s="5">
        <f>IF(AND(I24=1, H24=1, Raw_Data!H24&lt;cfg_pstr_zero_threshold_kw),1,0)</f>
        <v/>
      </c>
      <c r="AA24" s="5">
        <f>IF(A24&lt;&gt;A23,IF(Z24=1, MAX($AA$5:AA23)+1, 0),IF(AND(Z24=1, Z23=0), AA23+1,IF(Z24=1, AA23, AA23)))</f>
        <v/>
      </c>
      <c r="AB24" s="5">
        <f>IF(Z24=1,COUNTIFS($A$5:$A$28,A24,$AA$5:$AA$28,AA24,$Z$5:$Z$28,1),0)</f>
        <v/>
      </c>
      <c r="AC24" s="5">
        <f>IF(AND(Z24=1, AB24&gt;=cfg_debounce_consecutive_steps),1,0)</f>
        <v/>
      </c>
    </row>
    <row r="25">
      <c r="A25" s="5">
        <f>Raw_Data!A25</f>
        <v/>
      </c>
      <c r="B25" s="16">
        <f>Raw_Data!B25</f>
        <v/>
      </c>
      <c r="C25" s="5">
        <f>Raw_Data!C25</f>
        <v/>
      </c>
      <c r="D25" s="5">
        <f>IF(ISNUMBER(SEARCH("shutdown",LOWER(C25)))+ISNUMBER(SEARCH("fault",LOWER(C25))),"DOWN",IF(ISNUMBER(SEARCH("grid connected",LOWER(C25)))+ISNUMBER(SEARCH("on-grid",LOWER(C25))),"ON",IF(ISNUMBER(SEARCH("standby",LOWER(C25)))+ISNUMBER(SEARCH("no sunlight",LOWER(C25))),"TRANSITIONAL","UNKNOWN")))</f>
        <v/>
      </c>
      <c r="E25" s="17">
        <f>MEDIAN(Raw_Data!D25:H25)</f>
        <v/>
      </c>
      <c r="F25" s="5">
        <f>COUNTIF(Raw_Data!D25:H25, "&gt;"&amp;cfg_pstr_zero_threshold_kw)</f>
        <v/>
      </c>
      <c r="G25" s="18">
        <f>100*F25/cfg_n_pv_total_in_workbook</f>
        <v/>
      </c>
      <c r="H25" s="5">
        <f>IF(AND(E25&gt;=cfg_sibling_median_active_kw, G25&gt;=cfg_min_active_siblings_pct),1,0)</f>
        <v/>
      </c>
      <c r="I25" s="5">
        <f>IF(D25="ON",1,0)</f>
        <v/>
      </c>
      <c r="J25" s="5">
        <f>IF(AND(I25=1, H25=1, Raw_Data!D25&lt;cfg_pstr_zero_threshold_kw),1,0)</f>
        <v/>
      </c>
      <c r="K25" s="5">
        <f>IF(A25&lt;&gt;A24,IF(J25=1, MAX($K$5:K24)+1, 0),IF(AND(J25=1, J24=0), K24+1,IF(J25=1, K24, K24)))</f>
        <v/>
      </c>
      <c r="L25" s="5">
        <f>IF(J25=1,COUNTIFS($A$5:$A$28,A25,$K$5:$K$28,K25,$J$5:$J$28,1),0)</f>
        <v/>
      </c>
      <c r="M25" s="5">
        <f>IF(AND(J25=1, L25&gt;=cfg_debounce_consecutive_steps),1,0)</f>
        <v/>
      </c>
      <c r="N25" s="5">
        <f>IF(AND(I25=1, H25=1, Raw_Data!E25&lt;cfg_pstr_zero_threshold_kw),1,0)</f>
        <v/>
      </c>
      <c r="O25" s="5">
        <f>IF(A25&lt;&gt;A24,IF(N25=1, MAX($O$5:O24)+1, 0),IF(AND(N25=1, N24=0), O24+1,IF(N25=1, O24, O24)))</f>
        <v/>
      </c>
      <c r="P25" s="5">
        <f>IF(N25=1,COUNTIFS($A$5:$A$28,A25,$O$5:$O$28,O25,$N$5:$N$28,1),0)</f>
        <v/>
      </c>
      <c r="Q25" s="5">
        <f>IF(AND(N25=1, P25&gt;=cfg_debounce_consecutive_steps),1,0)</f>
        <v/>
      </c>
      <c r="R25" s="5">
        <f>IF(AND(I25=1, H25=1, Raw_Data!F25&lt;cfg_pstr_zero_threshold_kw),1,0)</f>
        <v/>
      </c>
      <c r="S25" s="5">
        <f>IF(A25&lt;&gt;A24,IF(R25=1, MAX($S$5:S24)+1, 0),IF(AND(R25=1, R24=0), S24+1,IF(R25=1, S24, S24)))</f>
        <v/>
      </c>
      <c r="T25" s="5">
        <f>IF(R25=1,COUNTIFS($A$5:$A$28,A25,$S$5:$S$28,S25,$R$5:$R$28,1),0)</f>
        <v/>
      </c>
      <c r="U25" s="5">
        <f>IF(AND(R25=1, T25&gt;=cfg_debounce_consecutive_steps),1,0)</f>
        <v/>
      </c>
      <c r="V25" s="5">
        <f>IF(AND(I25=1, H25=1, Raw_Data!G25&lt;cfg_pstr_zero_threshold_kw),1,0)</f>
        <v/>
      </c>
      <c r="W25" s="5">
        <f>IF(A25&lt;&gt;A24,IF(V25=1, MAX($W$5:W24)+1, 0),IF(AND(V25=1, V24=0), W24+1,IF(V25=1, W24, W24)))</f>
        <v/>
      </c>
      <c r="X25" s="5">
        <f>IF(V25=1,COUNTIFS($A$5:$A$28,A25,$W$5:$W$28,W25,$V$5:$V$28,1),0)</f>
        <v/>
      </c>
      <c r="Y25" s="5">
        <f>IF(AND(V25=1, X25&gt;=cfg_debounce_consecutive_steps),1,0)</f>
        <v/>
      </c>
      <c r="Z25" s="5">
        <f>IF(AND(I25=1, H25=1, Raw_Data!H25&lt;cfg_pstr_zero_threshold_kw),1,0)</f>
        <v/>
      </c>
      <c r="AA25" s="5">
        <f>IF(A25&lt;&gt;A24,IF(Z25=1, MAX($AA$5:AA24)+1, 0),IF(AND(Z25=1, Z24=0), AA24+1,IF(Z25=1, AA24, AA24)))</f>
        <v/>
      </c>
      <c r="AB25" s="5">
        <f>IF(Z25=1,COUNTIFS($A$5:$A$28,A25,$AA$5:$AA$28,AA25,$Z$5:$Z$28,1),0)</f>
        <v/>
      </c>
      <c r="AC25" s="5">
        <f>IF(AND(Z25=1, AB25&gt;=cfg_debounce_consecutive_steps),1,0)</f>
        <v/>
      </c>
    </row>
    <row r="26">
      <c r="A26" s="5">
        <f>Raw_Data!A26</f>
        <v/>
      </c>
      <c r="B26" s="16">
        <f>Raw_Data!B26</f>
        <v/>
      </c>
      <c r="C26" s="5">
        <f>Raw_Data!C26</f>
        <v/>
      </c>
      <c r="D26" s="5">
        <f>IF(ISNUMBER(SEARCH("shutdown",LOWER(C26)))+ISNUMBER(SEARCH("fault",LOWER(C26))),"DOWN",IF(ISNUMBER(SEARCH("grid connected",LOWER(C26)))+ISNUMBER(SEARCH("on-grid",LOWER(C26))),"ON",IF(ISNUMBER(SEARCH("standby",LOWER(C26)))+ISNUMBER(SEARCH("no sunlight",LOWER(C26))),"TRANSITIONAL","UNKNOWN")))</f>
        <v/>
      </c>
      <c r="E26" s="17">
        <f>MEDIAN(Raw_Data!D26:H26)</f>
        <v/>
      </c>
      <c r="F26" s="5">
        <f>COUNTIF(Raw_Data!D26:H26, "&gt;"&amp;cfg_pstr_zero_threshold_kw)</f>
        <v/>
      </c>
      <c r="G26" s="18">
        <f>100*F26/cfg_n_pv_total_in_workbook</f>
        <v/>
      </c>
      <c r="H26" s="5">
        <f>IF(AND(E26&gt;=cfg_sibling_median_active_kw, G26&gt;=cfg_min_active_siblings_pct),1,0)</f>
        <v/>
      </c>
      <c r="I26" s="5">
        <f>IF(D26="ON",1,0)</f>
        <v/>
      </c>
      <c r="J26" s="5">
        <f>IF(AND(I26=1, H26=1, Raw_Data!D26&lt;cfg_pstr_zero_threshold_kw),1,0)</f>
        <v/>
      </c>
      <c r="K26" s="5">
        <f>IF(A26&lt;&gt;A25,IF(J26=1, MAX($K$5:K25)+1, 0),IF(AND(J26=1, J25=0), K25+1,IF(J26=1, K25, K25)))</f>
        <v/>
      </c>
      <c r="L26" s="5">
        <f>IF(J26=1,COUNTIFS($A$5:$A$28,A26,$K$5:$K$28,K26,$J$5:$J$28,1),0)</f>
        <v/>
      </c>
      <c r="M26" s="5">
        <f>IF(AND(J26=1, L26&gt;=cfg_debounce_consecutive_steps),1,0)</f>
        <v/>
      </c>
      <c r="N26" s="5">
        <f>IF(AND(I26=1, H26=1, Raw_Data!E26&lt;cfg_pstr_zero_threshold_kw),1,0)</f>
        <v/>
      </c>
      <c r="O26" s="5">
        <f>IF(A26&lt;&gt;A25,IF(N26=1, MAX($O$5:O25)+1, 0),IF(AND(N26=1, N25=0), O25+1,IF(N26=1, O25, O25)))</f>
        <v/>
      </c>
      <c r="P26" s="5">
        <f>IF(N26=1,COUNTIFS($A$5:$A$28,A26,$O$5:$O$28,O26,$N$5:$N$28,1),0)</f>
        <v/>
      </c>
      <c r="Q26" s="5">
        <f>IF(AND(N26=1, P26&gt;=cfg_debounce_consecutive_steps),1,0)</f>
        <v/>
      </c>
      <c r="R26" s="5">
        <f>IF(AND(I26=1, H26=1, Raw_Data!F26&lt;cfg_pstr_zero_threshold_kw),1,0)</f>
        <v/>
      </c>
      <c r="S26" s="5">
        <f>IF(A26&lt;&gt;A25,IF(R26=1, MAX($S$5:S25)+1, 0),IF(AND(R26=1, R25=0), S25+1,IF(R26=1, S25, S25)))</f>
        <v/>
      </c>
      <c r="T26" s="5">
        <f>IF(R26=1,COUNTIFS($A$5:$A$28,A26,$S$5:$S$28,S26,$R$5:$R$28,1),0)</f>
        <v/>
      </c>
      <c r="U26" s="5">
        <f>IF(AND(R26=1, T26&gt;=cfg_debounce_consecutive_steps),1,0)</f>
        <v/>
      </c>
      <c r="V26" s="5">
        <f>IF(AND(I26=1, H26=1, Raw_Data!G26&lt;cfg_pstr_zero_threshold_kw),1,0)</f>
        <v/>
      </c>
      <c r="W26" s="5">
        <f>IF(A26&lt;&gt;A25,IF(V26=1, MAX($W$5:W25)+1, 0),IF(AND(V26=1, V25=0), W25+1,IF(V26=1, W25, W25)))</f>
        <v/>
      </c>
      <c r="X26" s="5">
        <f>IF(V26=1,COUNTIFS($A$5:$A$28,A26,$W$5:$W$28,W26,$V$5:$V$28,1),0)</f>
        <v/>
      </c>
      <c r="Y26" s="5">
        <f>IF(AND(V26=1, X26&gt;=cfg_debounce_consecutive_steps),1,0)</f>
        <v/>
      </c>
      <c r="Z26" s="5">
        <f>IF(AND(I26=1, H26=1, Raw_Data!H26&lt;cfg_pstr_zero_threshold_kw),1,0)</f>
        <v/>
      </c>
      <c r="AA26" s="5">
        <f>IF(A26&lt;&gt;A25,IF(Z26=1, MAX($AA$5:AA25)+1, 0),IF(AND(Z26=1, Z25=0), AA25+1,IF(Z26=1, AA25, AA25)))</f>
        <v/>
      </c>
      <c r="AB26" s="5">
        <f>IF(Z26=1,COUNTIFS($A$5:$A$28,A26,$AA$5:$AA$28,AA26,$Z$5:$Z$28,1),0)</f>
        <v/>
      </c>
      <c r="AC26" s="5">
        <f>IF(AND(Z26=1, AB26&gt;=cfg_debounce_consecutive_steps),1,0)</f>
        <v/>
      </c>
    </row>
    <row r="27">
      <c r="A27" s="5">
        <f>Raw_Data!A27</f>
        <v/>
      </c>
      <c r="B27" s="16">
        <f>Raw_Data!B27</f>
        <v/>
      </c>
      <c r="C27" s="5">
        <f>Raw_Data!C27</f>
        <v/>
      </c>
      <c r="D27" s="5">
        <f>IF(ISNUMBER(SEARCH("shutdown",LOWER(C27)))+ISNUMBER(SEARCH("fault",LOWER(C27))),"DOWN",IF(ISNUMBER(SEARCH("grid connected",LOWER(C27)))+ISNUMBER(SEARCH("on-grid",LOWER(C27))),"ON",IF(ISNUMBER(SEARCH("standby",LOWER(C27)))+ISNUMBER(SEARCH("no sunlight",LOWER(C27))),"TRANSITIONAL","UNKNOWN")))</f>
        <v/>
      </c>
      <c r="E27" s="17">
        <f>MEDIAN(Raw_Data!D27:H27)</f>
        <v/>
      </c>
      <c r="F27" s="5">
        <f>COUNTIF(Raw_Data!D27:H27, "&gt;"&amp;cfg_pstr_zero_threshold_kw)</f>
        <v/>
      </c>
      <c r="G27" s="18">
        <f>100*F27/cfg_n_pv_total_in_workbook</f>
        <v/>
      </c>
      <c r="H27" s="5">
        <f>IF(AND(E27&gt;=cfg_sibling_median_active_kw, G27&gt;=cfg_min_active_siblings_pct),1,0)</f>
        <v/>
      </c>
      <c r="I27" s="5">
        <f>IF(D27="ON",1,0)</f>
        <v/>
      </c>
      <c r="J27" s="5">
        <f>IF(AND(I27=1, H27=1, Raw_Data!D27&lt;cfg_pstr_zero_threshold_kw),1,0)</f>
        <v/>
      </c>
      <c r="K27" s="5">
        <f>IF(A27&lt;&gt;A26,IF(J27=1, MAX($K$5:K26)+1, 0),IF(AND(J27=1, J26=0), K26+1,IF(J27=1, K26, K26)))</f>
        <v/>
      </c>
      <c r="L27" s="5">
        <f>IF(J27=1,COUNTIFS($A$5:$A$28,A27,$K$5:$K$28,K27,$J$5:$J$28,1),0)</f>
        <v/>
      </c>
      <c r="M27" s="5">
        <f>IF(AND(J27=1, L27&gt;=cfg_debounce_consecutive_steps),1,0)</f>
        <v/>
      </c>
      <c r="N27" s="5">
        <f>IF(AND(I27=1, H27=1, Raw_Data!E27&lt;cfg_pstr_zero_threshold_kw),1,0)</f>
        <v/>
      </c>
      <c r="O27" s="5">
        <f>IF(A27&lt;&gt;A26,IF(N27=1, MAX($O$5:O26)+1, 0),IF(AND(N27=1, N26=0), O26+1,IF(N27=1, O26, O26)))</f>
        <v/>
      </c>
      <c r="P27" s="5">
        <f>IF(N27=1,COUNTIFS($A$5:$A$28,A27,$O$5:$O$28,O27,$N$5:$N$28,1),0)</f>
        <v/>
      </c>
      <c r="Q27" s="5">
        <f>IF(AND(N27=1, P27&gt;=cfg_debounce_consecutive_steps),1,0)</f>
        <v/>
      </c>
      <c r="R27" s="5">
        <f>IF(AND(I27=1, H27=1, Raw_Data!F27&lt;cfg_pstr_zero_threshold_kw),1,0)</f>
        <v/>
      </c>
      <c r="S27" s="5">
        <f>IF(A27&lt;&gt;A26,IF(R27=1, MAX($S$5:S26)+1, 0),IF(AND(R27=1, R26=0), S26+1,IF(R27=1, S26, S26)))</f>
        <v/>
      </c>
      <c r="T27" s="5">
        <f>IF(R27=1,COUNTIFS($A$5:$A$28,A27,$S$5:$S$28,S27,$R$5:$R$28,1),0)</f>
        <v/>
      </c>
      <c r="U27" s="5">
        <f>IF(AND(R27=1, T27&gt;=cfg_debounce_consecutive_steps),1,0)</f>
        <v/>
      </c>
      <c r="V27" s="5">
        <f>IF(AND(I27=1, H27=1, Raw_Data!G27&lt;cfg_pstr_zero_threshold_kw),1,0)</f>
        <v/>
      </c>
      <c r="W27" s="5">
        <f>IF(A27&lt;&gt;A26,IF(V27=1, MAX($W$5:W26)+1, 0),IF(AND(V27=1, V26=0), W26+1,IF(V27=1, W26, W26)))</f>
        <v/>
      </c>
      <c r="X27" s="5">
        <f>IF(V27=1,COUNTIFS($A$5:$A$28,A27,$W$5:$W$28,W27,$V$5:$V$28,1),0)</f>
        <v/>
      </c>
      <c r="Y27" s="5">
        <f>IF(AND(V27=1, X27&gt;=cfg_debounce_consecutive_steps),1,0)</f>
        <v/>
      </c>
      <c r="Z27" s="5">
        <f>IF(AND(I27=1, H27=1, Raw_Data!H27&lt;cfg_pstr_zero_threshold_kw),1,0)</f>
        <v/>
      </c>
      <c r="AA27" s="5">
        <f>IF(A27&lt;&gt;A26,IF(Z27=1, MAX($AA$5:AA26)+1, 0),IF(AND(Z27=1, Z26=0), AA26+1,IF(Z27=1, AA26, AA26)))</f>
        <v/>
      </c>
      <c r="AB27" s="5">
        <f>IF(Z27=1,COUNTIFS($A$5:$A$28,A27,$AA$5:$AA$28,AA27,$Z$5:$Z$28,1),0)</f>
        <v/>
      </c>
      <c r="AC27" s="5">
        <f>IF(AND(Z27=1, AB27&gt;=cfg_debounce_consecutive_steps),1,0)</f>
        <v/>
      </c>
    </row>
    <row r="28">
      <c r="A28" s="5">
        <f>Raw_Data!A28</f>
        <v/>
      </c>
      <c r="B28" s="16">
        <f>Raw_Data!B28</f>
        <v/>
      </c>
      <c r="C28" s="5">
        <f>Raw_Data!C28</f>
        <v/>
      </c>
      <c r="D28" s="5">
        <f>IF(ISNUMBER(SEARCH("shutdown",LOWER(C28)))+ISNUMBER(SEARCH("fault",LOWER(C28))),"DOWN",IF(ISNUMBER(SEARCH("grid connected",LOWER(C28)))+ISNUMBER(SEARCH("on-grid",LOWER(C28))),"ON",IF(ISNUMBER(SEARCH("standby",LOWER(C28)))+ISNUMBER(SEARCH("no sunlight",LOWER(C28))),"TRANSITIONAL","UNKNOWN")))</f>
        <v/>
      </c>
      <c r="E28" s="17">
        <f>MEDIAN(Raw_Data!D28:H28)</f>
        <v/>
      </c>
      <c r="F28" s="5">
        <f>COUNTIF(Raw_Data!D28:H28, "&gt;"&amp;cfg_pstr_zero_threshold_kw)</f>
        <v/>
      </c>
      <c r="G28" s="18">
        <f>100*F28/cfg_n_pv_total_in_workbook</f>
        <v/>
      </c>
      <c r="H28" s="5">
        <f>IF(AND(E28&gt;=cfg_sibling_median_active_kw, G28&gt;=cfg_min_active_siblings_pct),1,0)</f>
        <v/>
      </c>
      <c r="I28" s="5">
        <f>IF(D28="ON",1,0)</f>
        <v/>
      </c>
      <c r="J28" s="5">
        <f>IF(AND(I28=1, H28=1, Raw_Data!D28&lt;cfg_pstr_zero_threshold_kw),1,0)</f>
        <v/>
      </c>
      <c r="K28" s="5">
        <f>IF(A28&lt;&gt;A27,IF(J28=1, MAX($K$5:K27)+1, 0),IF(AND(J28=1, J27=0), K27+1,IF(J28=1, K27, K27)))</f>
        <v/>
      </c>
      <c r="L28" s="5">
        <f>IF(J28=1,COUNTIFS($A$5:$A$28,A28,$K$5:$K$28,K28,$J$5:$J$28,1),0)</f>
        <v/>
      </c>
      <c r="M28" s="5">
        <f>IF(AND(J28=1, L28&gt;=cfg_debounce_consecutive_steps),1,0)</f>
        <v/>
      </c>
      <c r="N28" s="5">
        <f>IF(AND(I28=1, H28=1, Raw_Data!E28&lt;cfg_pstr_zero_threshold_kw),1,0)</f>
        <v/>
      </c>
      <c r="O28" s="5">
        <f>IF(A28&lt;&gt;A27,IF(N28=1, MAX($O$5:O27)+1, 0),IF(AND(N28=1, N27=0), O27+1,IF(N28=1, O27, O27)))</f>
        <v/>
      </c>
      <c r="P28" s="5">
        <f>IF(N28=1,COUNTIFS($A$5:$A$28,A28,$O$5:$O$28,O28,$N$5:$N$28,1),0)</f>
        <v/>
      </c>
      <c r="Q28" s="5">
        <f>IF(AND(N28=1, P28&gt;=cfg_debounce_consecutive_steps),1,0)</f>
        <v/>
      </c>
      <c r="R28" s="5">
        <f>IF(AND(I28=1, H28=1, Raw_Data!F28&lt;cfg_pstr_zero_threshold_kw),1,0)</f>
        <v/>
      </c>
      <c r="S28" s="5">
        <f>IF(A28&lt;&gt;A27,IF(R28=1, MAX($S$5:S27)+1, 0),IF(AND(R28=1, R27=0), S27+1,IF(R28=1, S27, S27)))</f>
        <v/>
      </c>
      <c r="T28" s="5">
        <f>IF(R28=1,COUNTIFS($A$5:$A$28,A28,$S$5:$S$28,S28,$R$5:$R$28,1),0)</f>
        <v/>
      </c>
      <c r="U28" s="5">
        <f>IF(AND(R28=1, T28&gt;=cfg_debounce_consecutive_steps),1,0)</f>
        <v/>
      </c>
      <c r="V28" s="5">
        <f>IF(AND(I28=1, H28=1, Raw_Data!G28&lt;cfg_pstr_zero_threshold_kw),1,0)</f>
        <v/>
      </c>
      <c r="W28" s="5">
        <f>IF(A28&lt;&gt;A27,IF(V28=1, MAX($W$5:W27)+1, 0),IF(AND(V28=1, V27=0), W27+1,IF(V28=1, W27, W27)))</f>
        <v/>
      </c>
      <c r="X28" s="5">
        <f>IF(V28=1,COUNTIFS($A$5:$A$28,A28,$W$5:$W$28,W28,$V$5:$V$28,1),0)</f>
        <v/>
      </c>
      <c r="Y28" s="5">
        <f>IF(AND(V28=1, X28&gt;=cfg_debounce_consecutive_steps),1,0)</f>
        <v/>
      </c>
      <c r="Z28" s="5">
        <f>IF(AND(I28=1, H28=1, Raw_Data!H28&lt;cfg_pstr_zero_threshold_kw),1,0)</f>
        <v/>
      </c>
      <c r="AA28" s="5">
        <f>IF(A28&lt;&gt;A27,IF(Z28=1, MAX($AA$5:AA27)+1, 0),IF(AND(Z28=1, Z27=0), AA27+1,IF(Z28=1, AA27, AA27)))</f>
        <v/>
      </c>
      <c r="AB28" s="5">
        <f>IF(Z28=1,COUNTIFS($A$5:$A$28,A28,$AA$5:$AA$28,AA28,$Z$5:$Z$28,1),0)</f>
        <v/>
      </c>
      <c r="AC28" s="5">
        <f>IF(AND(Z28=1, AB28&gt;=cfg_debounce_consecutive_steps),1,0)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9" customWidth="1" min="3" max="3"/>
    <col width="14" customWidth="1" min="4" max="4"/>
    <col width="10" customWidth="1" min="5" max="5"/>
    <col width="16" customWidth="1" min="6" max="6"/>
    <col width="14" customWidth="1" min="7" max="7"/>
    <col width="9" customWidth="1" min="8" max="8"/>
    <col width="70" customWidth="1" min="9" max="9"/>
  </cols>
  <sheetData>
    <row r="1">
      <c r="A1" s="7" t="inlineStr">
        <is>
          <t>M2e Availability — output finding per inverter &amp; per string</t>
        </is>
      </c>
    </row>
    <row r="2">
      <c r="A2" s="2" t="inlineStr">
        <is>
          <t>Section A: per-inverter uptime%. Section B: per-string proxy down. Severity di-derive dari uptime_pct vs threshold di Config.</t>
        </is>
      </c>
    </row>
    <row r="4">
      <c r="A4" s="14" t="inlineStr">
        <is>
          <t>A. Per-inverter daily uptime</t>
        </is>
      </c>
    </row>
    <row r="5">
      <c r="A5" s="10" t="inlineStr">
        <is>
          <t>Inverter_ID</t>
        </is>
      </c>
      <c r="B5" s="10" t="inlineStr">
        <is>
          <t>n_on</t>
        </is>
      </c>
      <c r="C5" s="10" t="inlineStr">
        <is>
          <t>n_down</t>
        </is>
      </c>
      <c r="D5" s="10" t="inlineStr">
        <is>
          <t>denom</t>
        </is>
      </c>
      <c r="E5" s="10" t="inlineStr">
        <is>
          <t>uptime_pct</t>
        </is>
      </c>
      <c r="F5" s="10" t="inlineStr">
        <is>
          <t>downtime_min</t>
        </is>
      </c>
      <c r="G5" s="10" t="inlineStr">
        <is>
          <t>severity</t>
        </is>
      </c>
      <c r="H5" s="10" t="inlineStr">
        <is>
          <t>threshold_breached</t>
        </is>
      </c>
      <c r="I5" s="10" t="inlineStr">
        <is>
          <t>message</t>
        </is>
      </c>
    </row>
    <row r="6">
      <c r="A6" s="5" t="inlineStr">
        <is>
          <t>WB02-INV01</t>
        </is>
      </c>
      <c r="B6" s="5">
        <f>COUNTIFS(Helpers_M2e!$A$5:$A$28, A6, Helpers_M2e!$D$5:$D$28, "ON")</f>
        <v/>
      </c>
      <c r="C6" s="5">
        <f>COUNTIFS(Helpers_M2e!$A$5:$A$28, A6, Helpers_M2e!$D$5:$D$28, "DOWN")</f>
        <v/>
      </c>
      <c r="D6" s="5">
        <f>B6+C6</f>
        <v/>
      </c>
      <c r="E6" s="15">
        <f>IF(D6=0, NA(), 100*B6/D6)</f>
        <v/>
      </c>
      <c r="F6" s="5">
        <f>C6*cfg_interval_minutes</f>
        <v/>
      </c>
      <c r="G6" s="5">
        <f>IF(ISNA(E6),"NO_DATA",IF(E6&lt;cfg_critical_below,"CRITICAL",IF(E6&lt;cfg_high_below,"HIGH",IF(E6&lt;cfg_medium_below,"MEDIUM",IF(E6&lt;cfg_info_below,"INFO","NORMAL")))))</f>
        <v/>
      </c>
      <c r="H6" s="5">
        <f>IF(ISNA(E6),"",IF(E6&lt;cfg_critical_below,cfg_critical_below,IF(E6&lt;cfg_high_below,cfg_high_below,IF(E6&lt;cfg_medium_below,cfg_medium_below,IF(E6&lt;cfg_info_below,cfg_info_below,cfg_info_below)))))</f>
        <v/>
      </c>
      <c r="I6" s="5">
        <f>"inverter uptime "&amp;TEXT(E6,"0.00")&amp;"% (n_on="&amp;B6&amp;", n_down="&amp;C6&amp;")"</f>
        <v/>
      </c>
    </row>
    <row r="7">
      <c r="A7" s="5" t="inlineStr">
        <is>
          <t>WB02-INV02</t>
        </is>
      </c>
      <c r="B7" s="5">
        <f>COUNTIFS(Helpers_M2e!$A$5:$A$28, A7, Helpers_M2e!$D$5:$D$28, "ON")</f>
        <v/>
      </c>
      <c r="C7" s="5">
        <f>COUNTIFS(Helpers_M2e!$A$5:$A$28, A7, Helpers_M2e!$D$5:$D$28, "DOWN")</f>
        <v/>
      </c>
      <c r="D7" s="5">
        <f>B7+C7</f>
        <v/>
      </c>
      <c r="E7" s="15">
        <f>IF(D7=0, NA(), 100*B7/D7)</f>
        <v/>
      </c>
      <c r="F7" s="5">
        <f>C7*cfg_interval_minutes</f>
        <v/>
      </c>
      <c r="G7" s="5">
        <f>IF(ISNA(E7),"NO_DATA",IF(E7&lt;cfg_critical_below,"CRITICAL",IF(E7&lt;cfg_high_below,"HIGH",IF(E7&lt;cfg_medium_below,"MEDIUM",IF(E7&lt;cfg_info_below,"INFO","NORMAL")))))</f>
        <v/>
      </c>
      <c r="H7" s="5">
        <f>IF(ISNA(E7),"",IF(E7&lt;cfg_critical_below,cfg_critical_below,IF(E7&lt;cfg_high_below,cfg_high_below,IF(E7&lt;cfg_medium_below,cfg_medium_below,IF(E7&lt;cfg_info_below,cfg_info_below,cfg_info_below)))))</f>
        <v/>
      </c>
      <c r="I7" s="5">
        <f>"inverter uptime "&amp;TEXT(E7,"0.00")&amp;"% (n_on="&amp;B7&amp;", n_down="&amp;C7&amp;")"</f>
        <v/>
      </c>
    </row>
    <row r="11">
      <c r="A11" s="14" t="inlineStr">
        <is>
          <t>B. Per-string proxy down (event_minutes_total + uptime_pct + severity)</t>
        </is>
      </c>
    </row>
    <row r="12">
      <c r="A12" s="10" t="inlineStr">
        <is>
          <t>Inverter_ID</t>
        </is>
      </c>
      <c r="B12" s="10" t="inlineStr">
        <is>
          <t>PV_string</t>
        </is>
      </c>
      <c r="C12" s="10" t="inlineStr">
        <is>
          <t>daylight_minutes_inv</t>
        </is>
      </c>
      <c r="D12" s="10" t="inlineStr">
        <is>
          <t>event_minutes</t>
        </is>
      </c>
      <c r="E12" s="10" t="inlineStr">
        <is>
          <t>n_events</t>
        </is>
      </c>
      <c r="F12" s="10" t="inlineStr">
        <is>
          <t>string_uptime_pct</t>
        </is>
      </c>
      <c r="G12" s="10" t="inlineStr">
        <is>
          <t>severity</t>
        </is>
      </c>
      <c r="H12" s="10" t="inlineStr">
        <is>
          <t>is_empty</t>
        </is>
      </c>
      <c r="I12" s="10" t="inlineStr">
        <is>
          <t>message</t>
        </is>
      </c>
    </row>
    <row r="13">
      <c r="A13" s="5" t="inlineStr">
        <is>
          <t>WB02-INV01</t>
        </is>
      </c>
      <c r="B13" s="5" t="inlineStr">
        <is>
          <t>PV1</t>
        </is>
      </c>
      <c r="C13" s="5">
        <f>COUNTIFS(Helpers_M2e!$A$5:$A$28, A13, Helpers_M2e!$I$5:$I$28, 1) * cfg_interval_minutes</f>
        <v/>
      </c>
      <c r="D13" s="5">
        <f>COUNTIFS(Helpers_M2e!$A$5:$A$28, A13, Helpers_M2e!$M$5:$M$28, 1) * cfg_interval_minutes</f>
        <v/>
      </c>
      <c r="E13" s="5">
        <f>SUMPRODUCT((Helpers_M2e!$A$5:$A$28=A13)*(Helpers_M2e!$M$5:$M$28=1)*((Helpers_M2e!$M$4:$M$27=0)+(Helpers_M2e!$A$5:$A$28&lt;&gt;Helpers_M2e!$A$4:$A$27)&gt;=1))</f>
        <v/>
      </c>
      <c r="F13" s="15">
        <f>IF(C13=0, NA(), MAX(0, 100 - 100*D13/C13))</f>
        <v/>
      </c>
      <c r="G13" s="5">
        <f>IF(H13=1,"EMPTY",IF(C13=0,"NO_DAYLIGHT",IF(F13&lt;cfg_critical_below,"CRITICAL",IF(F13&lt;cfg_high_below,"HIGH",IF(F13&lt;cfg_medium_below,"MEDIUM",IF(F13&lt;cfg_info_below,"INFO","NORMAL"))))))</f>
        <v/>
      </c>
      <c r="H13" s="5">
        <f>IFERROR(IF(ISNUMBER(SEARCH(","&amp;1&amp;",", ","&amp;VLOOKUP(A13, EmptyPVMap!$A$5:$B$8, 2, FALSE)&amp;",")), 1, 0), 0)</f>
        <v/>
      </c>
      <c r="I13" s="5">
        <f>IF(H13=1, "EMPTY (skip)", IF(F13&gt;=cfg_info_below, "NORMAL", A13&amp;" "&amp;B13&amp;" proxy-down "&amp;D13&amp;"min/"&amp;C13&amp;"min daylight ("&amp;TEXT(F13,"0.00")&amp;"% uptime)"))</f>
        <v/>
      </c>
    </row>
    <row r="14">
      <c r="A14" s="5" t="inlineStr">
        <is>
          <t>WB02-INV01</t>
        </is>
      </c>
      <c r="B14" s="5" t="inlineStr">
        <is>
          <t>PV2</t>
        </is>
      </c>
      <c r="C14" s="5">
        <f>COUNTIFS(Helpers_M2e!$A$5:$A$28, A14, Helpers_M2e!$I$5:$I$28, 1) * cfg_interval_minutes</f>
        <v/>
      </c>
      <c r="D14" s="5">
        <f>COUNTIFS(Helpers_M2e!$A$5:$A$28, A14, Helpers_M2e!$Q$5:$Q$28, 1) * cfg_interval_minutes</f>
        <v/>
      </c>
      <c r="E14" s="5">
        <f>SUMPRODUCT((Helpers_M2e!$A$5:$A$28=A14)*(Helpers_M2e!$Q$5:$Q$28=1)*((Helpers_M2e!$Q$4:$Q$27=0)+(Helpers_M2e!$A$5:$A$28&lt;&gt;Helpers_M2e!$A$4:$A$27)&gt;=1))</f>
        <v/>
      </c>
      <c r="F14" s="15">
        <f>IF(C14=0, NA(), MAX(0, 100 - 100*D14/C14))</f>
        <v/>
      </c>
      <c r="G14" s="5">
        <f>IF(H14=1,"EMPTY",IF(C14=0,"NO_DAYLIGHT",IF(F14&lt;cfg_critical_below,"CRITICAL",IF(F14&lt;cfg_high_below,"HIGH",IF(F14&lt;cfg_medium_below,"MEDIUM",IF(F14&lt;cfg_info_below,"INFO","NORMAL"))))))</f>
        <v/>
      </c>
      <c r="H14" s="5">
        <f>IFERROR(IF(ISNUMBER(SEARCH(","&amp;2&amp;",", ","&amp;VLOOKUP(A14, EmptyPVMap!$A$5:$B$8, 2, FALSE)&amp;",")), 1, 0), 0)</f>
        <v/>
      </c>
      <c r="I14" s="5">
        <f>IF(H14=1, "EMPTY (skip)", IF(F14&gt;=cfg_info_below, "NORMAL", A14&amp;" "&amp;B14&amp;" proxy-down "&amp;D14&amp;"min/"&amp;C14&amp;"min daylight ("&amp;TEXT(F14,"0.00")&amp;"% uptime)"))</f>
        <v/>
      </c>
    </row>
    <row r="15">
      <c r="A15" s="5" t="inlineStr">
        <is>
          <t>WB02-INV01</t>
        </is>
      </c>
      <c r="B15" s="5" t="inlineStr">
        <is>
          <t>PV3</t>
        </is>
      </c>
      <c r="C15" s="5">
        <f>COUNTIFS(Helpers_M2e!$A$5:$A$28, A15, Helpers_M2e!$I$5:$I$28, 1) * cfg_interval_minutes</f>
        <v/>
      </c>
      <c r="D15" s="5">
        <f>COUNTIFS(Helpers_M2e!$A$5:$A$28, A15, Helpers_M2e!$U$5:$U$28, 1) * cfg_interval_minutes</f>
        <v/>
      </c>
      <c r="E15" s="5">
        <f>SUMPRODUCT((Helpers_M2e!$A$5:$A$28=A15)*(Helpers_M2e!$U$5:$U$28=1)*((Helpers_M2e!$U$4:$U$27=0)+(Helpers_M2e!$A$5:$A$28&lt;&gt;Helpers_M2e!$A$4:$A$27)&gt;=1))</f>
        <v/>
      </c>
      <c r="F15" s="15">
        <f>IF(C15=0, NA(), MAX(0, 100 - 100*D15/C15))</f>
        <v/>
      </c>
      <c r="G15" s="5">
        <f>IF(H15=1,"EMPTY",IF(C15=0,"NO_DAYLIGHT",IF(F15&lt;cfg_critical_below,"CRITICAL",IF(F15&lt;cfg_high_below,"HIGH",IF(F15&lt;cfg_medium_below,"MEDIUM",IF(F15&lt;cfg_info_below,"INFO","NORMAL"))))))</f>
        <v/>
      </c>
      <c r="H15" s="5">
        <f>IFERROR(IF(ISNUMBER(SEARCH(","&amp;3&amp;",", ","&amp;VLOOKUP(A15, EmptyPVMap!$A$5:$B$8, 2, FALSE)&amp;",")), 1, 0), 0)</f>
        <v/>
      </c>
      <c r="I15" s="5">
        <f>IF(H15=1, "EMPTY (skip)", IF(F15&gt;=cfg_info_below, "NORMAL", A15&amp;" "&amp;B15&amp;" proxy-down "&amp;D15&amp;"min/"&amp;C15&amp;"min daylight ("&amp;TEXT(F15,"0.00")&amp;"% uptime)"))</f>
        <v/>
      </c>
    </row>
    <row r="16">
      <c r="A16" s="5" t="inlineStr">
        <is>
          <t>WB02-INV01</t>
        </is>
      </c>
      <c r="B16" s="5" t="inlineStr">
        <is>
          <t>PV4</t>
        </is>
      </c>
      <c r="C16" s="5">
        <f>COUNTIFS(Helpers_M2e!$A$5:$A$28, A16, Helpers_M2e!$I$5:$I$28, 1) * cfg_interval_minutes</f>
        <v/>
      </c>
      <c r="D16" s="5">
        <f>COUNTIFS(Helpers_M2e!$A$5:$A$28, A16, Helpers_M2e!$Y$5:$Y$28, 1) * cfg_interval_minutes</f>
        <v/>
      </c>
      <c r="E16" s="5">
        <f>SUMPRODUCT((Helpers_M2e!$A$5:$A$28=A16)*(Helpers_M2e!$Y$5:$Y$28=1)*((Helpers_M2e!$Y$4:$Y$27=0)+(Helpers_M2e!$A$5:$A$28&lt;&gt;Helpers_M2e!$A$4:$A$27)&gt;=1))</f>
        <v/>
      </c>
      <c r="F16" s="15">
        <f>IF(C16=0, NA(), MAX(0, 100 - 100*D16/C16))</f>
        <v/>
      </c>
      <c r="G16" s="5">
        <f>IF(H16=1,"EMPTY",IF(C16=0,"NO_DAYLIGHT",IF(F16&lt;cfg_critical_below,"CRITICAL",IF(F16&lt;cfg_high_below,"HIGH",IF(F16&lt;cfg_medium_below,"MEDIUM",IF(F16&lt;cfg_info_below,"INFO","NORMAL"))))))</f>
        <v/>
      </c>
      <c r="H16" s="5">
        <f>IFERROR(IF(ISNUMBER(SEARCH(","&amp;4&amp;",", ","&amp;VLOOKUP(A16, EmptyPVMap!$A$5:$B$8, 2, FALSE)&amp;",")), 1, 0), 0)</f>
        <v/>
      </c>
      <c r="I16" s="5">
        <f>IF(H16=1, "EMPTY (skip)", IF(F16&gt;=cfg_info_below, "NORMAL", A16&amp;" "&amp;B16&amp;" proxy-down "&amp;D16&amp;"min/"&amp;C16&amp;"min daylight ("&amp;TEXT(F16,"0.00")&amp;"% uptime)"))</f>
        <v/>
      </c>
    </row>
    <row r="17">
      <c r="A17" s="5" t="inlineStr">
        <is>
          <t>WB02-INV01</t>
        </is>
      </c>
      <c r="B17" s="5" t="inlineStr">
        <is>
          <t>PV5</t>
        </is>
      </c>
      <c r="C17" s="5">
        <f>COUNTIFS(Helpers_M2e!$A$5:$A$28, A17, Helpers_M2e!$I$5:$I$28, 1) * cfg_interval_minutes</f>
        <v/>
      </c>
      <c r="D17" s="5">
        <f>COUNTIFS(Helpers_M2e!$A$5:$A$28, A17, Helpers_M2e!$AC$5:$AC$28, 1) * cfg_interval_minutes</f>
        <v/>
      </c>
      <c r="E17" s="5">
        <f>SUMPRODUCT((Helpers_M2e!$A$5:$A$28=A17)*(Helpers_M2e!$AC$5:$AC$28=1)*((Helpers_M2e!$AC$4:$AC$27=0)+(Helpers_M2e!$A$5:$A$28&lt;&gt;Helpers_M2e!$A$4:$A$27)&gt;=1))</f>
        <v/>
      </c>
      <c r="F17" s="15">
        <f>IF(C17=0, NA(), MAX(0, 100 - 100*D17/C17))</f>
        <v/>
      </c>
      <c r="G17" s="5">
        <f>IF(H17=1,"EMPTY",IF(C17=0,"NO_DAYLIGHT",IF(F17&lt;cfg_critical_below,"CRITICAL",IF(F17&lt;cfg_high_below,"HIGH",IF(F17&lt;cfg_medium_below,"MEDIUM",IF(F17&lt;cfg_info_below,"INFO","NORMAL"))))))</f>
        <v/>
      </c>
      <c r="H17" s="5">
        <f>IFERROR(IF(ISNUMBER(SEARCH(","&amp;5&amp;",", ","&amp;VLOOKUP(A17, EmptyPVMap!$A$5:$B$8, 2, FALSE)&amp;",")), 1, 0), 0)</f>
        <v/>
      </c>
      <c r="I17" s="5">
        <f>IF(H17=1, "EMPTY (skip)", IF(F17&gt;=cfg_info_below, "NORMAL", A17&amp;" "&amp;B17&amp;" proxy-down "&amp;D17&amp;"min/"&amp;C17&amp;"min daylight ("&amp;TEXT(F17,"0.00")&amp;"% uptime)"))</f>
        <v/>
      </c>
    </row>
    <row r="18">
      <c r="A18" s="5" t="inlineStr">
        <is>
          <t>WB02-INV02</t>
        </is>
      </c>
      <c r="B18" s="5" t="inlineStr">
        <is>
          <t>PV1</t>
        </is>
      </c>
      <c r="C18" s="5">
        <f>COUNTIFS(Helpers_M2e!$A$5:$A$28, A18, Helpers_M2e!$I$5:$I$28, 1) * cfg_interval_minutes</f>
        <v/>
      </c>
      <c r="D18" s="5">
        <f>COUNTIFS(Helpers_M2e!$A$5:$A$28, A18, Helpers_M2e!$M$5:$M$28, 1) * cfg_interval_minutes</f>
        <v/>
      </c>
      <c r="E18" s="5">
        <f>SUMPRODUCT((Helpers_M2e!$A$5:$A$28=A18)*(Helpers_M2e!$M$5:$M$28=1)*((Helpers_M2e!$M$4:$M$27=0)+(Helpers_M2e!$A$5:$A$28&lt;&gt;Helpers_M2e!$A$4:$A$27)&gt;=1))</f>
        <v/>
      </c>
      <c r="F18" s="15">
        <f>IF(C18=0, NA(), MAX(0, 100 - 100*D18/C18))</f>
        <v/>
      </c>
      <c r="G18" s="5">
        <f>IF(H18=1,"EMPTY",IF(C18=0,"NO_DAYLIGHT",IF(F18&lt;cfg_critical_below,"CRITICAL",IF(F18&lt;cfg_high_below,"HIGH",IF(F18&lt;cfg_medium_below,"MEDIUM",IF(F18&lt;cfg_info_below,"INFO","NORMAL"))))))</f>
        <v/>
      </c>
      <c r="H18" s="5">
        <f>IFERROR(IF(ISNUMBER(SEARCH(","&amp;1&amp;",", ","&amp;VLOOKUP(A18, EmptyPVMap!$A$5:$B$8, 2, FALSE)&amp;",")), 1, 0), 0)</f>
        <v/>
      </c>
      <c r="I18" s="5">
        <f>IF(H18=1, "EMPTY (skip)", IF(F18&gt;=cfg_info_below, "NORMAL", A18&amp;" "&amp;B18&amp;" proxy-down "&amp;D18&amp;"min/"&amp;C18&amp;"min daylight ("&amp;TEXT(F18,"0.00")&amp;"% uptime)"))</f>
        <v/>
      </c>
    </row>
    <row r="19">
      <c r="A19" s="5" t="inlineStr">
        <is>
          <t>WB02-INV02</t>
        </is>
      </c>
      <c r="B19" s="5" t="inlineStr">
        <is>
          <t>PV2</t>
        </is>
      </c>
      <c r="C19" s="5">
        <f>COUNTIFS(Helpers_M2e!$A$5:$A$28, A19, Helpers_M2e!$I$5:$I$28, 1) * cfg_interval_minutes</f>
        <v/>
      </c>
      <c r="D19" s="5">
        <f>COUNTIFS(Helpers_M2e!$A$5:$A$28, A19, Helpers_M2e!$Q$5:$Q$28, 1) * cfg_interval_minutes</f>
        <v/>
      </c>
      <c r="E19" s="5">
        <f>SUMPRODUCT((Helpers_M2e!$A$5:$A$28=A19)*(Helpers_M2e!$Q$5:$Q$28=1)*((Helpers_M2e!$Q$4:$Q$27=0)+(Helpers_M2e!$A$5:$A$28&lt;&gt;Helpers_M2e!$A$4:$A$27)&gt;=1))</f>
        <v/>
      </c>
      <c r="F19" s="15">
        <f>IF(C19=0, NA(), MAX(0, 100 - 100*D19/C19))</f>
        <v/>
      </c>
      <c r="G19" s="5">
        <f>IF(H19=1,"EMPTY",IF(C19=0,"NO_DAYLIGHT",IF(F19&lt;cfg_critical_below,"CRITICAL",IF(F19&lt;cfg_high_below,"HIGH",IF(F19&lt;cfg_medium_below,"MEDIUM",IF(F19&lt;cfg_info_below,"INFO","NORMAL"))))))</f>
        <v/>
      </c>
      <c r="H19" s="5">
        <f>IFERROR(IF(ISNUMBER(SEARCH(","&amp;2&amp;",", ","&amp;VLOOKUP(A19, EmptyPVMap!$A$5:$B$8, 2, FALSE)&amp;",")), 1, 0), 0)</f>
        <v/>
      </c>
      <c r="I19" s="5">
        <f>IF(H19=1, "EMPTY (skip)", IF(F19&gt;=cfg_info_below, "NORMAL", A19&amp;" "&amp;B19&amp;" proxy-down "&amp;D19&amp;"min/"&amp;C19&amp;"min daylight ("&amp;TEXT(F19,"0.00")&amp;"% uptime)"))</f>
        <v/>
      </c>
    </row>
    <row r="20">
      <c r="A20" s="5" t="inlineStr">
        <is>
          <t>WB02-INV02</t>
        </is>
      </c>
      <c r="B20" s="5" t="inlineStr">
        <is>
          <t>PV3</t>
        </is>
      </c>
      <c r="C20" s="5">
        <f>COUNTIFS(Helpers_M2e!$A$5:$A$28, A20, Helpers_M2e!$I$5:$I$28, 1) * cfg_interval_minutes</f>
        <v/>
      </c>
      <c r="D20" s="5">
        <f>COUNTIFS(Helpers_M2e!$A$5:$A$28, A20, Helpers_M2e!$U$5:$U$28, 1) * cfg_interval_minutes</f>
        <v/>
      </c>
      <c r="E20" s="5">
        <f>SUMPRODUCT((Helpers_M2e!$A$5:$A$28=A20)*(Helpers_M2e!$U$5:$U$28=1)*((Helpers_M2e!$U$4:$U$27=0)+(Helpers_M2e!$A$5:$A$28&lt;&gt;Helpers_M2e!$A$4:$A$27)&gt;=1))</f>
        <v/>
      </c>
      <c r="F20" s="15">
        <f>IF(C20=0, NA(), MAX(0, 100 - 100*D20/C20))</f>
        <v/>
      </c>
      <c r="G20" s="5">
        <f>IF(H20=1,"EMPTY",IF(C20=0,"NO_DAYLIGHT",IF(F20&lt;cfg_critical_below,"CRITICAL",IF(F20&lt;cfg_high_below,"HIGH",IF(F20&lt;cfg_medium_below,"MEDIUM",IF(F20&lt;cfg_info_below,"INFO","NORMAL"))))))</f>
        <v/>
      </c>
      <c r="H20" s="5">
        <f>IFERROR(IF(ISNUMBER(SEARCH(","&amp;3&amp;",", ","&amp;VLOOKUP(A20, EmptyPVMap!$A$5:$B$8, 2, FALSE)&amp;",")), 1, 0), 0)</f>
        <v/>
      </c>
      <c r="I20" s="5">
        <f>IF(H20=1, "EMPTY (skip)", IF(F20&gt;=cfg_info_below, "NORMAL", A20&amp;" "&amp;B20&amp;" proxy-down "&amp;D20&amp;"min/"&amp;C20&amp;"min daylight ("&amp;TEXT(F20,"0.00")&amp;"% uptime)"))</f>
        <v/>
      </c>
    </row>
    <row r="21">
      <c r="A21" s="5" t="inlineStr">
        <is>
          <t>WB02-INV02</t>
        </is>
      </c>
      <c r="B21" s="5" t="inlineStr">
        <is>
          <t>PV4</t>
        </is>
      </c>
      <c r="C21" s="5">
        <f>COUNTIFS(Helpers_M2e!$A$5:$A$28, A21, Helpers_M2e!$I$5:$I$28, 1) * cfg_interval_minutes</f>
        <v/>
      </c>
      <c r="D21" s="5">
        <f>COUNTIFS(Helpers_M2e!$A$5:$A$28, A21, Helpers_M2e!$Y$5:$Y$28, 1) * cfg_interval_minutes</f>
        <v/>
      </c>
      <c r="E21" s="5">
        <f>SUMPRODUCT((Helpers_M2e!$A$5:$A$28=A21)*(Helpers_M2e!$Y$5:$Y$28=1)*((Helpers_M2e!$Y$4:$Y$27=0)+(Helpers_M2e!$A$5:$A$28&lt;&gt;Helpers_M2e!$A$4:$A$27)&gt;=1))</f>
        <v/>
      </c>
      <c r="F21" s="15">
        <f>IF(C21=0, NA(), MAX(0, 100 - 100*D21/C21))</f>
        <v/>
      </c>
      <c r="G21" s="5">
        <f>IF(H21=1,"EMPTY",IF(C21=0,"NO_DAYLIGHT",IF(F21&lt;cfg_critical_below,"CRITICAL",IF(F21&lt;cfg_high_below,"HIGH",IF(F21&lt;cfg_medium_below,"MEDIUM",IF(F21&lt;cfg_info_below,"INFO","NORMAL"))))))</f>
        <v/>
      </c>
      <c r="H21" s="5">
        <f>IFERROR(IF(ISNUMBER(SEARCH(","&amp;4&amp;",", ","&amp;VLOOKUP(A21, EmptyPVMap!$A$5:$B$8, 2, FALSE)&amp;",")), 1, 0), 0)</f>
        <v/>
      </c>
      <c r="I21" s="5">
        <f>IF(H21=1, "EMPTY (skip)", IF(F21&gt;=cfg_info_below, "NORMAL", A21&amp;" "&amp;B21&amp;" proxy-down "&amp;D21&amp;"min/"&amp;C21&amp;"min daylight ("&amp;TEXT(F21,"0.00")&amp;"% uptime)"))</f>
        <v/>
      </c>
    </row>
    <row r="22">
      <c r="A22" s="5" t="inlineStr">
        <is>
          <t>WB02-INV02</t>
        </is>
      </c>
      <c r="B22" s="5" t="inlineStr">
        <is>
          <t>PV5</t>
        </is>
      </c>
      <c r="C22" s="5">
        <f>COUNTIFS(Helpers_M2e!$A$5:$A$28, A22, Helpers_M2e!$I$5:$I$28, 1) * cfg_interval_minutes</f>
        <v/>
      </c>
      <c r="D22" s="5">
        <f>COUNTIFS(Helpers_M2e!$A$5:$A$28, A22, Helpers_M2e!$AC$5:$AC$28, 1) * cfg_interval_minutes</f>
        <v/>
      </c>
      <c r="E22" s="5">
        <f>SUMPRODUCT((Helpers_M2e!$A$5:$A$28=A22)*(Helpers_M2e!$AC$5:$AC$28=1)*((Helpers_M2e!$AC$4:$AC$27=0)+(Helpers_M2e!$A$5:$A$28&lt;&gt;Helpers_M2e!$A$4:$A$27)&gt;=1))</f>
        <v/>
      </c>
      <c r="F22" s="15">
        <f>IF(C22=0, NA(), MAX(0, 100 - 100*D22/C22))</f>
        <v/>
      </c>
      <c r="G22" s="5">
        <f>IF(H22=1,"EMPTY",IF(C22=0,"NO_DAYLIGHT",IF(F22&lt;cfg_critical_below,"CRITICAL",IF(F22&lt;cfg_high_below,"HIGH",IF(F22&lt;cfg_medium_below,"MEDIUM",IF(F22&lt;cfg_info_below,"INFO","NORMAL"))))))</f>
        <v/>
      </c>
      <c r="H22" s="5">
        <f>IFERROR(IF(ISNUMBER(SEARCH(","&amp;5&amp;",", ","&amp;VLOOKUP(A22, EmptyPVMap!$A$5:$B$8, 2, FALSE)&amp;",")), 1, 0), 0)</f>
        <v/>
      </c>
      <c r="I22" s="5">
        <f>IF(H22=1, "EMPTY (skip)", IF(F22&gt;=cfg_info_below, "NORMAL", A22&amp;" "&amp;B22&amp;" proxy-down "&amp;D22&amp;"min/"&amp;C22&amp;"min daylight ("&amp;TEXT(F22,"0.00")&amp;"% uptime)"))</f>
        <v/>
      </c>
    </row>
  </sheetData>
  <conditionalFormatting sqref="G6:G7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6">
      <formula>"NO_DAYLIGHT"</formula>
    </cfRule>
  </conditionalFormatting>
  <conditionalFormatting sqref="G13:G22">
    <cfRule type="cellIs" priority="8" operator="equal" dxfId="0">
      <formula>"CRITICAL"</formula>
    </cfRule>
    <cfRule type="cellIs" priority="9" operator="equal" dxfId="1">
      <formula>"HIGH"</formula>
    </cfRule>
    <cfRule type="cellIs" priority="10" operator="equal" dxfId="2">
      <formula>"MEDIUM"</formula>
    </cfRule>
    <cfRule type="cellIs" priority="11" operator="equal" dxfId="3">
      <formula>"INFO"</formula>
    </cfRule>
    <cfRule type="cellIs" priority="12" operator="equal" dxfId="4">
      <formula>"NORMAL"</formula>
    </cfRule>
    <cfRule type="cellIs" priority="13" operator="equal" dxfId="5">
      <formula>"EMPTY"</formula>
    </cfRule>
    <cfRule type="cellIs" priority="14" operator="equal" dxfId="6">
      <formula>"NO_DAYLIGHT"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6" customWidth="1" min="5" max="5"/>
    <col width="14" customWidth="1" min="6" max="6"/>
    <col width="10" customWidth="1" min="7" max="7"/>
    <col width="17" customWidth="1" min="8" max="8"/>
  </cols>
  <sheetData>
    <row r="1">
      <c r="A1" s="7" t="inlineStr">
        <is>
          <t>M2e_AllStrings — tabel rapi per (inverter × PV string) — replika output Python</t>
        </is>
      </c>
    </row>
    <row r="2">
      <c r="A2" s="2" t="inlineStr">
        <is>
          <t>Setiap baris = 1 PV slot. status ∈ {EMPTY, NO_DAYLIGHT, NORMAL, INFO, MEDIUM, HIGH, CRITICAL}. Pull dari M2e_Availability Section B.</t>
        </is>
      </c>
    </row>
    <row r="4">
      <c r="A4" s="10" t="inlineStr">
        <is>
          <t>inverter_id</t>
        </is>
      </c>
      <c r="B4" s="10" t="inlineStr">
        <is>
          <t>pv_string</t>
        </is>
      </c>
      <c r="C4" s="10" t="inlineStr">
        <is>
          <t>status</t>
        </is>
      </c>
      <c r="D4" s="10" t="inlineStr">
        <is>
          <t>uptime_pct</t>
        </is>
      </c>
      <c r="E4" s="10" t="inlineStr">
        <is>
          <t>downtime_minutes</t>
        </is>
      </c>
      <c r="F4" s="10" t="inlineStr">
        <is>
          <t>event_minutes</t>
        </is>
      </c>
      <c r="G4" s="10" t="inlineStr">
        <is>
          <t>n_events</t>
        </is>
      </c>
      <c r="H4" s="10" t="inlineStr">
        <is>
          <t>daylight_minutes</t>
        </is>
      </c>
    </row>
    <row r="5">
      <c r="A5" s="5">
        <f>M2e_Availability!A13</f>
        <v/>
      </c>
      <c r="B5" s="5">
        <f>M2e_Availability!B13</f>
        <v/>
      </c>
      <c r="C5" s="5">
        <f>M2e_Availability!G13</f>
        <v/>
      </c>
      <c r="D5" s="15">
        <f>IF(OR(M2e_Availability!G13="EMPTY",M2e_Availability!G13="NO_DAYLIGHT"),"",M2e_Availability!F13)</f>
        <v/>
      </c>
      <c r="E5" s="5">
        <f>IF(OR(M2e_Availability!G13="EMPTY",M2e_Availability!G13="NO_DAYLIGHT"),"",M2e_Availability!D13)</f>
        <v/>
      </c>
      <c r="F5" s="5">
        <f>IF(OR(M2e_Availability!G13="EMPTY",M2e_Availability!G13="NO_DAYLIGHT"),"",M2e_Availability!D13)</f>
        <v/>
      </c>
      <c r="G5" s="5">
        <f>IF(M2e_Availability!G13="EMPTY",0,M2e_Availability!E13)</f>
        <v/>
      </c>
      <c r="H5" s="5">
        <f>M2e_Availability!C13</f>
        <v/>
      </c>
    </row>
    <row r="6">
      <c r="A6" s="5">
        <f>M2e_Availability!A14</f>
        <v/>
      </c>
      <c r="B6" s="5">
        <f>M2e_Availability!B14</f>
        <v/>
      </c>
      <c r="C6" s="5">
        <f>M2e_Availability!G14</f>
        <v/>
      </c>
      <c r="D6" s="15">
        <f>IF(OR(M2e_Availability!G14="EMPTY",M2e_Availability!G14="NO_DAYLIGHT"),"",M2e_Availability!F14)</f>
        <v/>
      </c>
      <c r="E6" s="5">
        <f>IF(OR(M2e_Availability!G14="EMPTY",M2e_Availability!G14="NO_DAYLIGHT"),"",M2e_Availability!D14)</f>
        <v/>
      </c>
      <c r="F6" s="5">
        <f>IF(OR(M2e_Availability!G14="EMPTY",M2e_Availability!G14="NO_DAYLIGHT"),"",M2e_Availability!D14)</f>
        <v/>
      </c>
      <c r="G6" s="5">
        <f>IF(M2e_Availability!G14="EMPTY",0,M2e_Availability!E14)</f>
        <v/>
      </c>
      <c r="H6" s="5">
        <f>M2e_Availability!C14</f>
        <v/>
      </c>
    </row>
    <row r="7">
      <c r="A7" s="5">
        <f>M2e_Availability!A15</f>
        <v/>
      </c>
      <c r="B7" s="5">
        <f>M2e_Availability!B15</f>
        <v/>
      </c>
      <c r="C7" s="5">
        <f>M2e_Availability!G15</f>
        <v/>
      </c>
      <c r="D7" s="15">
        <f>IF(OR(M2e_Availability!G15="EMPTY",M2e_Availability!G15="NO_DAYLIGHT"),"",M2e_Availability!F15)</f>
        <v/>
      </c>
      <c r="E7" s="5">
        <f>IF(OR(M2e_Availability!G15="EMPTY",M2e_Availability!G15="NO_DAYLIGHT"),"",M2e_Availability!D15)</f>
        <v/>
      </c>
      <c r="F7" s="5">
        <f>IF(OR(M2e_Availability!G15="EMPTY",M2e_Availability!G15="NO_DAYLIGHT"),"",M2e_Availability!D15)</f>
        <v/>
      </c>
      <c r="G7" s="5">
        <f>IF(M2e_Availability!G15="EMPTY",0,M2e_Availability!E15)</f>
        <v/>
      </c>
      <c r="H7" s="5">
        <f>M2e_Availability!C15</f>
        <v/>
      </c>
    </row>
    <row r="8">
      <c r="A8" s="5">
        <f>M2e_Availability!A16</f>
        <v/>
      </c>
      <c r="B8" s="5">
        <f>M2e_Availability!B16</f>
        <v/>
      </c>
      <c r="C8" s="5">
        <f>M2e_Availability!G16</f>
        <v/>
      </c>
      <c r="D8" s="15">
        <f>IF(OR(M2e_Availability!G16="EMPTY",M2e_Availability!G16="NO_DAYLIGHT"),"",M2e_Availability!F16)</f>
        <v/>
      </c>
      <c r="E8" s="5">
        <f>IF(OR(M2e_Availability!G16="EMPTY",M2e_Availability!G16="NO_DAYLIGHT"),"",M2e_Availability!D16)</f>
        <v/>
      </c>
      <c r="F8" s="5">
        <f>IF(OR(M2e_Availability!G16="EMPTY",M2e_Availability!G16="NO_DAYLIGHT"),"",M2e_Availability!D16)</f>
        <v/>
      </c>
      <c r="G8" s="5">
        <f>IF(M2e_Availability!G16="EMPTY",0,M2e_Availability!E16)</f>
        <v/>
      </c>
      <c r="H8" s="5">
        <f>M2e_Availability!C16</f>
        <v/>
      </c>
    </row>
    <row r="9">
      <c r="A9" s="5">
        <f>M2e_Availability!A17</f>
        <v/>
      </c>
      <c r="B9" s="5">
        <f>M2e_Availability!B17</f>
        <v/>
      </c>
      <c r="C9" s="5">
        <f>M2e_Availability!G17</f>
        <v/>
      </c>
      <c r="D9" s="15">
        <f>IF(OR(M2e_Availability!G17="EMPTY",M2e_Availability!G17="NO_DAYLIGHT"),"",M2e_Availability!F17)</f>
        <v/>
      </c>
      <c r="E9" s="5">
        <f>IF(OR(M2e_Availability!G17="EMPTY",M2e_Availability!G17="NO_DAYLIGHT"),"",M2e_Availability!D17)</f>
        <v/>
      </c>
      <c r="F9" s="5">
        <f>IF(OR(M2e_Availability!G17="EMPTY",M2e_Availability!G17="NO_DAYLIGHT"),"",M2e_Availability!D17)</f>
        <v/>
      </c>
      <c r="G9" s="5">
        <f>IF(M2e_Availability!G17="EMPTY",0,M2e_Availability!E17)</f>
        <v/>
      </c>
      <c r="H9" s="5">
        <f>M2e_Availability!C17</f>
        <v/>
      </c>
    </row>
    <row r="10">
      <c r="A10" s="5">
        <f>M2e_Availability!A18</f>
        <v/>
      </c>
      <c r="B10" s="5">
        <f>M2e_Availability!B18</f>
        <v/>
      </c>
      <c r="C10" s="5">
        <f>M2e_Availability!G18</f>
        <v/>
      </c>
      <c r="D10" s="15">
        <f>IF(OR(M2e_Availability!G18="EMPTY",M2e_Availability!G18="NO_DAYLIGHT"),"",M2e_Availability!F18)</f>
        <v/>
      </c>
      <c r="E10" s="5">
        <f>IF(OR(M2e_Availability!G18="EMPTY",M2e_Availability!G18="NO_DAYLIGHT"),"",M2e_Availability!D18)</f>
        <v/>
      </c>
      <c r="F10" s="5">
        <f>IF(OR(M2e_Availability!G18="EMPTY",M2e_Availability!G18="NO_DAYLIGHT"),"",M2e_Availability!D18)</f>
        <v/>
      </c>
      <c r="G10" s="5">
        <f>IF(M2e_Availability!G18="EMPTY",0,M2e_Availability!E18)</f>
        <v/>
      </c>
      <c r="H10" s="5">
        <f>M2e_Availability!C18</f>
        <v/>
      </c>
    </row>
    <row r="11">
      <c r="A11" s="5">
        <f>M2e_Availability!A19</f>
        <v/>
      </c>
      <c r="B11" s="5">
        <f>M2e_Availability!B19</f>
        <v/>
      </c>
      <c r="C11" s="5">
        <f>M2e_Availability!G19</f>
        <v/>
      </c>
      <c r="D11" s="15">
        <f>IF(OR(M2e_Availability!G19="EMPTY",M2e_Availability!G19="NO_DAYLIGHT"),"",M2e_Availability!F19)</f>
        <v/>
      </c>
      <c r="E11" s="5">
        <f>IF(OR(M2e_Availability!G19="EMPTY",M2e_Availability!G19="NO_DAYLIGHT"),"",M2e_Availability!D19)</f>
        <v/>
      </c>
      <c r="F11" s="5">
        <f>IF(OR(M2e_Availability!G19="EMPTY",M2e_Availability!G19="NO_DAYLIGHT"),"",M2e_Availability!D19)</f>
        <v/>
      </c>
      <c r="G11" s="5">
        <f>IF(M2e_Availability!G19="EMPTY",0,M2e_Availability!E19)</f>
        <v/>
      </c>
      <c r="H11" s="5">
        <f>M2e_Availability!C19</f>
        <v/>
      </c>
    </row>
    <row r="12">
      <c r="A12" s="5">
        <f>M2e_Availability!A20</f>
        <v/>
      </c>
      <c r="B12" s="5">
        <f>M2e_Availability!B20</f>
        <v/>
      </c>
      <c r="C12" s="5">
        <f>M2e_Availability!G20</f>
        <v/>
      </c>
      <c r="D12" s="15">
        <f>IF(OR(M2e_Availability!G20="EMPTY",M2e_Availability!G20="NO_DAYLIGHT"),"",M2e_Availability!F20)</f>
        <v/>
      </c>
      <c r="E12" s="5">
        <f>IF(OR(M2e_Availability!G20="EMPTY",M2e_Availability!G20="NO_DAYLIGHT"),"",M2e_Availability!D20)</f>
        <v/>
      </c>
      <c r="F12" s="5">
        <f>IF(OR(M2e_Availability!G20="EMPTY",M2e_Availability!G20="NO_DAYLIGHT"),"",M2e_Availability!D20)</f>
        <v/>
      </c>
      <c r="G12" s="5">
        <f>IF(M2e_Availability!G20="EMPTY",0,M2e_Availability!E20)</f>
        <v/>
      </c>
      <c r="H12" s="5">
        <f>M2e_Availability!C20</f>
        <v/>
      </c>
    </row>
    <row r="13">
      <c r="A13" s="5">
        <f>M2e_Availability!A21</f>
        <v/>
      </c>
      <c r="B13" s="5">
        <f>M2e_Availability!B21</f>
        <v/>
      </c>
      <c r="C13" s="5">
        <f>M2e_Availability!G21</f>
        <v/>
      </c>
      <c r="D13" s="15">
        <f>IF(OR(M2e_Availability!G21="EMPTY",M2e_Availability!G21="NO_DAYLIGHT"),"",M2e_Availability!F21)</f>
        <v/>
      </c>
      <c r="E13" s="5">
        <f>IF(OR(M2e_Availability!G21="EMPTY",M2e_Availability!G21="NO_DAYLIGHT"),"",M2e_Availability!D21)</f>
        <v/>
      </c>
      <c r="F13" s="5">
        <f>IF(OR(M2e_Availability!G21="EMPTY",M2e_Availability!G21="NO_DAYLIGHT"),"",M2e_Availability!D21)</f>
        <v/>
      </c>
      <c r="G13" s="5">
        <f>IF(M2e_Availability!G21="EMPTY",0,M2e_Availability!E21)</f>
        <v/>
      </c>
      <c r="H13" s="5">
        <f>M2e_Availability!C21</f>
        <v/>
      </c>
    </row>
    <row r="14">
      <c r="A14" s="5">
        <f>M2e_Availability!A22</f>
        <v/>
      </c>
      <c r="B14" s="5">
        <f>M2e_Availability!B22</f>
        <v/>
      </c>
      <c r="C14" s="5">
        <f>M2e_Availability!G22</f>
        <v/>
      </c>
      <c r="D14" s="15">
        <f>IF(OR(M2e_Availability!G22="EMPTY",M2e_Availability!G22="NO_DAYLIGHT"),"",M2e_Availability!F22)</f>
        <v/>
      </c>
      <c r="E14" s="5">
        <f>IF(OR(M2e_Availability!G22="EMPTY",M2e_Availability!G22="NO_DAYLIGHT"),"",M2e_Availability!D22)</f>
        <v/>
      </c>
      <c r="F14" s="5">
        <f>IF(OR(M2e_Availability!G22="EMPTY",M2e_Availability!G22="NO_DAYLIGHT"),"",M2e_Availability!D22)</f>
        <v/>
      </c>
      <c r="G14" s="5">
        <f>IF(M2e_Availability!G22="EMPTY",0,M2e_Availability!E22)</f>
        <v/>
      </c>
      <c r="H14" s="5">
        <f>M2e_Availability!C22</f>
        <v/>
      </c>
    </row>
  </sheetData>
  <conditionalFormatting sqref="C5:C14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6">
      <formula>"NO_DAYLIGHT"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0" customWidth="1" min="4" max="4"/>
    <col width="13" customWidth="1" min="5" max="5"/>
    <col width="18" customWidth="1" min="6" max="6"/>
    <col width="12" customWidth="1" min="7" max="7"/>
    <col width="70" customWidth="1" min="8" max="8"/>
  </cols>
  <sheetData>
    <row r="1">
      <c r="A1" s="7" t="inlineStr">
        <is>
          <t>Findings_Summary — agregat semua finding NON-NORMAL &amp; NON-EMPTY</t>
        </is>
      </c>
    </row>
    <row r="2">
      <c r="A2" s="2" t="inlineStr">
        <is>
          <t>Saat ini hanya M2e. Akan tumbuh: M2b, M2a, IsolationForest, dst. Setiap iterasi tambah sheet detector → tambah baris di sini.</t>
        </is>
      </c>
    </row>
    <row r="4">
      <c r="A4" s="10" t="inlineStr">
        <is>
          <t>Source Sheet</t>
        </is>
      </c>
      <c r="B4" s="10" t="inlineStr">
        <is>
          <t>sub_module</t>
        </is>
      </c>
      <c r="C4" s="10" t="inlineStr">
        <is>
          <t>inverter_id</t>
        </is>
      </c>
      <c r="D4" s="10" t="inlineStr">
        <is>
          <t>pv_string</t>
        </is>
      </c>
      <c r="E4" s="10" t="inlineStr">
        <is>
          <t>severity</t>
        </is>
      </c>
      <c r="F4" s="10" t="inlineStr">
        <is>
          <t>value (uptime_pct)</t>
        </is>
      </c>
      <c r="G4" s="10" t="inlineStr">
        <is>
          <t>threshold</t>
        </is>
      </c>
      <c r="H4" s="10" t="inlineStr">
        <is>
          <t>message</t>
        </is>
      </c>
    </row>
    <row r="5">
      <c r="A5" s="5" t="inlineStr">
        <is>
          <t>M2e_Availability!A (inverter)</t>
        </is>
      </c>
      <c r="B5" s="5" t="inlineStr">
        <is>
          <t>M2e_inverter</t>
        </is>
      </c>
      <c r="C5" s="5">
        <f>M2e_Availability!A6</f>
        <v/>
      </c>
      <c r="D5" s="5" t="inlineStr"/>
      <c r="E5" s="5">
        <f>M2e_Availability!G6</f>
        <v/>
      </c>
      <c r="F5" s="15">
        <f>M2e_Availability!E6</f>
        <v/>
      </c>
      <c r="G5" s="5">
        <f>M2e_Availability!H6</f>
        <v/>
      </c>
      <c r="H5" s="5">
        <f>M2e_Availability!I6</f>
        <v/>
      </c>
    </row>
    <row r="6">
      <c r="A6" s="5" t="inlineStr">
        <is>
          <t>M2e_Availability!A (inverter)</t>
        </is>
      </c>
      <c r="B6" s="5" t="inlineStr">
        <is>
          <t>M2e_inverter</t>
        </is>
      </c>
      <c r="C6" s="5">
        <f>M2e_Availability!A7</f>
        <v/>
      </c>
      <c r="D6" s="5" t="inlineStr"/>
      <c r="E6" s="5">
        <f>M2e_Availability!G7</f>
        <v/>
      </c>
      <c r="F6" s="15">
        <f>M2e_Availability!E7</f>
        <v/>
      </c>
      <c r="G6" s="5">
        <f>M2e_Availability!H7</f>
        <v/>
      </c>
      <c r="H6" s="5">
        <f>M2e_Availability!I7</f>
        <v/>
      </c>
    </row>
    <row r="7">
      <c r="A7" s="5" t="inlineStr">
        <is>
          <t>M2e_Availability!B (string proxy)</t>
        </is>
      </c>
      <c r="B7" s="5" t="inlineStr">
        <is>
          <t>M2e_string_proxy</t>
        </is>
      </c>
      <c r="C7" s="5">
        <f>M2e_Availability!A13</f>
        <v/>
      </c>
      <c r="D7" s="5">
        <f>M2e_Availability!B13</f>
        <v/>
      </c>
      <c r="E7" s="5">
        <f>M2e_Availability!G13</f>
        <v/>
      </c>
      <c r="F7" s="15">
        <f>M2e_Availability!F13</f>
        <v/>
      </c>
      <c r="G7" s="5" t="inlineStr">
        <is>
          <t>(see Config)</t>
        </is>
      </c>
      <c r="H7" s="5">
        <f>M2e_Availability!I13</f>
        <v/>
      </c>
    </row>
    <row r="8">
      <c r="A8" s="5" t="inlineStr">
        <is>
          <t>M2e_Availability!B (string proxy)</t>
        </is>
      </c>
      <c r="B8" s="5" t="inlineStr">
        <is>
          <t>M2e_string_proxy</t>
        </is>
      </c>
      <c r="C8" s="5">
        <f>M2e_Availability!A14</f>
        <v/>
      </c>
      <c r="D8" s="5">
        <f>M2e_Availability!B14</f>
        <v/>
      </c>
      <c r="E8" s="5">
        <f>M2e_Availability!G14</f>
        <v/>
      </c>
      <c r="F8" s="15">
        <f>M2e_Availability!F14</f>
        <v/>
      </c>
      <c r="G8" s="5" t="inlineStr">
        <is>
          <t>(see Config)</t>
        </is>
      </c>
      <c r="H8" s="5">
        <f>M2e_Availability!I14</f>
        <v/>
      </c>
    </row>
    <row r="9">
      <c r="A9" s="5" t="inlineStr">
        <is>
          <t>M2e_Availability!B (string proxy)</t>
        </is>
      </c>
      <c r="B9" s="5" t="inlineStr">
        <is>
          <t>M2e_string_proxy</t>
        </is>
      </c>
      <c r="C9" s="5">
        <f>M2e_Availability!A15</f>
        <v/>
      </c>
      <c r="D9" s="5">
        <f>M2e_Availability!B15</f>
        <v/>
      </c>
      <c r="E9" s="5">
        <f>M2e_Availability!G15</f>
        <v/>
      </c>
      <c r="F9" s="15">
        <f>M2e_Availability!F15</f>
        <v/>
      </c>
      <c r="G9" s="5" t="inlineStr">
        <is>
          <t>(see Config)</t>
        </is>
      </c>
      <c r="H9" s="5">
        <f>M2e_Availability!I15</f>
        <v/>
      </c>
    </row>
    <row r="10">
      <c r="A10" s="5" t="inlineStr">
        <is>
          <t>M2e_Availability!B (string proxy)</t>
        </is>
      </c>
      <c r="B10" s="5" t="inlineStr">
        <is>
          <t>M2e_string_proxy</t>
        </is>
      </c>
      <c r="C10" s="5">
        <f>M2e_Availability!A16</f>
        <v/>
      </c>
      <c r="D10" s="5">
        <f>M2e_Availability!B16</f>
        <v/>
      </c>
      <c r="E10" s="5">
        <f>M2e_Availability!G16</f>
        <v/>
      </c>
      <c r="F10" s="15">
        <f>M2e_Availability!F16</f>
        <v/>
      </c>
      <c r="G10" s="5" t="inlineStr">
        <is>
          <t>(see Config)</t>
        </is>
      </c>
      <c r="H10" s="5">
        <f>M2e_Availability!I16</f>
        <v/>
      </c>
    </row>
    <row r="11">
      <c r="A11" s="5" t="inlineStr">
        <is>
          <t>M2e_Availability!B (string proxy)</t>
        </is>
      </c>
      <c r="B11" s="5" t="inlineStr">
        <is>
          <t>M2e_string_proxy</t>
        </is>
      </c>
      <c r="C11" s="5">
        <f>M2e_Availability!A17</f>
        <v/>
      </c>
      <c r="D11" s="5">
        <f>M2e_Availability!B17</f>
        <v/>
      </c>
      <c r="E11" s="5">
        <f>M2e_Availability!G17</f>
        <v/>
      </c>
      <c r="F11" s="15">
        <f>M2e_Availability!F17</f>
        <v/>
      </c>
      <c r="G11" s="5" t="inlineStr">
        <is>
          <t>(see Config)</t>
        </is>
      </c>
      <c r="H11" s="5">
        <f>M2e_Availability!I17</f>
        <v/>
      </c>
    </row>
    <row r="12">
      <c r="A12" s="5" t="inlineStr">
        <is>
          <t>M2e_Availability!B (string proxy)</t>
        </is>
      </c>
      <c r="B12" s="5" t="inlineStr">
        <is>
          <t>M2e_string_proxy</t>
        </is>
      </c>
      <c r="C12" s="5">
        <f>M2e_Availability!A18</f>
        <v/>
      </c>
      <c r="D12" s="5">
        <f>M2e_Availability!B18</f>
        <v/>
      </c>
      <c r="E12" s="5">
        <f>M2e_Availability!G18</f>
        <v/>
      </c>
      <c r="F12" s="15">
        <f>M2e_Availability!F18</f>
        <v/>
      </c>
      <c r="G12" s="5" t="inlineStr">
        <is>
          <t>(see Config)</t>
        </is>
      </c>
      <c r="H12" s="5">
        <f>M2e_Availability!I18</f>
        <v/>
      </c>
    </row>
    <row r="13">
      <c r="A13" s="5" t="inlineStr">
        <is>
          <t>M2e_Availability!B (string proxy)</t>
        </is>
      </c>
      <c r="B13" s="5" t="inlineStr">
        <is>
          <t>M2e_string_proxy</t>
        </is>
      </c>
      <c r="C13" s="5">
        <f>M2e_Availability!A19</f>
        <v/>
      </c>
      <c r="D13" s="5">
        <f>M2e_Availability!B19</f>
        <v/>
      </c>
      <c r="E13" s="5">
        <f>M2e_Availability!G19</f>
        <v/>
      </c>
      <c r="F13" s="15">
        <f>M2e_Availability!F19</f>
        <v/>
      </c>
      <c r="G13" s="5" t="inlineStr">
        <is>
          <t>(see Config)</t>
        </is>
      </c>
      <c r="H13" s="5">
        <f>M2e_Availability!I19</f>
        <v/>
      </c>
    </row>
    <row r="14">
      <c r="A14" s="5" t="inlineStr">
        <is>
          <t>M2e_Availability!B (string proxy)</t>
        </is>
      </c>
      <c r="B14" s="5" t="inlineStr">
        <is>
          <t>M2e_string_proxy</t>
        </is>
      </c>
      <c r="C14" s="5">
        <f>M2e_Availability!A20</f>
        <v/>
      </c>
      <c r="D14" s="5">
        <f>M2e_Availability!B20</f>
        <v/>
      </c>
      <c r="E14" s="5">
        <f>M2e_Availability!G20</f>
        <v/>
      </c>
      <c r="F14" s="15">
        <f>M2e_Availability!F20</f>
        <v/>
      </c>
      <c r="G14" s="5" t="inlineStr">
        <is>
          <t>(see Config)</t>
        </is>
      </c>
      <c r="H14" s="5">
        <f>M2e_Availability!I20</f>
        <v/>
      </c>
    </row>
    <row r="15">
      <c r="A15" s="5" t="inlineStr">
        <is>
          <t>M2e_Availability!B (string proxy)</t>
        </is>
      </c>
      <c r="B15" s="5" t="inlineStr">
        <is>
          <t>M2e_string_proxy</t>
        </is>
      </c>
      <c r="C15" s="5">
        <f>M2e_Availability!A21</f>
        <v/>
      </c>
      <c r="D15" s="5">
        <f>M2e_Availability!B21</f>
        <v/>
      </c>
      <c r="E15" s="5">
        <f>M2e_Availability!G21</f>
        <v/>
      </c>
      <c r="F15" s="15">
        <f>M2e_Availability!F21</f>
        <v/>
      </c>
      <c r="G15" s="5" t="inlineStr">
        <is>
          <t>(see Config)</t>
        </is>
      </c>
      <c r="H15" s="5">
        <f>M2e_Availability!I21</f>
        <v/>
      </c>
    </row>
    <row r="16">
      <c r="A16" s="5" t="inlineStr">
        <is>
          <t>M2e_Availability!B (string proxy)</t>
        </is>
      </c>
      <c r="B16" s="5" t="inlineStr">
        <is>
          <t>M2e_string_proxy</t>
        </is>
      </c>
      <c r="C16" s="5">
        <f>M2e_Availability!A22</f>
        <v/>
      </c>
      <c r="D16" s="5">
        <f>M2e_Availability!B22</f>
        <v/>
      </c>
      <c r="E16" s="5">
        <f>M2e_Availability!G22</f>
        <v/>
      </c>
      <c r="F16" s="15">
        <f>M2e_Availability!F22</f>
        <v/>
      </c>
      <c r="G16" s="5" t="inlineStr">
        <is>
          <t>(see Config)</t>
        </is>
      </c>
      <c r="H16" s="5">
        <f>M2e_Availability!I22</f>
        <v/>
      </c>
    </row>
    <row r="17">
      <c r="A17" s="14" t="inlineStr">
        <is>
          <t>--- M2b PeerZScore ---</t>
        </is>
      </c>
    </row>
    <row r="18">
      <c r="A18" s="5" t="inlineStr">
        <is>
          <t>M2b_PeerZScore!C</t>
        </is>
      </c>
      <c r="B18" s="5" t="inlineStr">
        <is>
          <t>M2b_peer_zscore</t>
        </is>
      </c>
      <c r="C18" s="5" t="inlineStr">
        <is>
          <t>WB05-INV05</t>
        </is>
      </c>
      <c r="D18" s="5" t="inlineStr">
        <is>
          <t>PV1</t>
        </is>
      </c>
      <c r="E18" s="5">
        <f>M2b_PeerZScore!I22</f>
        <v/>
      </c>
      <c r="F18" s="15">
        <f>M2b_PeerZScore!D22</f>
        <v/>
      </c>
      <c r="G18" s="5">
        <f>cfg_z_threshold</f>
        <v/>
      </c>
      <c r="H18" s="5">
        <f>M2b_PeerZScore!K22</f>
        <v/>
      </c>
    </row>
    <row r="19">
      <c r="A19" s="5" t="inlineStr">
        <is>
          <t>M2b_PeerZScore!C</t>
        </is>
      </c>
      <c r="B19" s="5" t="inlineStr">
        <is>
          <t>M2b_peer_zscore</t>
        </is>
      </c>
      <c r="C19" s="5" t="inlineStr">
        <is>
          <t>WB05-INV05</t>
        </is>
      </c>
      <c r="D19" s="5" t="inlineStr">
        <is>
          <t>PV2</t>
        </is>
      </c>
      <c r="E19" s="5">
        <f>M2b_PeerZScore!I23</f>
        <v/>
      </c>
      <c r="F19" s="15">
        <f>M2b_PeerZScore!D23</f>
        <v/>
      </c>
      <c r="G19" s="5">
        <f>cfg_z_threshold</f>
        <v/>
      </c>
      <c r="H19" s="5">
        <f>M2b_PeerZScore!K23</f>
        <v/>
      </c>
    </row>
    <row r="20">
      <c r="A20" s="5" t="inlineStr">
        <is>
          <t>M2b_PeerZScore!C</t>
        </is>
      </c>
      <c r="B20" s="5" t="inlineStr">
        <is>
          <t>M2b_peer_zscore</t>
        </is>
      </c>
      <c r="C20" s="5" t="inlineStr">
        <is>
          <t>WB05-INV05</t>
        </is>
      </c>
      <c r="D20" s="5" t="inlineStr">
        <is>
          <t>PV3</t>
        </is>
      </c>
      <c r="E20" s="5">
        <f>M2b_PeerZScore!I24</f>
        <v/>
      </c>
      <c r="F20" s="15">
        <f>M2b_PeerZScore!D24</f>
        <v/>
      </c>
      <c r="G20" s="5">
        <f>cfg_z_threshold</f>
        <v/>
      </c>
      <c r="H20" s="5">
        <f>M2b_PeerZScore!K24</f>
        <v/>
      </c>
    </row>
    <row r="21">
      <c r="A21" s="5" t="inlineStr">
        <is>
          <t>M2b_PeerZScore!C</t>
        </is>
      </c>
      <c r="B21" s="5" t="inlineStr">
        <is>
          <t>M2b_peer_zscore</t>
        </is>
      </c>
      <c r="C21" s="5" t="inlineStr">
        <is>
          <t>WB05-INV05</t>
        </is>
      </c>
      <c r="D21" s="5" t="inlineStr">
        <is>
          <t>PV4</t>
        </is>
      </c>
      <c r="E21" s="5">
        <f>M2b_PeerZScore!I25</f>
        <v/>
      </c>
      <c r="F21" s="15">
        <f>M2b_PeerZScore!D25</f>
        <v/>
      </c>
      <c r="G21" s="5">
        <f>cfg_z_threshold</f>
        <v/>
      </c>
      <c r="H21" s="5">
        <f>M2b_PeerZScore!K25</f>
        <v/>
      </c>
    </row>
    <row r="22">
      <c r="A22" s="5" t="inlineStr">
        <is>
          <t>M2b_PeerZScore!C</t>
        </is>
      </c>
      <c r="B22" s="5" t="inlineStr">
        <is>
          <t>M2b_peer_zscore</t>
        </is>
      </c>
      <c r="C22" s="5" t="inlineStr">
        <is>
          <t>WB05-INV05</t>
        </is>
      </c>
      <c r="D22" s="5" t="inlineStr">
        <is>
          <t>PV5</t>
        </is>
      </c>
      <c r="E22" s="5" t="inlineStr">
        <is>
          <t>EMPTY</t>
        </is>
      </c>
      <c r="F22" s="5" t="inlineStr">
        <is>
          <t>-</t>
        </is>
      </c>
      <c r="G22" s="5" t="inlineStr">
        <is>
          <t>-</t>
        </is>
      </c>
      <c r="H22" s="5" t="inlineStr">
        <is>
          <t>-</t>
        </is>
      </c>
    </row>
  </sheetData>
  <autoFilter ref="A4:H21"/>
  <conditionalFormatting sqref="E5:E16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6">
      <formula>"NO_DAYLIGHT"</formula>
    </cfRule>
  </conditionalFormatting>
  <conditionalFormatting sqref="E5:E21">
    <cfRule type="cellIs" priority="8" operator="equal" dxfId="0">
      <formula>"CRITICAL"</formula>
    </cfRule>
    <cfRule type="cellIs" priority="9" operator="equal" dxfId="1">
      <formula>"HIGH"</formula>
    </cfRule>
    <cfRule type="cellIs" priority="10" operator="equal" dxfId="2">
      <formula>"MEDIUM"</formula>
    </cfRule>
    <cfRule type="cellIs" priority="11" operator="equal" dxfId="3">
      <formula>"INFO"</formula>
    </cfRule>
    <cfRule type="cellIs" priority="12" operator="equal" dxfId="4">
      <formula>"NORMAL"</formula>
    </cfRule>
    <cfRule type="cellIs" priority="13" operator="equal" dxfId="5">
      <formula>"EMPTY"</formula>
    </cfRule>
    <cfRule type="cellIs" priority="14" operator="equal" dxfId="0">
      <formula>"high_R"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60" customWidth="1" min="4" max="4"/>
  </cols>
  <sheetData>
    <row r="1">
      <c r="A1" s="7" t="inlineStr">
        <is>
          <t>PanelSpec — Jinko JKM625N 78HL4-BDV (mirror config/panel_spec.yaml)</t>
        </is>
      </c>
    </row>
    <row r="2">
      <c r="A2" s="2" t="inlineStr">
        <is>
          <t>Konsumen: PanelSpec.voc_at_cell_temp + voc_string_nominal di peer_zscore.py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Notes</t>
        </is>
      </c>
    </row>
    <row r="5">
      <c r="A5" s="5" t="inlineStr">
        <is>
          <t>panel_model</t>
        </is>
      </c>
      <c r="B5" s="9" t="inlineStr">
        <is>
          <t>Jinko JKM625N 78HL4-BDV</t>
        </is>
      </c>
      <c r="C5" s="5" t="inlineStr"/>
      <c r="D5" s="5" t="inlineStr">
        <is>
          <t>Bifacial Tiger Neo dual-glass</t>
        </is>
      </c>
    </row>
    <row r="6">
      <c r="A6" s="5" t="inlineStr">
        <is>
          <t>voc_stc_v</t>
        </is>
      </c>
      <c r="B6" s="9" t="n">
        <v>55.72</v>
      </c>
      <c r="C6" s="5" t="inlineStr">
        <is>
          <t>V</t>
        </is>
      </c>
      <c r="D6" s="5" t="inlineStr">
        <is>
          <t>Open-circuit voltage @ STC (1000 W/m², 25°C cell)</t>
        </is>
      </c>
    </row>
    <row r="7">
      <c r="A7" s="5" t="inlineStr">
        <is>
          <t>vmp_stc_v</t>
        </is>
      </c>
      <c r="B7" s="9" t="n">
        <v>46.1</v>
      </c>
      <c r="C7" s="5" t="inlineStr">
        <is>
          <t>V</t>
        </is>
      </c>
      <c r="D7" s="5" t="inlineStr">
        <is>
          <t>Max-power voltage @ STC</t>
        </is>
      </c>
    </row>
    <row r="8">
      <c r="A8" s="5" t="inlineStr">
        <is>
          <t>imp_stc_a</t>
        </is>
      </c>
      <c r="B8" s="9" t="n">
        <v>13.56</v>
      </c>
      <c r="C8" s="5" t="inlineStr">
        <is>
          <t>A</t>
        </is>
      </c>
      <c r="D8" s="5" t="inlineStr">
        <is>
          <t>Max-power current @ STC</t>
        </is>
      </c>
    </row>
    <row r="9">
      <c r="A9" s="5" t="inlineStr">
        <is>
          <t>isc_stc_a</t>
        </is>
      </c>
      <c r="B9" s="9" t="n">
        <v>14.27</v>
      </c>
      <c r="C9" s="5" t="inlineStr">
        <is>
          <t>A</t>
        </is>
      </c>
      <c r="D9" s="5" t="inlineStr">
        <is>
          <t>Short-circuit current @ STC</t>
        </is>
      </c>
    </row>
    <row r="10">
      <c r="A10" s="5" t="inlineStr">
        <is>
          <t>pmax_stc_w</t>
        </is>
      </c>
      <c r="B10" s="9" t="n">
        <v>625</v>
      </c>
      <c r="C10" s="5" t="inlineStr">
        <is>
          <t>W</t>
        </is>
      </c>
      <c r="D10" s="5" t="inlineStr">
        <is>
          <t>Max power @ STC</t>
        </is>
      </c>
    </row>
    <row r="11">
      <c r="A11" s="5" t="inlineStr">
        <is>
          <t>voc_noct_v</t>
        </is>
      </c>
      <c r="B11" s="9" t="n">
        <v>52.93</v>
      </c>
      <c r="C11" s="5" t="inlineStr">
        <is>
          <t>V</t>
        </is>
      </c>
      <c r="D11" s="5" t="inlineStr">
        <is>
          <t>Voc @ NOCT (800 W/m², 20°C ambient)</t>
        </is>
      </c>
    </row>
    <row r="12">
      <c r="A12" s="5" t="inlineStr">
        <is>
          <t>temp_coef_voc_pct_per_c</t>
        </is>
      </c>
      <c r="B12" s="9" t="n">
        <v>-0.25</v>
      </c>
      <c r="C12" s="5" t="inlineStr">
        <is>
          <t>%/°C</t>
        </is>
      </c>
      <c r="D12" s="5" t="inlineStr">
        <is>
          <t>Voc decreases when Tcell rises</t>
        </is>
      </c>
    </row>
    <row r="13">
      <c r="A13" s="5" t="inlineStr">
        <is>
          <t>temp_coef_pmax_pct_per_c</t>
        </is>
      </c>
      <c r="B13" s="9" t="n">
        <v>-0.29</v>
      </c>
      <c r="C13" s="5" t="inlineStr">
        <is>
          <t>%/°C</t>
        </is>
      </c>
      <c r="D13" s="5" t="inlineStr">
        <is>
          <t>Pmax temperature coefficient</t>
        </is>
      </c>
    </row>
    <row r="14">
      <c r="A14" s="5" t="inlineStr">
        <is>
          <t>temp_coef_isc_pct_per_c</t>
        </is>
      </c>
      <c r="B14" s="9" t="n">
        <v>0.045</v>
      </c>
      <c r="C14" s="5" t="inlineStr">
        <is>
          <t>%/°C</t>
        </is>
      </c>
      <c r="D14" s="5" t="inlineStr">
        <is>
          <t>Isc temperature coefficient (small +)</t>
        </is>
      </c>
    </row>
    <row r="15">
      <c r="A15" s="5" t="inlineStr">
        <is>
          <t>t_stc_c</t>
        </is>
      </c>
      <c r="B15" s="9" t="n">
        <v>25</v>
      </c>
      <c r="C15" s="5" t="inlineStr">
        <is>
          <t>°C</t>
        </is>
      </c>
      <c r="D15" s="5" t="inlineStr">
        <is>
          <t>STC reference temperature</t>
        </is>
      </c>
    </row>
    <row r="16">
      <c r="A16" s="5" t="inlineStr">
        <is>
          <t>max_system_voltage_v</t>
        </is>
      </c>
      <c r="B16" s="9" t="n">
        <v>1500</v>
      </c>
      <c r="C16" s="5" t="inlineStr">
        <is>
          <t>V</t>
        </is>
      </c>
      <c r="D16" s="5" t="inlineStr">
        <is>
          <t>IEC limit</t>
        </is>
      </c>
    </row>
    <row r="17">
      <c r="A17" s="5" t="inlineStr">
        <is>
          <t>default_modules_per_string</t>
        </is>
      </c>
      <c r="B17" s="9" t="n">
        <v>26</v>
      </c>
      <c r="C17" s="5" t="inlineStr">
        <is>
          <t>modules</t>
        </is>
      </c>
      <c r="D17" s="5" t="inlineStr">
        <is>
          <t>Fallback (WB03-10)</t>
        </is>
      </c>
    </row>
    <row r="18">
      <c r="A18" s="5" t="inlineStr">
        <is>
          <t>modules_per_string_WB01</t>
        </is>
      </c>
      <c r="B18" s="9" t="n">
        <v>24</v>
      </c>
      <c r="C18" s="5" t="inlineStr">
        <is>
          <t>modules</t>
        </is>
      </c>
      <c r="D18" s="5" t="inlineStr">
        <is>
          <t>PLTS-IKN WB01 layout</t>
        </is>
      </c>
    </row>
    <row r="19">
      <c r="A19" s="5" t="inlineStr">
        <is>
          <t>modules_per_string_WB02</t>
        </is>
      </c>
      <c r="B19" s="9" t="n">
        <v>24</v>
      </c>
      <c r="C19" s="5" t="inlineStr">
        <is>
          <t>modules</t>
        </is>
      </c>
      <c r="D19" s="5" t="inlineStr">
        <is>
          <t>PLTS-IKN WB02 layout</t>
        </is>
      </c>
    </row>
    <row r="20">
      <c r="A20" s="5" t="inlineStr">
        <is>
          <t>modules_per_string_WB03_10</t>
        </is>
      </c>
      <c r="B20" s="9" t="n">
        <v>26</v>
      </c>
      <c r="C20" s="5" t="inlineStr">
        <is>
          <t>modules</t>
        </is>
      </c>
      <c r="D20" s="5" t="inlineStr">
        <is>
          <t>PLTS-IKN WB03-10 layout</t>
        </is>
      </c>
    </row>
    <row r="22">
      <c r="A22" s="14" t="inlineStr">
        <is>
          <t>voc_at_cell_temp(T_cell) — Excel formula</t>
        </is>
      </c>
    </row>
    <row r="23">
      <c r="A23" t="inlineStr">
        <is>
          <t>Input: cell_temp_c →</t>
        </is>
      </c>
      <c r="B23" s="19" t="n">
        <v>30</v>
      </c>
      <c r="C23" t="inlineStr">
        <is>
          <t>°C (edit untuk recalc)</t>
        </is>
      </c>
    </row>
    <row r="24">
      <c r="A24" t="inlineStr">
        <is>
          <t>voc_per_module = voc_stc × (1 + temp_coef_voc/100 × (T - 25))</t>
        </is>
      </c>
      <c r="B24" s="20">
        <f>panel_voc_stc_v*(1+panel_temp_coef_voc_pct_per_c/100*(B23-panel_t_stc_c))</f>
        <v/>
      </c>
      <c r="C24" t="inlineStr">
        <is>
          <t>V per modul</t>
        </is>
      </c>
    </row>
    <row r="25">
      <c r="A25" t="inlineStr">
        <is>
          <t>voc_string_WB01_WB02 (24 modules)</t>
        </is>
      </c>
      <c r="B25" s="20">
        <f>B24*panel_modules_per_string_WB01</f>
        <v/>
      </c>
      <c r="C25" t="inlineStr">
        <is>
          <t>V per string (cold Voc skenario)</t>
        </is>
      </c>
    </row>
    <row r="26">
      <c r="A26" t="inlineStr">
        <is>
          <t>voc_string_WB03_WB10 (26 modules)</t>
        </is>
      </c>
      <c r="B26" s="20">
        <f>B24*panel_default_modules_per_string</f>
        <v/>
      </c>
      <c r="C26" t="inlineStr">
        <is>
          <t>V per string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" t="inlineStr">
        <is>
          <t>Raw_Data_M2b — extended dummy data (WB05-INV05, 24 timestep)</t>
        </is>
      </c>
    </row>
    <row r="2">
      <c r="A2" s="2" t="inlineStr">
        <is>
          <t>Skenario: 06:00-06:55 sunrise (I≈0, V≈Voc), 12:00-13:55 noon (full sun). PV3 punya HIGH-R fault (I drop 60%, V naik sedikit) → expected flag.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Inverter status</t>
        </is>
      </c>
      <c r="D4" s="10" t="inlineStr">
        <is>
          <t>PV1 input voltage(V)</t>
        </is>
      </c>
      <c r="E4" s="10" t="inlineStr">
        <is>
          <t>PV1 input current(A)</t>
        </is>
      </c>
      <c r="F4" s="10" t="inlineStr">
        <is>
          <t>PV2 input voltage(V)</t>
        </is>
      </c>
      <c r="G4" s="10" t="inlineStr">
        <is>
          <t>PV2 input current(A)</t>
        </is>
      </c>
      <c r="H4" s="10" t="inlineStr">
        <is>
          <t>PV3 input voltage(V)</t>
        </is>
      </c>
      <c r="I4" s="10" t="inlineStr">
        <is>
          <t>PV3 input current(A)</t>
        </is>
      </c>
      <c r="J4" s="10" t="inlineStr">
        <is>
          <t>PV4 input voltage(V)</t>
        </is>
      </c>
      <c r="K4" s="10" t="inlineStr">
        <is>
          <t>PV4 input current(A)</t>
        </is>
      </c>
      <c r="L4" s="10" t="inlineStr">
        <is>
          <t>PV5 input voltage(V)</t>
        </is>
      </c>
      <c r="M4" s="10" t="inlineStr">
        <is>
          <t>PV5 input current(A)</t>
        </is>
      </c>
    </row>
    <row r="5">
      <c r="A5" s="5" t="inlineStr">
        <is>
          <t>WB05-INV05</t>
        </is>
      </c>
      <c r="B5" s="16" t="n">
        <v>46156.25</v>
      </c>
      <c r="C5" s="5" t="inlineStr">
        <is>
          <t>Grid connected</t>
        </is>
      </c>
      <c r="D5" s="5" t="n">
        <v>1467.49</v>
      </c>
      <c r="E5" s="5" t="n">
        <v>-0.023</v>
      </c>
      <c r="F5" s="5" t="n">
        <v>1469.34</v>
      </c>
      <c r="G5" s="5" t="n">
        <v>0.023</v>
      </c>
      <c r="H5" s="5" t="n">
        <v>1469.96</v>
      </c>
      <c r="I5" s="5" t="n">
        <v>-0.036</v>
      </c>
      <c r="J5" s="5" t="n">
        <v>1468.08</v>
      </c>
      <c r="K5" s="5" t="n">
        <v>-0.042</v>
      </c>
      <c r="L5" s="5" t="n">
        <v>0</v>
      </c>
      <c r="M5" s="5" t="n">
        <v>0</v>
      </c>
    </row>
    <row r="6">
      <c r="A6" s="5" t="inlineStr">
        <is>
          <t>WB05-INV05</t>
        </is>
      </c>
      <c r="B6" s="16" t="n">
        <v>46156.25347222222</v>
      </c>
      <c r="C6" s="5" t="inlineStr">
        <is>
          <t>Grid connected</t>
        </is>
      </c>
      <c r="D6" s="5" t="n">
        <v>1462.29</v>
      </c>
      <c r="E6" s="5" t="n">
        <v>0.07099999999999999</v>
      </c>
      <c r="F6" s="5" t="n">
        <v>1464.79</v>
      </c>
      <c r="G6" s="5" t="n">
        <v>0.106</v>
      </c>
      <c r="H6" s="5" t="n">
        <v>1463.07</v>
      </c>
      <c r="I6" s="5" t="n">
        <v>0.11</v>
      </c>
      <c r="J6" s="5" t="n">
        <v>1465.42</v>
      </c>
      <c r="K6" s="5" t="n">
        <v>0.052</v>
      </c>
      <c r="L6" s="5" t="n">
        <v>0</v>
      </c>
      <c r="M6" s="5" t="n">
        <v>0</v>
      </c>
    </row>
    <row r="7">
      <c r="A7" s="5" t="inlineStr">
        <is>
          <t>WB05-INV05</t>
        </is>
      </c>
      <c r="B7" s="16" t="n">
        <v>46156.25694444445</v>
      </c>
      <c r="C7" s="5" t="inlineStr">
        <is>
          <t>Grid connected</t>
        </is>
      </c>
      <c r="D7" s="5" t="n">
        <v>1469.42</v>
      </c>
      <c r="E7" s="5" t="n">
        <v>0.105</v>
      </c>
      <c r="F7" s="5" t="n">
        <v>1471.89</v>
      </c>
      <c r="G7" s="5" t="n">
        <v>0.123</v>
      </c>
      <c r="H7" s="5" t="n">
        <v>1468.43</v>
      </c>
      <c r="I7" s="5" t="n">
        <v>0.099</v>
      </c>
      <c r="J7" s="5" t="n">
        <v>1471.45</v>
      </c>
      <c r="K7" s="5" t="n">
        <v>0.15</v>
      </c>
      <c r="L7" s="5" t="n">
        <v>0</v>
      </c>
      <c r="M7" s="5" t="n">
        <v>0</v>
      </c>
    </row>
    <row r="8">
      <c r="A8" s="5" t="inlineStr">
        <is>
          <t>WB05-INV05</t>
        </is>
      </c>
      <c r="B8" s="16" t="n">
        <v>46156.26041666666</v>
      </c>
      <c r="C8" s="5" t="inlineStr">
        <is>
          <t>Grid connected</t>
        </is>
      </c>
      <c r="D8" s="5" t="n">
        <v>1470.22</v>
      </c>
      <c r="E8" s="5" t="n">
        <v>0.193</v>
      </c>
      <c r="F8" s="5" t="n">
        <v>1469.59</v>
      </c>
      <c r="G8" s="5" t="n">
        <v>0.151</v>
      </c>
      <c r="H8" s="5" t="n">
        <v>1471.39</v>
      </c>
      <c r="I8" s="5" t="n">
        <v>0.158</v>
      </c>
      <c r="J8" s="5" t="n">
        <v>1471.52</v>
      </c>
      <c r="K8" s="5" t="n">
        <v>0.154</v>
      </c>
      <c r="L8" s="5" t="n">
        <v>0</v>
      </c>
      <c r="M8" s="5" t="n">
        <v>0</v>
      </c>
    </row>
    <row r="9">
      <c r="A9" s="5" t="inlineStr">
        <is>
          <t>WB05-INV05</t>
        </is>
      </c>
      <c r="B9" s="16" t="n">
        <v>46156.26388888889</v>
      </c>
      <c r="C9" s="5" t="inlineStr">
        <is>
          <t>Grid connected</t>
        </is>
      </c>
      <c r="D9" s="5" t="n">
        <v>1467.96</v>
      </c>
      <c r="E9" s="5" t="n">
        <v>-0.012</v>
      </c>
      <c r="F9" s="5" t="n">
        <v>1467.36</v>
      </c>
      <c r="G9" s="5" t="n">
        <v>-0.018</v>
      </c>
      <c r="H9" s="5" t="n">
        <v>1467.45</v>
      </c>
      <c r="I9" s="5" t="n">
        <v>-0.013</v>
      </c>
      <c r="J9" s="5" t="n">
        <v>1469.59</v>
      </c>
      <c r="K9" s="5" t="n">
        <v>-0.004</v>
      </c>
      <c r="L9" s="5" t="n">
        <v>0</v>
      </c>
      <c r="M9" s="5" t="n">
        <v>0</v>
      </c>
    </row>
    <row r="10">
      <c r="A10" s="5" t="inlineStr">
        <is>
          <t>WB05-INV05</t>
        </is>
      </c>
      <c r="B10" s="16" t="n">
        <v>46156.26736111111</v>
      </c>
      <c r="C10" s="5" t="inlineStr">
        <is>
          <t>Grid connected</t>
        </is>
      </c>
      <c r="D10" s="5" t="n">
        <v>1464.77</v>
      </c>
      <c r="E10" s="5" t="n">
        <v>0.08599999999999999</v>
      </c>
      <c r="F10" s="5" t="n">
        <v>1466.29</v>
      </c>
      <c r="G10" s="5" t="n">
        <v>0.053</v>
      </c>
      <c r="H10" s="5" t="n">
        <v>1464.39</v>
      </c>
      <c r="I10" s="5" t="n">
        <v>0.065</v>
      </c>
      <c r="J10" s="5" t="n">
        <v>1464.36</v>
      </c>
      <c r="K10" s="5" t="n">
        <v>0.03</v>
      </c>
      <c r="L10" s="5" t="n">
        <v>0</v>
      </c>
      <c r="M10" s="5" t="n">
        <v>0</v>
      </c>
    </row>
    <row r="11">
      <c r="A11" s="5" t="inlineStr">
        <is>
          <t>WB05-INV05</t>
        </is>
      </c>
      <c r="B11" s="16" t="n">
        <v>46156.27083333334</v>
      </c>
      <c r="C11" s="5" t="inlineStr">
        <is>
          <t>Grid connected</t>
        </is>
      </c>
      <c r="D11" s="5" t="n">
        <v>1472.12</v>
      </c>
      <c r="E11" s="5" t="n">
        <v>0.146</v>
      </c>
      <c r="F11" s="5" t="n">
        <v>1473.27</v>
      </c>
      <c r="G11" s="5" t="n">
        <v>0.156</v>
      </c>
      <c r="H11" s="5" t="n">
        <v>1470.81</v>
      </c>
      <c r="I11" s="5" t="n">
        <v>0.081</v>
      </c>
      <c r="J11" s="5" t="n">
        <v>1471.16</v>
      </c>
      <c r="K11" s="5" t="n">
        <v>0.105</v>
      </c>
      <c r="L11" s="5" t="n">
        <v>0</v>
      </c>
      <c r="M11" s="5" t="n">
        <v>0</v>
      </c>
    </row>
    <row r="12">
      <c r="A12" s="5" t="inlineStr">
        <is>
          <t>WB05-INV05</t>
        </is>
      </c>
      <c r="B12" s="16" t="n">
        <v>46156.27430555555</v>
      </c>
      <c r="C12" s="5" t="inlineStr">
        <is>
          <t>Grid connected</t>
        </is>
      </c>
      <c r="D12" s="5" t="n">
        <v>1465.62</v>
      </c>
      <c r="E12" s="5" t="n">
        <v>0.17</v>
      </c>
      <c r="F12" s="5" t="n">
        <v>1464.73</v>
      </c>
      <c r="G12" s="5" t="n">
        <v>0.178</v>
      </c>
      <c r="H12" s="5" t="n">
        <v>1465.77</v>
      </c>
      <c r="I12" s="5" t="n">
        <v>0.184</v>
      </c>
      <c r="J12" s="5" t="n">
        <v>1463.17</v>
      </c>
      <c r="K12" s="5" t="n">
        <v>0.163</v>
      </c>
      <c r="L12" s="5" t="n">
        <v>0</v>
      </c>
      <c r="M12" s="5" t="n">
        <v>0</v>
      </c>
    </row>
    <row r="13">
      <c r="A13" s="5" t="inlineStr">
        <is>
          <t>WB05-INV05</t>
        </is>
      </c>
      <c r="B13" s="16" t="n">
        <v>46156.27777777778</v>
      </c>
      <c r="C13" s="5" t="inlineStr">
        <is>
          <t>Grid connected</t>
        </is>
      </c>
      <c r="D13" s="5" t="n">
        <v>1467.95</v>
      </c>
      <c r="E13" s="5" t="n">
        <v>0.092</v>
      </c>
      <c r="F13" s="5" t="n">
        <v>1467.21</v>
      </c>
      <c r="G13" s="5" t="n">
        <v>0.024</v>
      </c>
      <c r="H13" s="5" t="n">
        <v>1469.6</v>
      </c>
      <c r="I13" s="5" t="n">
        <v>0.054</v>
      </c>
      <c r="J13" s="5" t="n">
        <v>1465.98</v>
      </c>
      <c r="K13" s="5" t="n">
        <v>0.007</v>
      </c>
      <c r="L13" s="5" t="n">
        <v>0</v>
      </c>
      <c r="M13" s="5" t="n">
        <v>0</v>
      </c>
    </row>
    <row r="14">
      <c r="A14" s="5" t="inlineStr">
        <is>
          <t>WB05-INV05</t>
        </is>
      </c>
      <c r="B14" s="16" t="n">
        <v>46156.28125</v>
      </c>
      <c r="C14" s="5" t="inlineStr">
        <is>
          <t>Grid connected</t>
        </is>
      </c>
      <c r="D14" s="5" t="n">
        <v>1464.26</v>
      </c>
      <c r="E14" s="5" t="n">
        <v>0.118</v>
      </c>
      <c r="F14" s="5" t="n">
        <v>1461.35</v>
      </c>
      <c r="G14" s="5" t="n">
        <v>0.114</v>
      </c>
      <c r="H14" s="5" t="n">
        <v>1465.08</v>
      </c>
      <c r="I14" s="5" t="n">
        <v>0.128</v>
      </c>
      <c r="J14" s="5" t="n">
        <v>1464.98</v>
      </c>
      <c r="K14" s="5" t="n">
        <v>0.162</v>
      </c>
      <c r="L14" s="5" t="n">
        <v>0</v>
      </c>
      <c r="M14" s="5" t="n">
        <v>0</v>
      </c>
    </row>
    <row r="15">
      <c r="A15" s="5" t="inlineStr">
        <is>
          <t>WB05-INV05</t>
        </is>
      </c>
      <c r="B15" s="16" t="n">
        <v>46156.28472222222</v>
      </c>
      <c r="C15" s="5" t="inlineStr">
        <is>
          <t>Grid connected</t>
        </is>
      </c>
      <c r="D15" s="5" t="n">
        <v>1462.84</v>
      </c>
      <c r="E15" s="5" t="n">
        <v>0.148</v>
      </c>
      <c r="F15" s="5" t="n">
        <v>1461.18</v>
      </c>
      <c r="G15" s="5" t="n">
        <v>0.158</v>
      </c>
      <c r="H15" s="5" t="n">
        <v>1460.56</v>
      </c>
      <c r="I15" s="5" t="n">
        <v>0.138</v>
      </c>
      <c r="J15" s="5" t="n">
        <v>1461.93</v>
      </c>
      <c r="K15" s="5" t="n">
        <v>0.19</v>
      </c>
      <c r="L15" s="5" t="n">
        <v>0</v>
      </c>
      <c r="M15" s="5" t="n">
        <v>0</v>
      </c>
    </row>
    <row r="16">
      <c r="A16" s="5" t="inlineStr">
        <is>
          <t>WB05-INV05</t>
        </is>
      </c>
      <c r="B16" s="16" t="n">
        <v>46156.28819444445</v>
      </c>
      <c r="C16" s="5" t="inlineStr">
        <is>
          <t>Grid connected</t>
        </is>
      </c>
      <c r="D16" s="5" t="n">
        <v>1470.76</v>
      </c>
      <c r="E16" s="5" t="n">
        <v>0.021</v>
      </c>
      <c r="F16" s="5" t="n">
        <v>1472.41</v>
      </c>
      <c r="G16" s="5" t="n">
        <v>0.09</v>
      </c>
      <c r="H16" s="5" t="n">
        <v>1469.95</v>
      </c>
      <c r="I16" s="5" t="n">
        <v>0.067</v>
      </c>
      <c r="J16" s="5" t="n">
        <v>1471.19</v>
      </c>
      <c r="K16" s="5" t="n">
        <v>0.018</v>
      </c>
      <c r="L16" s="5" t="n">
        <v>0</v>
      </c>
      <c r="M16" s="5" t="n">
        <v>0</v>
      </c>
    </row>
    <row r="17">
      <c r="A17" s="5" t="inlineStr">
        <is>
          <t>WB05-INV05</t>
        </is>
      </c>
      <c r="B17" s="16" t="n">
        <v>46156.5</v>
      </c>
      <c r="C17" s="5" t="inlineStr">
        <is>
          <t>Grid connected</t>
        </is>
      </c>
      <c r="D17" s="5" t="n">
        <v>1205.31</v>
      </c>
      <c r="E17" s="5" t="n">
        <v>13.015</v>
      </c>
      <c r="F17" s="5" t="n">
        <v>1202.2</v>
      </c>
      <c r="G17" s="5" t="n">
        <v>12.994</v>
      </c>
      <c r="H17" s="5" t="n">
        <v>1238.4</v>
      </c>
      <c r="I17" s="5" t="n">
        <v>5.248</v>
      </c>
      <c r="J17" s="5" t="n">
        <v>1205.72</v>
      </c>
      <c r="K17" s="5" t="n">
        <v>13.045</v>
      </c>
      <c r="L17" s="5" t="n">
        <v>0</v>
      </c>
      <c r="M17" s="5" t="n">
        <v>0</v>
      </c>
    </row>
    <row r="18">
      <c r="A18" s="5" t="inlineStr">
        <is>
          <t>WB05-INV05</t>
        </is>
      </c>
      <c r="B18" s="16" t="n">
        <v>46156.50347222222</v>
      </c>
      <c r="C18" s="5" t="inlineStr">
        <is>
          <t>Grid connected</t>
        </is>
      </c>
      <c r="D18" s="5" t="n">
        <v>1198.43</v>
      </c>
      <c r="E18" s="5" t="n">
        <v>12.912</v>
      </c>
      <c r="F18" s="5" t="n">
        <v>1195.26</v>
      </c>
      <c r="G18" s="5" t="n">
        <v>12.866</v>
      </c>
      <c r="H18" s="5" t="n">
        <v>1231.1</v>
      </c>
      <c r="I18" s="5" t="n">
        <v>5.173</v>
      </c>
      <c r="J18" s="5" t="n">
        <v>1197.98</v>
      </c>
      <c r="K18" s="5" t="n">
        <v>12.83</v>
      </c>
      <c r="L18" s="5" t="n">
        <v>0</v>
      </c>
      <c r="M18" s="5" t="n">
        <v>0</v>
      </c>
    </row>
    <row r="19">
      <c r="A19" s="5" t="inlineStr">
        <is>
          <t>WB05-INV05</t>
        </is>
      </c>
      <c r="B19" s="16" t="n">
        <v>46156.50694444445</v>
      </c>
      <c r="C19" s="5" t="inlineStr">
        <is>
          <t>Grid connected</t>
        </is>
      </c>
      <c r="D19" s="5" t="n">
        <v>1198.66</v>
      </c>
      <c r="E19" s="5" t="n">
        <v>13.052</v>
      </c>
      <c r="F19" s="5" t="n">
        <v>1199.3</v>
      </c>
      <c r="G19" s="5" t="n">
        <v>12.986</v>
      </c>
      <c r="H19" s="5" t="n">
        <v>1235.75</v>
      </c>
      <c r="I19" s="5" t="n">
        <v>5.229</v>
      </c>
      <c r="J19" s="5" t="n">
        <v>1198.41</v>
      </c>
      <c r="K19" s="5" t="n">
        <v>12.996</v>
      </c>
      <c r="L19" s="5" t="n">
        <v>0</v>
      </c>
      <c r="M19" s="5" t="n">
        <v>0</v>
      </c>
    </row>
    <row r="20">
      <c r="A20" s="5" t="inlineStr">
        <is>
          <t>WB05-INV05</t>
        </is>
      </c>
      <c r="B20" s="16" t="n">
        <v>46156.51041666666</v>
      </c>
      <c r="C20" s="5" t="inlineStr">
        <is>
          <t>Grid connected</t>
        </is>
      </c>
      <c r="D20" s="5" t="n">
        <v>1207.67</v>
      </c>
      <c r="E20" s="5" t="n">
        <v>13.047</v>
      </c>
      <c r="F20" s="5" t="n">
        <v>1206.41</v>
      </c>
      <c r="G20" s="5" t="n">
        <v>13.017</v>
      </c>
      <c r="H20" s="5" t="n">
        <v>1243.51</v>
      </c>
      <c r="I20" s="5" t="n">
        <v>5.227</v>
      </c>
      <c r="J20" s="5" t="n">
        <v>1206.84</v>
      </c>
      <c r="K20" s="5" t="n">
        <v>13.017</v>
      </c>
      <c r="L20" s="5" t="n">
        <v>0</v>
      </c>
      <c r="M20" s="5" t="n">
        <v>0</v>
      </c>
    </row>
    <row r="21">
      <c r="A21" s="5" t="inlineStr">
        <is>
          <t>WB05-INV05</t>
        </is>
      </c>
      <c r="B21" s="16" t="n">
        <v>46156.51388888889</v>
      </c>
      <c r="C21" s="5" t="inlineStr">
        <is>
          <t>Grid connected</t>
        </is>
      </c>
      <c r="D21" s="5" t="n">
        <v>1192.05</v>
      </c>
      <c r="E21" s="5" t="n">
        <v>13.08</v>
      </c>
      <c r="F21" s="5" t="n">
        <v>1194.57</v>
      </c>
      <c r="G21" s="5" t="n">
        <v>12.996</v>
      </c>
      <c r="H21" s="5" t="n">
        <v>1227.88</v>
      </c>
      <c r="I21" s="5" t="n">
        <v>5.233</v>
      </c>
      <c r="J21" s="5" t="n">
        <v>1191.99</v>
      </c>
      <c r="K21" s="5" t="n">
        <v>13.003</v>
      </c>
      <c r="L21" s="5" t="n">
        <v>0</v>
      </c>
      <c r="M21" s="5" t="n">
        <v>0</v>
      </c>
    </row>
    <row r="22">
      <c r="A22" s="5" t="inlineStr">
        <is>
          <t>WB05-INV05</t>
        </is>
      </c>
      <c r="B22" s="16" t="n">
        <v>46156.51736111111</v>
      </c>
      <c r="C22" s="5" t="inlineStr">
        <is>
          <t>Grid connected</t>
        </is>
      </c>
      <c r="D22" s="5" t="n">
        <v>1206.86</v>
      </c>
      <c r="E22" s="5" t="n">
        <v>13.05</v>
      </c>
      <c r="F22" s="5" t="n">
        <v>1208.2</v>
      </c>
      <c r="G22" s="5" t="n">
        <v>12.99</v>
      </c>
      <c r="H22" s="5" t="n">
        <v>1241.56</v>
      </c>
      <c r="I22" s="5" t="n">
        <v>5.202</v>
      </c>
      <c r="J22" s="5" t="n">
        <v>1206.66</v>
      </c>
      <c r="K22" s="5" t="n">
        <v>13.018</v>
      </c>
      <c r="L22" s="5" t="n">
        <v>0</v>
      </c>
      <c r="M22" s="5" t="n">
        <v>0</v>
      </c>
    </row>
    <row r="23">
      <c r="A23" s="5" t="inlineStr">
        <is>
          <t>WB05-INV05</t>
        </is>
      </c>
      <c r="B23" s="16" t="n">
        <v>46156.52083333334</v>
      </c>
      <c r="C23" s="5" t="inlineStr">
        <is>
          <t>Grid connected</t>
        </is>
      </c>
      <c r="D23" s="5" t="n">
        <v>1205.6</v>
      </c>
      <c r="E23" s="5" t="n">
        <v>13.012</v>
      </c>
      <c r="F23" s="5" t="n">
        <v>1203.28</v>
      </c>
      <c r="G23" s="5" t="n">
        <v>13.036</v>
      </c>
      <c r="H23" s="5" t="n">
        <v>1241.22</v>
      </c>
      <c r="I23" s="5" t="n">
        <v>5.196</v>
      </c>
      <c r="J23" s="5" t="n">
        <v>1202.43</v>
      </c>
      <c r="K23" s="5" t="n">
        <v>13.047</v>
      </c>
      <c r="L23" s="5" t="n">
        <v>0</v>
      </c>
      <c r="M23" s="5" t="n">
        <v>0</v>
      </c>
    </row>
    <row r="24">
      <c r="A24" s="5" t="inlineStr">
        <is>
          <t>WB05-INV05</t>
        </is>
      </c>
      <c r="B24" s="16" t="n">
        <v>46156.52430555555</v>
      </c>
      <c r="C24" s="5" t="inlineStr">
        <is>
          <t>Grid connected</t>
        </is>
      </c>
      <c r="D24" s="5" t="n">
        <v>1197.75</v>
      </c>
      <c r="E24" s="5" t="n">
        <v>12.976</v>
      </c>
      <c r="F24" s="5" t="n">
        <v>1198.52</v>
      </c>
      <c r="G24" s="5" t="n">
        <v>12.97</v>
      </c>
      <c r="H24" s="5" t="n">
        <v>1234.91</v>
      </c>
      <c r="I24" s="5" t="n">
        <v>5.128</v>
      </c>
      <c r="J24" s="5" t="n">
        <v>1200.75</v>
      </c>
      <c r="K24" s="5" t="n">
        <v>12.967</v>
      </c>
      <c r="L24" s="5" t="n">
        <v>0</v>
      </c>
      <c r="M24" s="5" t="n">
        <v>0</v>
      </c>
    </row>
    <row r="25">
      <c r="A25" s="5" t="inlineStr">
        <is>
          <t>WB05-INV05</t>
        </is>
      </c>
      <c r="B25" s="16" t="n">
        <v>46156.52777777778</v>
      </c>
      <c r="C25" s="5" t="inlineStr">
        <is>
          <t>Grid connected</t>
        </is>
      </c>
      <c r="D25" s="5" t="n">
        <v>1208.9</v>
      </c>
      <c r="E25" s="5" t="n">
        <v>13.095</v>
      </c>
      <c r="F25" s="5" t="n">
        <v>1207.45</v>
      </c>
      <c r="G25" s="5" t="n">
        <v>13.099</v>
      </c>
      <c r="H25" s="5" t="n">
        <v>1243.33</v>
      </c>
      <c r="I25" s="5" t="n">
        <v>5.207</v>
      </c>
      <c r="J25" s="5" t="n">
        <v>1207.02</v>
      </c>
      <c r="K25" s="5" t="n">
        <v>13.176</v>
      </c>
      <c r="L25" s="5" t="n">
        <v>0</v>
      </c>
      <c r="M25" s="5" t="n">
        <v>0</v>
      </c>
    </row>
    <row r="26">
      <c r="A26" s="5" t="inlineStr">
        <is>
          <t>WB05-INV05</t>
        </is>
      </c>
      <c r="B26" s="16" t="n">
        <v>46156.53125</v>
      </c>
      <c r="C26" s="5" t="inlineStr">
        <is>
          <t>Grid connected</t>
        </is>
      </c>
      <c r="D26" s="5" t="n">
        <v>1196.06</v>
      </c>
      <c r="E26" s="5" t="n">
        <v>13.078</v>
      </c>
      <c r="F26" s="5" t="n">
        <v>1198.07</v>
      </c>
      <c r="G26" s="5" t="n">
        <v>13.135</v>
      </c>
      <c r="H26" s="5" t="n">
        <v>1232.35</v>
      </c>
      <c r="I26" s="5" t="n">
        <v>5.256</v>
      </c>
      <c r="J26" s="5" t="n">
        <v>1194.86</v>
      </c>
      <c r="K26" s="5" t="n">
        <v>13.065</v>
      </c>
      <c r="L26" s="5" t="n">
        <v>0</v>
      </c>
      <c r="M26" s="5" t="n">
        <v>0</v>
      </c>
    </row>
    <row r="27">
      <c r="A27" s="5" t="inlineStr">
        <is>
          <t>WB05-INV05</t>
        </is>
      </c>
      <c r="B27" s="16" t="n">
        <v>46156.53472222222</v>
      </c>
      <c r="C27" s="5" t="inlineStr">
        <is>
          <t>Grid connected</t>
        </is>
      </c>
      <c r="D27" s="5" t="n">
        <v>1207.67</v>
      </c>
      <c r="E27" s="5" t="n">
        <v>13.049</v>
      </c>
      <c r="F27" s="5" t="n">
        <v>1205.73</v>
      </c>
      <c r="G27" s="5" t="n">
        <v>13.032</v>
      </c>
      <c r="H27" s="5" t="n">
        <v>1243.74</v>
      </c>
      <c r="I27" s="5" t="n">
        <v>5.245</v>
      </c>
      <c r="J27" s="5" t="n">
        <v>1206.13</v>
      </c>
      <c r="K27" s="5" t="n">
        <v>13.07</v>
      </c>
      <c r="L27" s="5" t="n">
        <v>0</v>
      </c>
      <c r="M27" s="5" t="n">
        <v>0</v>
      </c>
    </row>
    <row r="28">
      <c r="A28" s="5" t="inlineStr">
        <is>
          <t>WB05-INV05</t>
        </is>
      </c>
      <c r="B28" s="16" t="n">
        <v>46156.53819444445</v>
      </c>
      <c r="C28" s="5" t="inlineStr">
        <is>
          <t>Grid connected</t>
        </is>
      </c>
      <c r="D28" s="5" t="n">
        <v>1193.66</v>
      </c>
      <c r="E28" s="5" t="n">
        <v>12.923</v>
      </c>
      <c r="F28" s="5" t="n">
        <v>1192.22</v>
      </c>
      <c r="G28" s="5" t="n">
        <v>12.868</v>
      </c>
      <c r="H28" s="5" t="n">
        <v>1230.64</v>
      </c>
      <c r="I28" s="5" t="n">
        <v>5.137</v>
      </c>
      <c r="J28" s="5" t="n">
        <v>1193.66</v>
      </c>
      <c r="K28" s="5" t="n">
        <v>12.918</v>
      </c>
      <c r="L28" s="5" t="n">
        <v>0</v>
      </c>
      <c r="M28" s="5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4" customWidth="1" min="3" max="3"/>
  </cols>
  <sheetData>
    <row r="1">
      <c r="A1" s="7" t="inlineStr">
        <is>
          <t>Meteo_Dummy — POA (Plane-of-Array) per timestamp</t>
        </is>
      </c>
    </row>
    <row r="2">
      <c r="A2" s="2" t="inlineStr">
        <is>
          <t>Single source 'pyranometer_avg' (dummy). Produksi: 5 source fan-out (pyranometer_per_ws, pyranometer_avg, pvlib_clearsky_ineichen/simplified_solis/haurwitz).</t>
        </is>
      </c>
    </row>
    <row r="4">
      <c r="A4" s="10" t="inlineStr">
        <is>
          <t>Start Time</t>
        </is>
      </c>
      <c r="B4" s="10" t="inlineStr">
        <is>
          <t>POA pyranometer_avg (W/m²)</t>
        </is>
      </c>
      <c r="C4" s="10" t="inlineStr">
        <is>
          <t>Notes</t>
        </is>
      </c>
    </row>
    <row r="5">
      <c r="A5" s="16" t="n">
        <v>46156.25</v>
      </c>
      <c r="B5" s="18" t="n">
        <v>30</v>
      </c>
      <c r="C5" s="5" t="inlineStr">
        <is>
          <t>sunrise (below gate)</t>
        </is>
      </c>
    </row>
    <row r="6">
      <c r="A6" s="16" t="n">
        <v>46156.25347222222</v>
      </c>
      <c r="B6" s="18" t="n">
        <v>34.5</v>
      </c>
      <c r="C6" s="5" t="inlineStr">
        <is>
          <t>sunrise (below gate)</t>
        </is>
      </c>
    </row>
    <row r="7">
      <c r="A7" s="16" t="n">
        <v>46156.25694444445</v>
      </c>
      <c r="B7" s="18" t="n">
        <v>39.1</v>
      </c>
      <c r="C7" s="5" t="inlineStr">
        <is>
          <t>sunrise (below gate)</t>
        </is>
      </c>
    </row>
    <row r="8">
      <c r="A8" s="16" t="n">
        <v>46156.26041666666</v>
      </c>
      <c r="B8" s="18" t="n">
        <v>43.6</v>
      </c>
      <c r="C8" s="5" t="inlineStr">
        <is>
          <t>sunrise (below gate)</t>
        </is>
      </c>
    </row>
    <row r="9">
      <c r="A9" s="16" t="n">
        <v>46156.26388888889</v>
      </c>
      <c r="B9" s="18" t="n">
        <v>48.2</v>
      </c>
      <c r="C9" s="5" t="inlineStr">
        <is>
          <t>sunrise (below gate)</t>
        </is>
      </c>
    </row>
    <row r="10">
      <c r="A10" s="16" t="n">
        <v>46156.26736111111</v>
      </c>
      <c r="B10" s="18" t="n">
        <v>52.7</v>
      </c>
      <c r="C10" s="5" t="inlineStr">
        <is>
          <t>sunrise (below gate)</t>
        </is>
      </c>
    </row>
    <row r="11">
      <c r="A11" s="16" t="n">
        <v>46156.27083333334</v>
      </c>
      <c r="B11" s="18" t="n">
        <v>57.3</v>
      </c>
      <c r="C11" s="5" t="inlineStr">
        <is>
          <t>sunrise (below gate)</t>
        </is>
      </c>
    </row>
    <row r="12">
      <c r="A12" s="16" t="n">
        <v>46156.27430555555</v>
      </c>
      <c r="B12" s="18" t="n">
        <v>61.8</v>
      </c>
      <c r="C12" s="5" t="inlineStr">
        <is>
          <t>sunrise (below gate)</t>
        </is>
      </c>
    </row>
    <row r="13">
      <c r="A13" s="16" t="n">
        <v>46156.27777777778</v>
      </c>
      <c r="B13" s="18" t="n">
        <v>66.40000000000001</v>
      </c>
      <c r="C13" s="5" t="inlineStr">
        <is>
          <t>sunrise (below gate)</t>
        </is>
      </c>
    </row>
    <row r="14">
      <c r="A14" s="16" t="n">
        <v>46156.28125</v>
      </c>
      <c r="B14" s="18" t="n">
        <v>70.90000000000001</v>
      </c>
      <c r="C14" s="5" t="inlineStr">
        <is>
          <t>sunrise (below gate)</t>
        </is>
      </c>
    </row>
    <row r="15">
      <c r="A15" s="16" t="n">
        <v>46156.28472222222</v>
      </c>
      <c r="B15" s="18" t="n">
        <v>75.5</v>
      </c>
      <c r="C15" s="5" t="inlineStr">
        <is>
          <t>sunrise (below gate)</t>
        </is>
      </c>
    </row>
    <row r="16">
      <c r="A16" s="16" t="n">
        <v>46156.28819444445</v>
      </c>
      <c r="B16" s="18" t="n">
        <v>80</v>
      </c>
      <c r="C16" s="5" t="inlineStr">
        <is>
          <t>sunrise (below gate)</t>
        </is>
      </c>
    </row>
    <row r="17">
      <c r="A17" s="16" t="n">
        <v>46156.5</v>
      </c>
      <c r="B17" s="18" t="n">
        <v>847.6</v>
      </c>
      <c r="C17" s="5" t="inlineStr">
        <is>
          <t>noon (above gate)</t>
        </is>
      </c>
    </row>
    <row r="18">
      <c r="A18" s="16" t="n">
        <v>46156.50347222222</v>
      </c>
      <c r="B18" s="18" t="n">
        <v>857.5</v>
      </c>
      <c r="C18" s="5" t="inlineStr">
        <is>
          <t>noon (above gate)</t>
        </is>
      </c>
    </row>
    <row r="19">
      <c r="A19" s="16" t="n">
        <v>46156.50694444445</v>
      </c>
      <c r="B19" s="18" t="n">
        <v>860.7</v>
      </c>
      <c r="C19" s="5" t="inlineStr">
        <is>
          <t>noon (above gate)</t>
        </is>
      </c>
    </row>
    <row r="20">
      <c r="A20" s="16" t="n">
        <v>46156.51041666666</v>
      </c>
      <c r="B20" s="18" t="n">
        <v>878</v>
      </c>
      <c r="C20" s="5" t="inlineStr">
        <is>
          <t>noon (above gate)</t>
        </is>
      </c>
    </row>
    <row r="21">
      <c r="A21" s="16" t="n">
        <v>46156.51388888889</v>
      </c>
      <c r="B21" s="18" t="n">
        <v>861.1</v>
      </c>
      <c r="C21" s="5" t="inlineStr">
        <is>
          <t>noon (above gate)</t>
        </is>
      </c>
    </row>
    <row r="22">
      <c r="A22" s="16" t="n">
        <v>46156.51736111111</v>
      </c>
      <c r="B22" s="18" t="n">
        <v>881.5</v>
      </c>
      <c r="C22" s="5" t="inlineStr">
        <is>
          <t>noon (above gate)</t>
        </is>
      </c>
    </row>
    <row r="23">
      <c r="A23" s="16" t="n">
        <v>46156.52083333334</v>
      </c>
      <c r="B23" s="18" t="n">
        <v>872.2</v>
      </c>
      <c r="C23" s="5" t="inlineStr">
        <is>
          <t>noon (above gate)</t>
        </is>
      </c>
    </row>
    <row r="24">
      <c r="A24" s="16" t="n">
        <v>46156.52430555555</v>
      </c>
      <c r="B24" s="18" t="n">
        <v>881.9</v>
      </c>
      <c r="C24" s="5" t="inlineStr">
        <is>
          <t>noon (above gate)</t>
        </is>
      </c>
    </row>
    <row r="25">
      <c r="A25" s="16" t="n">
        <v>46156.52777777778</v>
      </c>
      <c r="B25" s="18" t="n">
        <v>895.2</v>
      </c>
      <c r="C25" s="5" t="inlineStr">
        <is>
          <t>noon (above gate)</t>
        </is>
      </c>
    </row>
    <row r="26">
      <c r="A26" s="16" t="n">
        <v>46156.53125</v>
      </c>
      <c r="B26" s="18" t="n">
        <v>889</v>
      </c>
      <c r="C26" s="5" t="inlineStr">
        <is>
          <t>noon (above gate)</t>
        </is>
      </c>
    </row>
    <row r="27">
      <c r="A27" s="16" t="n">
        <v>46156.53472222222</v>
      </c>
      <c r="B27" s="18" t="n">
        <v>894.5</v>
      </c>
      <c r="C27" s="5" t="inlineStr">
        <is>
          <t>noon (above gate)</t>
        </is>
      </c>
    </row>
    <row r="28">
      <c r="A28" s="16" t="n">
        <v>46156.53819444445</v>
      </c>
      <c r="B28" s="18" t="n">
        <v>912.6</v>
      </c>
      <c r="C28" s="5" t="inlineStr">
        <is>
          <t>noon (above gate)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9" customWidth="1" min="2" max="2"/>
    <col width="17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1">
      <c r="A1" s="7" t="inlineStr">
        <is>
          <t>Helpers_M2b — derived columns per row dari Raw_Data_M2b</t>
        </is>
      </c>
    </row>
    <row r="2">
      <c r="A2" s="2" t="inlineStr">
        <is>
          <t>Per-row: POA value (VLOOKUP dari Meteo_Dummy), mask_poa, R_str per PV. Aggregate (R_str median per PV, fleet stats) ada di sheet M2b_PeerZScore.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status</t>
        </is>
      </c>
      <c r="D4" s="10" t="inlineStr">
        <is>
          <t>POA_Wm2</t>
        </is>
      </c>
      <c r="E4" s="10" t="inlineStr">
        <is>
          <t>mask_poa</t>
        </is>
      </c>
      <c r="F4" s="10" t="inlineStr">
        <is>
          <t>is_on</t>
        </is>
      </c>
      <c r="G4" s="10" t="inlineStr">
        <is>
          <t>PV1_V</t>
        </is>
      </c>
      <c r="H4" s="10" t="inlineStr">
        <is>
          <t>PV1_I</t>
        </is>
      </c>
      <c r="I4" s="10" t="inlineStr">
        <is>
          <t>PV1_R</t>
        </is>
      </c>
      <c r="J4" s="10" t="inlineStr">
        <is>
          <t>PV1_voc_cand</t>
        </is>
      </c>
      <c r="K4" s="10" t="inlineStr">
        <is>
          <t>PV2_V</t>
        </is>
      </c>
      <c r="L4" s="10" t="inlineStr">
        <is>
          <t>PV2_I</t>
        </is>
      </c>
      <c r="M4" s="10" t="inlineStr">
        <is>
          <t>PV2_R</t>
        </is>
      </c>
      <c r="N4" s="10" t="inlineStr">
        <is>
          <t>PV2_voc_cand</t>
        </is>
      </c>
      <c r="O4" s="10" t="inlineStr">
        <is>
          <t>PV3_V</t>
        </is>
      </c>
      <c r="P4" s="10" t="inlineStr">
        <is>
          <t>PV3_I</t>
        </is>
      </c>
      <c r="Q4" s="10" t="inlineStr">
        <is>
          <t>PV3_R</t>
        </is>
      </c>
      <c r="R4" s="10" t="inlineStr">
        <is>
          <t>PV3_voc_cand</t>
        </is>
      </c>
      <c r="S4" s="10" t="inlineStr">
        <is>
          <t>PV4_V</t>
        </is>
      </c>
      <c r="T4" s="10" t="inlineStr">
        <is>
          <t>PV4_I</t>
        </is>
      </c>
      <c r="U4" s="10" t="inlineStr">
        <is>
          <t>PV4_R</t>
        </is>
      </c>
      <c r="V4" s="10" t="inlineStr">
        <is>
          <t>PV4_voc_cand</t>
        </is>
      </c>
      <c r="W4" s="10" t="inlineStr">
        <is>
          <t>PV5_V</t>
        </is>
      </c>
      <c r="X4" s="10" t="inlineStr">
        <is>
          <t>PV5_I</t>
        </is>
      </c>
      <c r="Y4" s="10" t="inlineStr">
        <is>
          <t>PV5_R</t>
        </is>
      </c>
      <c r="Z4" s="10" t="inlineStr">
        <is>
          <t>PV5_voc_cand</t>
        </is>
      </c>
    </row>
    <row r="5">
      <c r="A5" s="5">
        <f>Raw_Data_M2b!A5</f>
        <v/>
      </c>
      <c r="B5" s="16">
        <f>Raw_Data_M2b!B5</f>
        <v/>
      </c>
      <c r="C5" s="5">
        <f>Raw_Data_M2b!C5</f>
        <v/>
      </c>
      <c r="D5" s="18">
        <f>IFERROR(VLOOKUP(B5,Meteo_Dummy!$A$5:$B$28,2,FALSE),0)</f>
        <v/>
      </c>
      <c r="E5" s="5">
        <f>IF(AND(D5&gt;cfg_poa_threshold_wm2,D5&gt;cfg_poa_floor_wm2),1,0)</f>
        <v/>
      </c>
      <c r="F5" s="5">
        <f>IF(ISNUMBER(SEARCH("grid connected",LOWER(C5))),1,0)</f>
        <v/>
      </c>
      <c r="G5" s="15">
        <f>Raw_Data_M2b!D5</f>
        <v/>
      </c>
      <c r="H5" s="17">
        <f>Raw_Data_M2b!E5</f>
        <v/>
      </c>
      <c r="I5" s="18">
        <f>IF(E5=1, G5/MAX(H5,cfg_i_clip_floor_a), "")</f>
        <v/>
      </c>
      <c r="J5" s="15">
        <f>IF(AND(ABS(H5)&lt;cfg_i_threshold_a, G5&gt;cfg_min_voc_v), G5, "")</f>
        <v/>
      </c>
      <c r="K5" s="15">
        <f>Raw_Data_M2b!F5</f>
        <v/>
      </c>
      <c r="L5" s="17">
        <f>Raw_Data_M2b!G5</f>
        <v/>
      </c>
      <c r="M5" s="18">
        <f>IF(E5=1, K5/MAX(L5,cfg_i_clip_floor_a), "")</f>
        <v/>
      </c>
      <c r="N5" s="15">
        <f>IF(AND(ABS(L5)&lt;cfg_i_threshold_a, K5&gt;cfg_min_voc_v), K5, "")</f>
        <v/>
      </c>
      <c r="O5" s="15">
        <f>Raw_Data_M2b!H5</f>
        <v/>
      </c>
      <c r="P5" s="17">
        <f>Raw_Data_M2b!I5</f>
        <v/>
      </c>
      <c r="Q5" s="18">
        <f>IF(E5=1, O5/MAX(P5,cfg_i_clip_floor_a), "")</f>
        <v/>
      </c>
      <c r="R5" s="15">
        <f>IF(AND(ABS(P5)&lt;cfg_i_threshold_a, O5&gt;cfg_min_voc_v), O5, "")</f>
        <v/>
      </c>
      <c r="S5" s="15">
        <f>Raw_Data_M2b!J5</f>
        <v/>
      </c>
      <c r="T5" s="17">
        <f>Raw_Data_M2b!K5</f>
        <v/>
      </c>
      <c r="U5" s="18">
        <f>IF(E5=1, S5/MAX(T5,cfg_i_clip_floor_a), "")</f>
        <v/>
      </c>
      <c r="V5" s="15">
        <f>IF(AND(ABS(T5)&lt;cfg_i_threshold_a, S5&gt;cfg_min_voc_v), S5, "")</f>
        <v/>
      </c>
      <c r="W5" s="15">
        <f>Raw_Data_M2b!L5</f>
        <v/>
      </c>
      <c r="X5" s="17">
        <f>Raw_Data_M2b!M5</f>
        <v/>
      </c>
      <c r="Y5" s="18">
        <f>IF(E5=1, W5/MAX(X5,cfg_i_clip_floor_a), "")</f>
        <v/>
      </c>
      <c r="Z5" s="15">
        <f>IF(AND(ABS(X5)&lt;cfg_i_threshold_a, W5&gt;cfg_min_voc_v), W5, "")</f>
        <v/>
      </c>
    </row>
    <row r="6">
      <c r="A6" s="5">
        <f>Raw_Data_M2b!A6</f>
        <v/>
      </c>
      <c r="B6" s="16">
        <f>Raw_Data_M2b!B6</f>
        <v/>
      </c>
      <c r="C6" s="5">
        <f>Raw_Data_M2b!C6</f>
        <v/>
      </c>
      <c r="D6" s="18">
        <f>IFERROR(VLOOKUP(B6,Meteo_Dummy!$A$5:$B$28,2,FALSE),0)</f>
        <v/>
      </c>
      <c r="E6" s="5">
        <f>IF(AND(D6&gt;cfg_poa_threshold_wm2,D6&gt;cfg_poa_floor_wm2),1,0)</f>
        <v/>
      </c>
      <c r="F6" s="5">
        <f>IF(ISNUMBER(SEARCH("grid connected",LOWER(C6))),1,0)</f>
        <v/>
      </c>
      <c r="G6" s="15">
        <f>Raw_Data_M2b!D6</f>
        <v/>
      </c>
      <c r="H6" s="17">
        <f>Raw_Data_M2b!E6</f>
        <v/>
      </c>
      <c r="I6" s="18">
        <f>IF(E6=1, G6/MAX(H6,cfg_i_clip_floor_a), "")</f>
        <v/>
      </c>
      <c r="J6" s="15">
        <f>IF(AND(ABS(H6)&lt;cfg_i_threshold_a, G6&gt;cfg_min_voc_v), G6, "")</f>
        <v/>
      </c>
      <c r="K6" s="15">
        <f>Raw_Data_M2b!F6</f>
        <v/>
      </c>
      <c r="L6" s="17">
        <f>Raw_Data_M2b!G6</f>
        <v/>
      </c>
      <c r="M6" s="18">
        <f>IF(E6=1, K6/MAX(L6,cfg_i_clip_floor_a), "")</f>
        <v/>
      </c>
      <c r="N6" s="15">
        <f>IF(AND(ABS(L6)&lt;cfg_i_threshold_a, K6&gt;cfg_min_voc_v), K6, "")</f>
        <v/>
      </c>
      <c r="O6" s="15">
        <f>Raw_Data_M2b!H6</f>
        <v/>
      </c>
      <c r="P6" s="17">
        <f>Raw_Data_M2b!I6</f>
        <v/>
      </c>
      <c r="Q6" s="18">
        <f>IF(E6=1, O6/MAX(P6,cfg_i_clip_floor_a), "")</f>
        <v/>
      </c>
      <c r="R6" s="15">
        <f>IF(AND(ABS(P6)&lt;cfg_i_threshold_a, O6&gt;cfg_min_voc_v), O6, "")</f>
        <v/>
      </c>
      <c r="S6" s="15">
        <f>Raw_Data_M2b!J6</f>
        <v/>
      </c>
      <c r="T6" s="17">
        <f>Raw_Data_M2b!K6</f>
        <v/>
      </c>
      <c r="U6" s="18">
        <f>IF(E6=1, S6/MAX(T6,cfg_i_clip_floor_a), "")</f>
        <v/>
      </c>
      <c r="V6" s="15">
        <f>IF(AND(ABS(T6)&lt;cfg_i_threshold_a, S6&gt;cfg_min_voc_v), S6, "")</f>
        <v/>
      </c>
      <c r="W6" s="15">
        <f>Raw_Data_M2b!L6</f>
        <v/>
      </c>
      <c r="X6" s="17">
        <f>Raw_Data_M2b!M6</f>
        <v/>
      </c>
      <c r="Y6" s="18">
        <f>IF(E6=1, W6/MAX(X6,cfg_i_clip_floor_a), "")</f>
        <v/>
      </c>
      <c r="Z6" s="15">
        <f>IF(AND(ABS(X6)&lt;cfg_i_threshold_a, W6&gt;cfg_min_voc_v), W6, "")</f>
        <v/>
      </c>
    </row>
    <row r="7">
      <c r="A7" s="5">
        <f>Raw_Data_M2b!A7</f>
        <v/>
      </c>
      <c r="B7" s="16">
        <f>Raw_Data_M2b!B7</f>
        <v/>
      </c>
      <c r="C7" s="5">
        <f>Raw_Data_M2b!C7</f>
        <v/>
      </c>
      <c r="D7" s="18">
        <f>IFERROR(VLOOKUP(B7,Meteo_Dummy!$A$5:$B$28,2,FALSE),0)</f>
        <v/>
      </c>
      <c r="E7" s="5">
        <f>IF(AND(D7&gt;cfg_poa_threshold_wm2,D7&gt;cfg_poa_floor_wm2),1,0)</f>
        <v/>
      </c>
      <c r="F7" s="5">
        <f>IF(ISNUMBER(SEARCH("grid connected",LOWER(C7))),1,0)</f>
        <v/>
      </c>
      <c r="G7" s="15">
        <f>Raw_Data_M2b!D7</f>
        <v/>
      </c>
      <c r="H7" s="17">
        <f>Raw_Data_M2b!E7</f>
        <v/>
      </c>
      <c r="I7" s="18">
        <f>IF(E7=1, G7/MAX(H7,cfg_i_clip_floor_a), "")</f>
        <v/>
      </c>
      <c r="J7" s="15">
        <f>IF(AND(ABS(H7)&lt;cfg_i_threshold_a, G7&gt;cfg_min_voc_v), G7, "")</f>
        <v/>
      </c>
      <c r="K7" s="15">
        <f>Raw_Data_M2b!F7</f>
        <v/>
      </c>
      <c r="L7" s="17">
        <f>Raw_Data_M2b!G7</f>
        <v/>
      </c>
      <c r="M7" s="18">
        <f>IF(E7=1, K7/MAX(L7,cfg_i_clip_floor_a), "")</f>
        <v/>
      </c>
      <c r="N7" s="15">
        <f>IF(AND(ABS(L7)&lt;cfg_i_threshold_a, K7&gt;cfg_min_voc_v), K7, "")</f>
        <v/>
      </c>
      <c r="O7" s="15">
        <f>Raw_Data_M2b!H7</f>
        <v/>
      </c>
      <c r="P7" s="17">
        <f>Raw_Data_M2b!I7</f>
        <v/>
      </c>
      <c r="Q7" s="18">
        <f>IF(E7=1, O7/MAX(P7,cfg_i_clip_floor_a), "")</f>
        <v/>
      </c>
      <c r="R7" s="15">
        <f>IF(AND(ABS(P7)&lt;cfg_i_threshold_a, O7&gt;cfg_min_voc_v), O7, "")</f>
        <v/>
      </c>
      <c r="S7" s="15">
        <f>Raw_Data_M2b!J7</f>
        <v/>
      </c>
      <c r="T7" s="17">
        <f>Raw_Data_M2b!K7</f>
        <v/>
      </c>
      <c r="U7" s="18">
        <f>IF(E7=1, S7/MAX(T7,cfg_i_clip_floor_a), "")</f>
        <v/>
      </c>
      <c r="V7" s="15">
        <f>IF(AND(ABS(T7)&lt;cfg_i_threshold_a, S7&gt;cfg_min_voc_v), S7, "")</f>
        <v/>
      </c>
      <c r="W7" s="15">
        <f>Raw_Data_M2b!L7</f>
        <v/>
      </c>
      <c r="X7" s="17">
        <f>Raw_Data_M2b!M7</f>
        <v/>
      </c>
      <c r="Y7" s="18">
        <f>IF(E7=1, W7/MAX(X7,cfg_i_clip_floor_a), "")</f>
        <v/>
      </c>
      <c r="Z7" s="15">
        <f>IF(AND(ABS(X7)&lt;cfg_i_threshold_a, W7&gt;cfg_min_voc_v), W7, "")</f>
        <v/>
      </c>
    </row>
    <row r="8">
      <c r="A8" s="5">
        <f>Raw_Data_M2b!A8</f>
        <v/>
      </c>
      <c r="B8" s="16">
        <f>Raw_Data_M2b!B8</f>
        <v/>
      </c>
      <c r="C8" s="5">
        <f>Raw_Data_M2b!C8</f>
        <v/>
      </c>
      <c r="D8" s="18">
        <f>IFERROR(VLOOKUP(B8,Meteo_Dummy!$A$5:$B$28,2,FALSE),0)</f>
        <v/>
      </c>
      <c r="E8" s="5">
        <f>IF(AND(D8&gt;cfg_poa_threshold_wm2,D8&gt;cfg_poa_floor_wm2),1,0)</f>
        <v/>
      </c>
      <c r="F8" s="5">
        <f>IF(ISNUMBER(SEARCH("grid connected",LOWER(C8))),1,0)</f>
        <v/>
      </c>
      <c r="G8" s="15">
        <f>Raw_Data_M2b!D8</f>
        <v/>
      </c>
      <c r="H8" s="17">
        <f>Raw_Data_M2b!E8</f>
        <v/>
      </c>
      <c r="I8" s="18">
        <f>IF(E8=1, G8/MAX(H8,cfg_i_clip_floor_a), "")</f>
        <v/>
      </c>
      <c r="J8" s="15">
        <f>IF(AND(ABS(H8)&lt;cfg_i_threshold_a, G8&gt;cfg_min_voc_v), G8, "")</f>
        <v/>
      </c>
      <c r="K8" s="15">
        <f>Raw_Data_M2b!F8</f>
        <v/>
      </c>
      <c r="L8" s="17">
        <f>Raw_Data_M2b!G8</f>
        <v/>
      </c>
      <c r="M8" s="18">
        <f>IF(E8=1, K8/MAX(L8,cfg_i_clip_floor_a), "")</f>
        <v/>
      </c>
      <c r="N8" s="15">
        <f>IF(AND(ABS(L8)&lt;cfg_i_threshold_a, K8&gt;cfg_min_voc_v), K8, "")</f>
        <v/>
      </c>
      <c r="O8" s="15">
        <f>Raw_Data_M2b!H8</f>
        <v/>
      </c>
      <c r="P8" s="17">
        <f>Raw_Data_M2b!I8</f>
        <v/>
      </c>
      <c r="Q8" s="18">
        <f>IF(E8=1, O8/MAX(P8,cfg_i_clip_floor_a), "")</f>
        <v/>
      </c>
      <c r="R8" s="15">
        <f>IF(AND(ABS(P8)&lt;cfg_i_threshold_a, O8&gt;cfg_min_voc_v), O8, "")</f>
        <v/>
      </c>
      <c r="S8" s="15">
        <f>Raw_Data_M2b!J8</f>
        <v/>
      </c>
      <c r="T8" s="17">
        <f>Raw_Data_M2b!K8</f>
        <v/>
      </c>
      <c r="U8" s="18">
        <f>IF(E8=1, S8/MAX(T8,cfg_i_clip_floor_a), "")</f>
        <v/>
      </c>
      <c r="V8" s="15">
        <f>IF(AND(ABS(T8)&lt;cfg_i_threshold_a, S8&gt;cfg_min_voc_v), S8, "")</f>
        <v/>
      </c>
      <c r="W8" s="15">
        <f>Raw_Data_M2b!L8</f>
        <v/>
      </c>
      <c r="X8" s="17">
        <f>Raw_Data_M2b!M8</f>
        <v/>
      </c>
      <c r="Y8" s="18">
        <f>IF(E8=1, W8/MAX(X8,cfg_i_clip_floor_a), "")</f>
        <v/>
      </c>
      <c r="Z8" s="15">
        <f>IF(AND(ABS(X8)&lt;cfg_i_threshold_a, W8&gt;cfg_min_voc_v), W8, "")</f>
        <v/>
      </c>
    </row>
    <row r="9">
      <c r="A9" s="5">
        <f>Raw_Data_M2b!A9</f>
        <v/>
      </c>
      <c r="B9" s="16">
        <f>Raw_Data_M2b!B9</f>
        <v/>
      </c>
      <c r="C9" s="5">
        <f>Raw_Data_M2b!C9</f>
        <v/>
      </c>
      <c r="D9" s="18">
        <f>IFERROR(VLOOKUP(B9,Meteo_Dummy!$A$5:$B$28,2,FALSE),0)</f>
        <v/>
      </c>
      <c r="E9" s="5">
        <f>IF(AND(D9&gt;cfg_poa_threshold_wm2,D9&gt;cfg_poa_floor_wm2),1,0)</f>
        <v/>
      </c>
      <c r="F9" s="5">
        <f>IF(ISNUMBER(SEARCH("grid connected",LOWER(C9))),1,0)</f>
        <v/>
      </c>
      <c r="G9" s="15">
        <f>Raw_Data_M2b!D9</f>
        <v/>
      </c>
      <c r="H9" s="17">
        <f>Raw_Data_M2b!E9</f>
        <v/>
      </c>
      <c r="I9" s="18">
        <f>IF(E9=1, G9/MAX(H9,cfg_i_clip_floor_a), "")</f>
        <v/>
      </c>
      <c r="J9" s="15">
        <f>IF(AND(ABS(H9)&lt;cfg_i_threshold_a, G9&gt;cfg_min_voc_v), G9, "")</f>
        <v/>
      </c>
      <c r="K9" s="15">
        <f>Raw_Data_M2b!F9</f>
        <v/>
      </c>
      <c r="L9" s="17">
        <f>Raw_Data_M2b!G9</f>
        <v/>
      </c>
      <c r="M9" s="18">
        <f>IF(E9=1, K9/MAX(L9,cfg_i_clip_floor_a), "")</f>
        <v/>
      </c>
      <c r="N9" s="15">
        <f>IF(AND(ABS(L9)&lt;cfg_i_threshold_a, K9&gt;cfg_min_voc_v), K9, "")</f>
        <v/>
      </c>
      <c r="O9" s="15">
        <f>Raw_Data_M2b!H9</f>
        <v/>
      </c>
      <c r="P9" s="17">
        <f>Raw_Data_M2b!I9</f>
        <v/>
      </c>
      <c r="Q9" s="18">
        <f>IF(E9=1, O9/MAX(P9,cfg_i_clip_floor_a), "")</f>
        <v/>
      </c>
      <c r="R9" s="15">
        <f>IF(AND(ABS(P9)&lt;cfg_i_threshold_a, O9&gt;cfg_min_voc_v), O9, "")</f>
        <v/>
      </c>
      <c r="S9" s="15">
        <f>Raw_Data_M2b!J9</f>
        <v/>
      </c>
      <c r="T9" s="17">
        <f>Raw_Data_M2b!K9</f>
        <v/>
      </c>
      <c r="U9" s="18">
        <f>IF(E9=1, S9/MAX(T9,cfg_i_clip_floor_a), "")</f>
        <v/>
      </c>
      <c r="V9" s="15">
        <f>IF(AND(ABS(T9)&lt;cfg_i_threshold_a, S9&gt;cfg_min_voc_v), S9, "")</f>
        <v/>
      </c>
      <c r="W9" s="15">
        <f>Raw_Data_M2b!L9</f>
        <v/>
      </c>
      <c r="X9" s="17">
        <f>Raw_Data_M2b!M9</f>
        <v/>
      </c>
      <c r="Y9" s="18">
        <f>IF(E9=1, W9/MAX(X9,cfg_i_clip_floor_a), "")</f>
        <v/>
      </c>
      <c r="Z9" s="15">
        <f>IF(AND(ABS(X9)&lt;cfg_i_threshold_a, W9&gt;cfg_min_voc_v), W9, "")</f>
        <v/>
      </c>
    </row>
    <row r="10">
      <c r="A10" s="5">
        <f>Raw_Data_M2b!A10</f>
        <v/>
      </c>
      <c r="B10" s="16">
        <f>Raw_Data_M2b!B10</f>
        <v/>
      </c>
      <c r="C10" s="5">
        <f>Raw_Data_M2b!C10</f>
        <v/>
      </c>
      <c r="D10" s="18">
        <f>IFERROR(VLOOKUP(B10,Meteo_Dummy!$A$5:$B$28,2,FALSE),0)</f>
        <v/>
      </c>
      <c r="E10" s="5">
        <f>IF(AND(D10&gt;cfg_poa_threshold_wm2,D10&gt;cfg_poa_floor_wm2),1,0)</f>
        <v/>
      </c>
      <c r="F10" s="5">
        <f>IF(ISNUMBER(SEARCH("grid connected",LOWER(C10))),1,0)</f>
        <v/>
      </c>
      <c r="G10" s="15">
        <f>Raw_Data_M2b!D10</f>
        <v/>
      </c>
      <c r="H10" s="17">
        <f>Raw_Data_M2b!E10</f>
        <v/>
      </c>
      <c r="I10" s="18">
        <f>IF(E10=1, G10/MAX(H10,cfg_i_clip_floor_a), "")</f>
        <v/>
      </c>
      <c r="J10" s="15">
        <f>IF(AND(ABS(H10)&lt;cfg_i_threshold_a, G10&gt;cfg_min_voc_v), G10, "")</f>
        <v/>
      </c>
      <c r="K10" s="15">
        <f>Raw_Data_M2b!F10</f>
        <v/>
      </c>
      <c r="L10" s="17">
        <f>Raw_Data_M2b!G10</f>
        <v/>
      </c>
      <c r="M10" s="18">
        <f>IF(E10=1, K10/MAX(L10,cfg_i_clip_floor_a), "")</f>
        <v/>
      </c>
      <c r="N10" s="15">
        <f>IF(AND(ABS(L10)&lt;cfg_i_threshold_a, K10&gt;cfg_min_voc_v), K10, "")</f>
        <v/>
      </c>
      <c r="O10" s="15">
        <f>Raw_Data_M2b!H10</f>
        <v/>
      </c>
      <c r="P10" s="17">
        <f>Raw_Data_M2b!I10</f>
        <v/>
      </c>
      <c r="Q10" s="18">
        <f>IF(E10=1, O10/MAX(P10,cfg_i_clip_floor_a), "")</f>
        <v/>
      </c>
      <c r="R10" s="15">
        <f>IF(AND(ABS(P10)&lt;cfg_i_threshold_a, O10&gt;cfg_min_voc_v), O10, "")</f>
        <v/>
      </c>
      <c r="S10" s="15">
        <f>Raw_Data_M2b!J10</f>
        <v/>
      </c>
      <c r="T10" s="17">
        <f>Raw_Data_M2b!K10</f>
        <v/>
      </c>
      <c r="U10" s="18">
        <f>IF(E10=1, S10/MAX(T10,cfg_i_clip_floor_a), "")</f>
        <v/>
      </c>
      <c r="V10" s="15">
        <f>IF(AND(ABS(T10)&lt;cfg_i_threshold_a, S10&gt;cfg_min_voc_v), S10, "")</f>
        <v/>
      </c>
      <c r="W10" s="15">
        <f>Raw_Data_M2b!L10</f>
        <v/>
      </c>
      <c r="X10" s="17">
        <f>Raw_Data_M2b!M10</f>
        <v/>
      </c>
      <c r="Y10" s="18">
        <f>IF(E10=1, W10/MAX(X10,cfg_i_clip_floor_a), "")</f>
        <v/>
      </c>
      <c r="Z10" s="15">
        <f>IF(AND(ABS(X10)&lt;cfg_i_threshold_a, W10&gt;cfg_min_voc_v), W10, "")</f>
        <v/>
      </c>
    </row>
    <row r="11">
      <c r="A11" s="5">
        <f>Raw_Data_M2b!A11</f>
        <v/>
      </c>
      <c r="B11" s="16">
        <f>Raw_Data_M2b!B11</f>
        <v/>
      </c>
      <c r="C11" s="5">
        <f>Raw_Data_M2b!C11</f>
        <v/>
      </c>
      <c r="D11" s="18">
        <f>IFERROR(VLOOKUP(B11,Meteo_Dummy!$A$5:$B$28,2,FALSE),0)</f>
        <v/>
      </c>
      <c r="E11" s="5">
        <f>IF(AND(D11&gt;cfg_poa_threshold_wm2,D11&gt;cfg_poa_floor_wm2),1,0)</f>
        <v/>
      </c>
      <c r="F11" s="5">
        <f>IF(ISNUMBER(SEARCH("grid connected",LOWER(C11))),1,0)</f>
        <v/>
      </c>
      <c r="G11" s="15">
        <f>Raw_Data_M2b!D11</f>
        <v/>
      </c>
      <c r="H11" s="17">
        <f>Raw_Data_M2b!E11</f>
        <v/>
      </c>
      <c r="I11" s="18">
        <f>IF(E11=1, G11/MAX(H11,cfg_i_clip_floor_a), "")</f>
        <v/>
      </c>
      <c r="J11" s="15">
        <f>IF(AND(ABS(H11)&lt;cfg_i_threshold_a, G11&gt;cfg_min_voc_v), G11, "")</f>
        <v/>
      </c>
      <c r="K11" s="15">
        <f>Raw_Data_M2b!F11</f>
        <v/>
      </c>
      <c r="L11" s="17">
        <f>Raw_Data_M2b!G11</f>
        <v/>
      </c>
      <c r="M11" s="18">
        <f>IF(E11=1, K11/MAX(L11,cfg_i_clip_floor_a), "")</f>
        <v/>
      </c>
      <c r="N11" s="15">
        <f>IF(AND(ABS(L11)&lt;cfg_i_threshold_a, K11&gt;cfg_min_voc_v), K11, "")</f>
        <v/>
      </c>
      <c r="O11" s="15">
        <f>Raw_Data_M2b!H11</f>
        <v/>
      </c>
      <c r="P11" s="17">
        <f>Raw_Data_M2b!I11</f>
        <v/>
      </c>
      <c r="Q11" s="18">
        <f>IF(E11=1, O11/MAX(P11,cfg_i_clip_floor_a), "")</f>
        <v/>
      </c>
      <c r="R11" s="15">
        <f>IF(AND(ABS(P11)&lt;cfg_i_threshold_a, O11&gt;cfg_min_voc_v), O11, "")</f>
        <v/>
      </c>
      <c r="S11" s="15">
        <f>Raw_Data_M2b!J11</f>
        <v/>
      </c>
      <c r="T11" s="17">
        <f>Raw_Data_M2b!K11</f>
        <v/>
      </c>
      <c r="U11" s="18">
        <f>IF(E11=1, S11/MAX(T11,cfg_i_clip_floor_a), "")</f>
        <v/>
      </c>
      <c r="V11" s="15">
        <f>IF(AND(ABS(T11)&lt;cfg_i_threshold_a, S11&gt;cfg_min_voc_v), S11, "")</f>
        <v/>
      </c>
      <c r="W11" s="15">
        <f>Raw_Data_M2b!L11</f>
        <v/>
      </c>
      <c r="X11" s="17">
        <f>Raw_Data_M2b!M11</f>
        <v/>
      </c>
      <c r="Y11" s="18">
        <f>IF(E11=1, W11/MAX(X11,cfg_i_clip_floor_a), "")</f>
        <v/>
      </c>
      <c r="Z11" s="15">
        <f>IF(AND(ABS(X11)&lt;cfg_i_threshold_a, W11&gt;cfg_min_voc_v), W11, "")</f>
        <v/>
      </c>
    </row>
    <row r="12">
      <c r="A12" s="5">
        <f>Raw_Data_M2b!A12</f>
        <v/>
      </c>
      <c r="B12" s="16">
        <f>Raw_Data_M2b!B12</f>
        <v/>
      </c>
      <c r="C12" s="5">
        <f>Raw_Data_M2b!C12</f>
        <v/>
      </c>
      <c r="D12" s="18">
        <f>IFERROR(VLOOKUP(B12,Meteo_Dummy!$A$5:$B$28,2,FALSE),0)</f>
        <v/>
      </c>
      <c r="E12" s="5">
        <f>IF(AND(D12&gt;cfg_poa_threshold_wm2,D12&gt;cfg_poa_floor_wm2),1,0)</f>
        <v/>
      </c>
      <c r="F12" s="5">
        <f>IF(ISNUMBER(SEARCH("grid connected",LOWER(C12))),1,0)</f>
        <v/>
      </c>
      <c r="G12" s="15">
        <f>Raw_Data_M2b!D12</f>
        <v/>
      </c>
      <c r="H12" s="17">
        <f>Raw_Data_M2b!E12</f>
        <v/>
      </c>
      <c r="I12" s="18">
        <f>IF(E12=1, G12/MAX(H12,cfg_i_clip_floor_a), "")</f>
        <v/>
      </c>
      <c r="J12" s="15">
        <f>IF(AND(ABS(H12)&lt;cfg_i_threshold_a, G12&gt;cfg_min_voc_v), G12, "")</f>
        <v/>
      </c>
      <c r="K12" s="15">
        <f>Raw_Data_M2b!F12</f>
        <v/>
      </c>
      <c r="L12" s="17">
        <f>Raw_Data_M2b!G12</f>
        <v/>
      </c>
      <c r="M12" s="18">
        <f>IF(E12=1, K12/MAX(L12,cfg_i_clip_floor_a), "")</f>
        <v/>
      </c>
      <c r="N12" s="15">
        <f>IF(AND(ABS(L12)&lt;cfg_i_threshold_a, K12&gt;cfg_min_voc_v), K12, "")</f>
        <v/>
      </c>
      <c r="O12" s="15">
        <f>Raw_Data_M2b!H12</f>
        <v/>
      </c>
      <c r="P12" s="17">
        <f>Raw_Data_M2b!I12</f>
        <v/>
      </c>
      <c r="Q12" s="18">
        <f>IF(E12=1, O12/MAX(P12,cfg_i_clip_floor_a), "")</f>
        <v/>
      </c>
      <c r="R12" s="15">
        <f>IF(AND(ABS(P12)&lt;cfg_i_threshold_a, O12&gt;cfg_min_voc_v), O12, "")</f>
        <v/>
      </c>
      <c r="S12" s="15">
        <f>Raw_Data_M2b!J12</f>
        <v/>
      </c>
      <c r="T12" s="17">
        <f>Raw_Data_M2b!K12</f>
        <v/>
      </c>
      <c r="U12" s="18">
        <f>IF(E12=1, S12/MAX(T12,cfg_i_clip_floor_a), "")</f>
        <v/>
      </c>
      <c r="V12" s="15">
        <f>IF(AND(ABS(T12)&lt;cfg_i_threshold_a, S12&gt;cfg_min_voc_v), S12, "")</f>
        <v/>
      </c>
      <c r="W12" s="15">
        <f>Raw_Data_M2b!L12</f>
        <v/>
      </c>
      <c r="X12" s="17">
        <f>Raw_Data_M2b!M12</f>
        <v/>
      </c>
      <c r="Y12" s="18">
        <f>IF(E12=1, W12/MAX(X12,cfg_i_clip_floor_a), "")</f>
        <v/>
      </c>
      <c r="Z12" s="15">
        <f>IF(AND(ABS(X12)&lt;cfg_i_threshold_a, W12&gt;cfg_min_voc_v), W12, "")</f>
        <v/>
      </c>
    </row>
    <row r="13">
      <c r="A13" s="5">
        <f>Raw_Data_M2b!A13</f>
        <v/>
      </c>
      <c r="B13" s="16">
        <f>Raw_Data_M2b!B13</f>
        <v/>
      </c>
      <c r="C13" s="5">
        <f>Raw_Data_M2b!C13</f>
        <v/>
      </c>
      <c r="D13" s="18">
        <f>IFERROR(VLOOKUP(B13,Meteo_Dummy!$A$5:$B$28,2,FALSE),0)</f>
        <v/>
      </c>
      <c r="E13" s="5">
        <f>IF(AND(D13&gt;cfg_poa_threshold_wm2,D13&gt;cfg_poa_floor_wm2),1,0)</f>
        <v/>
      </c>
      <c r="F13" s="5">
        <f>IF(ISNUMBER(SEARCH("grid connected",LOWER(C13))),1,0)</f>
        <v/>
      </c>
      <c r="G13" s="15">
        <f>Raw_Data_M2b!D13</f>
        <v/>
      </c>
      <c r="H13" s="17">
        <f>Raw_Data_M2b!E13</f>
        <v/>
      </c>
      <c r="I13" s="18">
        <f>IF(E13=1, G13/MAX(H13,cfg_i_clip_floor_a), "")</f>
        <v/>
      </c>
      <c r="J13" s="15">
        <f>IF(AND(ABS(H13)&lt;cfg_i_threshold_a, G13&gt;cfg_min_voc_v), G13, "")</f>
        <v/>
      </c>
      <c r="K13" s="15">
        <f>Raw_Data_M2b!F13</f>
        <v/>
      </c>
      <c r="L13" s="17">
        <f>Raw_Data_M2b!G13</f>
        <v/>
      </c>
      <c r="M13" s="18">
        <f>IF(E13=1, K13/MAX(L13,cfg_i_clip_floor_a), "")</f>
        <v/>
      </c>
      <c r="N13" s="15">
        <f>IF(AND(ABS(L13)&lt;cfg_i_threshold_a, K13&gt;cfg_min_voc_v), K13, "")</f>
        <v/>
      </c>
      <c r="O13" s="15">
        <f>Raw_Data_M2b!H13</f>
        <v/>
      </c>
      <c r="P13" s="17">
        <f>Raw_Data_M2b!I13</f>
        <v/>
      </c>
      <c r="Q13" s="18">
        <f>IF(E13=1, O13/MAX(P13,cfg_i_clip_floor_a), "")</f>
        <v/>
      </c>
      <c r="R13" s="15">
        <f>IF(AND(ABS(P13)&lt;cfg_i_threshold_a, O13&gt;cfg_min_voc_v), O13, "")</f>
        <v/>
      </c>
      <c r="S13" s="15">
        <f>Raw_Data_M2b!J13</f>
        <v/>
      </c>
      <c r="T13" s="17">
        <f>Raw_Data_M2b!K13</f>
        <v/>
      </c>
      <c r="U13" s="18">
        <f>IF(E13=1, S13/MAX(T13,cfg_i_clip_floor_a), "")</f>
        <v/>
      </c>
      <c r="V13" s="15">
        <f>IF(AND(ABS(T13)&lt;cfg_i_threshold_a, S13&gt;cfg_min_voc_v), S13, "")</f>
        <v/>
      </c>
      <c r="W13" s="15">
        <f>Raw_Data_M2b!L13</f>
        <v/>
      </c>
      <c r="X13" s="17">
        <f>Raw_Data_M2b!M13</f>
        <v/>
      </c>
      <c r="Y13" s="18">
        <f>IF(E13=1, W13/MAX(X13,cfg_i_clip_floor_a), "")</f>
        <v/>
      </c>
      <c r="Z13" s="15">
        <f>IF(AND(ABS(X13)&lt;cfg_i_threshold_a, W13&gt;cfg_min_voc_v), W13, "")</f>
        <v/>
      </c>
    </row>
    <row r="14">
      <c r="A14" s="5">
        <f>Raw_Data_M2b!A14</f>
        <v/>
      </c>
      <c r="B14" s="16">
        <f>Raw_Data_M2b!B14</f>
        <v/>
      </c>
      <c r="C14" s="5">
        <f>Raw_Data_M2b!C14</f>
        <v/>
      </c>
      <c r="D14" s="18">
        <f>IFERROR(VLOOKUP(B14,Meteo_Dummy!$A$5:$B$28,2,FALSE),0)</f>
        <v/>
      </c>
      <c r="E14" s="5">
        <f>IF(AND(D14&gt;cfg_poa_threshold_wm2,D14&gt;cfg_poa_floor_wm2),1,0)</f>
        <v/>
      </c>
      <c r="F14" s="5">
        <f>IF(ISNUMBER(SEARCH("grid connected",LOWER(C14))),1,0)</f>
        <v/>
      </c>
      <c r="G14" s="15">
        <f>Raw_Data_M2b!D14</f>
        <v/>
      </c>
      <c r="H14" s="17">
        <f>Raw_Data_M2b!E14</f>
        <v/>
      </c>
      <c r="I14" s="18">
        <f>IF(E14=1, G14/MAX(H14,cfg_i_clip_floor_a), "")</f>
        <v/>
      </c>
      <c r="J14" s="15">
        <f>IF(AND(ABS(H14)&lt;cfg_i_threshold_a, G14&gt;cfg_min_voc_v), G14, "")</f>
        <v/>
      </c>
      <c r="K14" s="15">
        <f>Raw_Data_M2b!F14</f>
        <v/>
      </c>
      <c r="L14" s="17">
        <f>Raw_Data_M2b!G14</f>
        <v/>
      </c>
      <c r="M14" s="18">
        <f>IF(E14=1, K14/MAX(L14,cfg_i_clip_floor_a), "")</f>
        <v/>
      </c>
      <c r="N14" s="15">
        <f>IF(AND(ABS(L14)&lt;cfg_i_threshold_a, K14&gt;cfg_min_voc_v), K14, "")</f>
        <v/>
      </c>
      <c r="O14" s="15">
        <f>Raw_Data_M2b!H14</f>
        <v/>
      </c>
      <c r="P14" s="17">
        <f>Raw_Data_M2b!I14</f>
        <v/>
      </c>
      <c r="Q14" s="18">
        <f>IF(E14=1, O14/MAX(P14,cfg_i_clip_floor_a), "")</f>
        <v/>
      </c>
      <c r="R14" s="15">
        <f>IF(AND(ABS(P14)&lt;cfg_i_threshold_a, O14&gt;cfg_min_voc_v), O14, "")</f>
        <v/>
      </c>
      <c r="S14" s="15">
        <f>Raw_Data_M2b!J14</f>
        <v/>
      </c>
      <c r="T14" s="17">
        <f>Raw_Data_M2b!K14</f>
        <v/>
      </c>
      <c r="U14" s="18">
        <f>IF(E14=1, S14/MAX(T14,cfg_i_clip_floor_a), "")</f>
        <v/>
      </c>
      <c r="V14" s="15">
        <f>IF(AND(ABS(T14)&lt;cfg_i_threshold_a, S14&gt;cfg_min_voc_v), S14, "")</f>
        <v/>
      </c>
      <c r="W14" s="15">
        <f>Raw_Data_M2b!L14</f>
        <v/>
      </c>
      <c r="X14" s="17">
        <f>Raw_Data_M2b!M14</f>
        <v/>
      </c>
      <c r="Y14" s="18">
        <f>IF(E14=1, W14/MAX(X14,cfg_i_clip_floor_a), "")</f>
        <v/>
      </c>
      <c r="Z14" s="15">
        <f>IF(AND(ABS(X14)&lt;cfg_i_threshold_a, W14&gt;cfg_min_voc_v), W14, "")</f>
        <v/>
      </c>
    </row>
    <row r="15">
      <c r="A15" s="5">
        <f>Raw_Data_M2b!A15</f>
        <v/>
      </c>
      <c r="B15" s="16">
        <f>Raw_Data_M2b!B15</f>
        <v/>
      </c>
      <c r="C15" s="5">
        <f>Raw_Data_M2b!C15</f>
        <v/>
      </c>
      <c r="D15" s="18">
        <f>IFERROR(VLOOKUP(B15,Meteo_Dummy!$A$5:$B$28,2,FALSE),0)</f>
        <v/>
      </c>
      <c r="E15" s="5">
        <f>IF(AND(D15&gt;cfg_poa_threshold_wm2,D15&gt;cfg_poa_floor_wm2),1,0)</f>
        <v/>
      </c>
      <c r="F15" s="5">
        <f>IF(ISNUMBER(SEARCH("grid connected",LOWER(C15))),1,0)</f>
        <v/>
      </c>
      <c r="G15" s="15">
        <f>Raw_Data_M2b!D15</f>
        <v/>
      </c>
      <c r="H15" s="17">
        <f>Raw_Data_M2b!E15</f>
        <v/>
      </c>
      <c r="I15" s="18">
        <f>IF(E15=1, G15/MAX(H15,cfg_i_clip_floor_a), "")</f>
        <v/>
      </c>
      <c r="J15" s="15">
        <f>IF(AND(ABS(H15)&lt;cfg_i_threshold_a, G15&gt;cfg_min_voc_v), G15, "")</f>
        <v/>
      </c>
      <c r="K15" s="15">
        <f>Raw_Data_M2b!F15</f>
        <v/>
      </c>
      <c r="L15" s="17">
        <f>Raw_Data_M2b!G15</f>
        <v/>
      </c>
      <c r="M15" s="18">
        <f>IF(E15=1, K15/MAX(L15,cfg_i_clip_floor_a), "")</f>
        <v/>
      </c>
      <c r="N15" s="15">
        <f>IF(AND(ABS(L15)&lt;cfg_i_threshold_a, K15&gt;cfg_min_voc_v), K15, "")</f>
        <v/>
      </c>
      <c r="O15" s="15">
        <f>Raw_Data_M2b!H15</f>
        <v/>
      </c>
      <c r="P15" s="17">
        <f>Raw_Data_M2b!I15</f>
        <v/>
      </c>
      <c r="Q15" s="18">
        <f>IF(E15=1, O15/MAX(P15,cfg_i_clip_floor_a), "")</f>
        <v/>
      </c>
      <c r="R15" s="15">
        <f>IF(AND(ABS(P15)&lt;cfg_i_threshold_a, O15&gt;cfg_min_voc_v), O15, "")</f>
        <v/>
      </c>
      <c r="S15" s="15">
        <f>Raw_Data_M2b!J15</f>
        <v/>
      </c>
      <c r="T15" s="17">
        <f>Raw_Data_M2b!K15</f>
        <v/>
      </c>
      <c r="U15" s="18">
        <f>IF(E15=1, S15/MAX(T15,cfg_i_clip_floor_a), "")</f>
        <v/>
      </c>
      <c r="V15" s="15">
        <f>IF(AND(ABS(T15)&lt;cfg_i_threshold_a, S15&gt;cfg_min_voc_v), S15, "")</f>
        <v/>
      </c>
      <c r="W15" s="15">
        <f>Raw_Data_M2b!L15</f>
        <v/>
      </c>
      <c r="X15" s="17">
        <f>Raw_Data_M2b!M15</f>
        <v/>
      </c>
      <c r="Y15" s="18">
        <f>IF(E15=1, W15/MAX(X15,cfg_i_clip_floor_a), "")</f>
        <v/>
      </c>
      <c r="Z15" s="15">
        <f>IF(AND(ABS(X15)&lt;cfg_i_threshold_a, W15&gt;cfg_min_voc_v), W15, "")</f>
        <v/>
      </c>
    </row>
    <row r="16">
      <c r="A16" s="5">
        <f>Raw_Data_M2b!A16</f>
        <v/>
      </c>
      <c r="B16" s="16">
        <f>Raw_Data_M2b!B16</f>
        <v/>
      </c>
      <c r="C16" s="5">
        <f>Raw_Data_M2b!C16</f>
        <v/>
      </c>
      <c r="D16" s="18">
        <f>IFERROR(VLOOKUP(B16,Meteo_Dummy!$A$5:$B$28,2,FALSE),0)</f>
        <v/>
      </c>
      <c r="E16" s="5">
        <f>IF(AND(D16&gt;cfg_poa_threshold_wm2,D16&gt;cfg_poa_floor_wm2),1,0)</f>
        <v/>
      </c>
      <c r="F16" s="5">
        <f>IF(ISNUMBER(SEARCH("grid connected",LOWER(C16))),1,0)</f>
        <v/>
      </c>
      <c r="G16" s="15">
        <f>Raw_Data_M2b!D16</f>
        <v/>
      </c>
      <c r="H16" s="17">
        <f>Raw_Data_M2b!E16</f>
        <v/>
      </c>
      <c r="I16" s="18">
        <f>IF(E16=1, G16/MAX(H16,cfg_i_clip_floor_a), "")</f>
        <v/>
      </c>
      <c r="J16" s="15">
        <f>IF(AND(ABS(H16)&lt;cfg_i_threshold_a, G16&gt;cfg_min_voc_v), G16, "")</f>
        <v/>
      </c>
      <c r="K16" s="15">
        <f>Raw_Data_M2b!F16</f>
        <v/>
      </c>
      <c r="L16" s="17">
        <f>Raw_Data_M2b!G16</f>
        <v/>
      </c>
      <c r="M16" s="18">
        <f>IF(E16=1, K16/MAX(L16,cfg_i_clip_floor_a), "")</f>
        <v/>
      </c>
      <c r="N16" s="15">
        <f>IF(AND(ABS(L16)&lt;cfg_i_threshold_a, K16&gt;cfg_min_voc_v), K16, "")</f>
        <v/>
      </c>
      <c r="O16" s="15">
        <f>Raw_Data_M2b!H16</f>
        <v/>
      </c>
      <c r="P16" s="17">
        <f>Raw_Data_M2b!I16</f>
        <v/>
      </c>
      <c r="Q16" s="18">
        <f>IF(E16=1, O16/MAX(P16,cfg_i_clip_floor_a), "")</f>
        <v/>
      </c>
      <c r="R16" s="15">
        <f>IF(AND(ABS(P16)&lt;cfg_i_threshold_a, O16&gt;cfg_min_voc_v), O16, "")</f>
        <v/>
      </c>
      <c r="S16" s="15">
        <f>Raw_Data_M2b!J16</f>
        <v/>
      </c>
      <c r="T16" s="17">
        <f>Raw_Data_M2b!K16</f>
        <v/>
      </c>
      <c r="U16" s="18">
        <f>IF(E16=1, S16/MAX(T16,cfg_i_clip_floor_a), "")</f>
        <v/>
      </c>
      <c r="V16" s="15">
        <f>IF(AND(ABS(T16)&lt;cfg_i_threshold_a, S16&gt;cfg_min_voc_v), S16, "")</f>
        <v/>
      </c>
      <c r="W16" s="15">
        <f>Raw_Data_M2b!L16</f>
        <v/>
      </c>
      <c r="X16" s="17">
        <f>Raw_Data_M2b!M16</f>
        <v/>
      </c>
      <c r="Y16" s="18">
        <f>IF(E16=1, W16/MAX(X16,cfg_i_clip_floor_a), "")</f>
        <v/>
      </c>
      <c r="Z16" s="15">
        <f>IF(AND(ABS(X16)&lt;cfg_i_threshold_a, W16&gt;cfg_min_voc_v), W16, "")</f>
        <v/>
      </c>
    </row>
    <row r="17">
      <c r="A17" s="5">
        <f>Raw_Data_M2b!A17</f>
        <v/>
      </c>
      <c r="B17" s="16">
        <f>Raw_Data_M2b!B17</f>
        <v/>
      </c>
      <c r="C17" s="5">
        <f>Raw_Data_M2b!C17</f>
        <v/>
      </c>
      <c r="D17" s="18">
        <f>IFERROR(VLOOKUP(B17,Meteo_Dummy!$A$5:$B$28,2,FALSE),0)</f>
        <v/>
      </c>
      <c r="E17" s="5">
        <f>IF(AND(D17&gt;cfg_poa_threshold_wm2,D17&gt;cfg_poa_floor_wm2),1,0)</f>
        <v/>
      </c>
      <c r="F17" s="5">
        <f>IF(ISNUMBER(SEARCH("grid connected",LOWER(C17))),1,0)</f>
        <v/>
      </c>
      <c r="G17" s="15">
        <f>Raw_Data_M2b!D17</f>
        <v/>
      </c>
      <c r="H17" s="17">
        <f>Raw_Data_M2b!E17</f>
        <v/>
      </c>
      <c r="I17" s="18">
        <f>IF(E17=1, G17/MAX(H17,cfg_i_clip_floor_a), "")</f>
        <v/>
      </c>
      <c r="J17" s="15">
        <f>IF(AND(ABS(H17)&lt;cfg_i_threshold_a, G17&gt;cfg_min_voc_v), G17, "")</f>
        <v/>
      </c>
      <c r="K17" s="15">
        <f>Raw_Data_M2b!F17</f>
        <v/>
      </c>
      <c r="L17" s="17">
        <f>Raw_Data_M2b!G17</f>
        <v/>
      </c>
      <c r="M17" s="18">
        <f>IF(E17=1, K17/MAX(L17,cfg_i_clip_floor_a), "")</f>
        <v/>
      </c>
      <c r="N17" s="15">
        <f>IF(AND(ABS(L17)&lt;cfg_i_threshold_a, K17&gt;cfg_min_voc_v), K17, "")</f>
        <v/>
      </c>
      <c r="O17" s="15">
        <f>Raw_Data_M2b!H17</f>
        <v/>
      </c>
      <c r="P17" s="17">
        <f>Raw_Data_M2b!I17</f>
        <v/>
      </c>
      <c r="Q17" s="18">
        <f>IF(E17=1, O17/MAX(P17,cfg_i_clip_floor_a), "")</f>
        <v/>
      </c>
      <c r="R17" s="15">
        <f>IF(AND(ABS(P17)&lt;cfg_i_threshold_a, O17&gt;cfg_min_voc_v), O17, "")</f>
        <v/>
      </c>
      <c r="S17" s="15">
        <f>Raw_Data_M2b!J17</f>
        <v/>
      </c>
      <c r="T17" s="17">
        <f>Raw_Data_M2b!K17</f>
        <v/>
      </c>
      <c r="U17" s="18">
        <f>IF(E17=1, S17/MAX(T17,cfg_i_clip_floor_a), "")</f>
        <v/>
      </c>
      <c r="V17" s="15">
        <f>IF(AND(ABS(T17)&lt;cfg_i_threshold_a, S17&gt;cfg_min_voc_v), S17, "")</f>
        <v/>
      </c>
      <c r="W17" s="15">
        <f>Raw_Data_M2b!L17</f>
        <v/>
      </c>
      <c r="X17" s="17">
        <f>Raw_Data_M2b!M17</f>
        <v/>
      </c>
      <c r="Y17" s="18">
        <f>IF(E17=1, W17/MAX(X17,cfg_i_clip_floor_a), "")</f>
        <v/>
      </c>
      <c r="Z17" s="15">
        <f>IF(AND(ABS(X17)&lt;cfg_i_threshold_a, W17&gt;cfg_min_voc_v), W17, "")</f>
        <v/>
      </c>
    </row>
    <row r="18">
      <c r="A18" s="5">
        <f>Raw_Data_M2b!A18</f>
        <v/>
      </c>
      <c r="B18" s="16">
        <f>Raw_Data_M2b!B18</f>
        <v/>
      </c>
      <c r="C18" s="5">
        <f>Raw_Data_M2b!C18</f>
        <v/>
      </c>
      <c r="D18" s="18">
        <f>IFERROR(VLOOKUP(B18,Meteo_Dummy!$A$5:$B$28,2,FALSE),0)</f>
        <v/>
      </c>
      <c r="E18" s="5">
        <f>IF(AND(D18&gt;cfg_poa_threshold_wm2,D18&gt;cfg_poa_floor_wm2),1,0)</f>
        <v/>
      </c>
      <c r="F18" s="5">
        <f>IF(ISNUMBER(SEARCH("grid connected",LOWER(C18))),1,0)</f>
        <v/>
      </c>
      <c r="G18" s="15">
        <f>Raw_Data_M2b!D18</f>
        <v/>
      </c>
      <c r="H18" s="17">
        <f>Raw_Data_M2b!E18</f>
        <v/>
      </c>
      <c r="I18" s="18">
        <f>IF(E18=1, G18/MAX(H18,cfg_i_clip_floor_a), "")</f>
        <v/>
      </c>
      <c r="J18" s="15">
        <f>IF(AND(ABS(H18)&lt;cfg_i_threshold_a, G18&gt;cfg_min_voc_v), G18, "")</f>
        <v/>
      </c>
      <c r="K18" s="15">
        <f>Raw_Data_M2b!F18</f>
        <v/>
      </c>
      <c r="L18" s="17">
        <f>Raw_Data_M2b!G18</f>
        <v/>
      </c>
      <c r="M18" s="18">
        <f>IF(E18=1, K18/MAX(L18,cfg_i_clip_floor_a), "")</f>
        <v/>
      </c>
      <c r="N18" s="15">
        <f>IF(AND(ABS(L18)&lt;cfg_i_threshold_a, K18&gt;cfg_min_voc_v), K18, "")</f>
        <v/>
      </c>
      <c r="O18" s="15">
        <f>Raw_Data_M2b!H18</f>
        <v/>
      </c>
      <c r="P18" s="17">
        <f>Raw_Data_M2b!I18</f>
        <v/>
      </c>
      <c r="Q18" s="18">
        <f>IF(E18=1, O18/MAX(P18,cfg_i_clip_floor_a), "")</f>
        <v/>
      </c>
      <c r="R18" s="15">
        <f>IF(AND(ABS(P18)&lt;cfg_i_threshold_a, O18&gt;cfg_min_voc_v), O18, "")</f>
        <v/>
      </c>
      <c r="S18" s="15">
        <f>Raw_Data_M2b!J18</f>
        <v/>
      </c>
      <c r="T18" s="17">
        <f>Raw_Data_M2b!K18</f>
        <v/>
      </c>
      <c r="U18" s="18">
        <f>IF(E18=1, S18/MAX(T18,cfg_i_clip_floor_a), "")</f>
        <v/>
      </c>
      <c r="V18" s="15">
        <f>IF(AND(ABS(T18)&lt;cfg_i_threshold_a, S18&gt;cfg_min_voc_v), S18, "")</f>
        <v/>
      </c>
      <c r="W18" s="15">
        <f>Raw_Data_M2b!L18</f>
        <v/>
      </c>
      <c r="X18" s="17">
        <f>Raw_Data_M2b!M18</f>
        <v/>
      </c>
      <c r="Y18" s="18">
        <f>IF(E18=1, W18/MAX(X18,cfg_i_clip_floor_a), "")</f>
        <v/>
      </c>
      <c r="Z18" s="15">
        <f>IF(AND(ABS(X18)&lt;cfg_i_threshold_a, W18&gt;cfg_min_voc_v), W18, "")</f>
        <v/>
      </c>
    </row>
    <row r="19">
      <c r="A19" s="5">
        <f>Raw_Data_M2b!A19</f>
        <v/>
      </c>
      <c r="B19" s="16">
        <f>Raw_Data_M2b!B19</f>
        <v/>
      </c>
      <c r="C19" s="5">
        <f>Raw_Data_M2b!C19</f>
        <v/>
      </c>
      <c r="D19" s="18">
        <f>IFERROR(VLOOKUP(B19,Meteo_Dummy!$A$5:$B$28,2,FALSE),0)</f>
        <v/>
      </c>
      <c r="E19" s="5">
        <f>IF(AND(D19&gt;cfg_poa_threshold_wm2,D19&gt;cfg_poa_floor_wm2),1,0)</f>
        <v/>
      </c>
      <c r="F19" s="5">
        <f>IF(ISNUMBER(SEARCH("grid connected",LOWER(C19))),1,0)</f>
        <v/>
      </c>
      <c r="G19" s="15">
        <f>Raw_Data_M2b!D19</f>
        <v/>
      </c>
      <c r="H19" s="17">
        <f>Raw_Data_M2b!E19</f>
        <v/>
      </c>
      <c r="I19" s="18">
        <f>IF(E19=1, G19/MAX(H19,cfg_i_clip_floor_a), "")</f>
        <v/>
      </c>
      <c r="J19" s="15">
        <f>IF(AND(ABS(H19)&lt;cfg_i_threshold_a, G19&gt;cfg_min_voc_v), G19, "")</f>
        <v/>
      </c>
      <c r="K19" s="15">
        <f>Raw_Data_M2b!F19</f>
        <v/>
      </c>
      <c r="L19" s="17">
        <f>Raw_Data_M2b!G19</f>
        <v/>
      </c>
      <c r="M19" s="18">
        <f>IF(E19=1, K19/MAX(L19,cfg_i_clip_floor_a), "")</f>
        <v/>
      </c>
      <c r="N19" s="15">
        <f>IF(AND(ABS(L19)&lt;cfg_i_threshold_a, K19&gt;cfg_min_voc_v), K19, "")</f>
        <v/>
      </c>
      <c r="O19" s="15">
        <f>Raw_Data_M2b!H19</f>
        <v/>
      </c>
      <c r="P19" s="17">
        <f>Raw_Data_M2b!I19</f>
        <v/>
      </c>
      <c r="Q19" s="18">
        <f>IF(E19=1, O19/MAX(P19,cfg_i_clip_floor_a), "")</f>
        <v/>
      </c>
      <c r="R19" s="15">
        <f>IF(AND(ABS(P19)&lt;cfg_i_threshold_a, O19&gt;cfg_min_voc_v), O19, "")</f>
        <v/>
      </c>
      <c r="S19" s="15">
        <f>Raw_Data_M2b!J19</f>
        <v/>
      </c>
      <c r="T19" s="17">
        <f>Raw_Data_M2b!K19</f>
        <v/>
      </c>
      <c r="U19" s="18">
        <f>IF(E19=1, S19/MAX(T19,cfg_i_clip_floor_a), "")</f>
        <v/>
      </c>
      <c r="V19" s="15">
        <f>IF(AND(ABS(T19)&lt;cfg_i_threshold_a, S19&gt;cfg_min_voc_v), S19, "")</f>
        <v/>
      </c>
      <c r="W19" s="15">
        <f>Raw_Data_M2b!L19</f>
        <v/>
      </c>
      <c r="X19" s="17">
        <f>Raw_Data_M2b!M19</f>
        <v/>
      </c>
      <c r="Y19" s="18">
        <f>IF(E19=1, W19/MAX(X19,cfg_i_clip_floor_a), "")</f>
        <v/>
      </c>
      <c r="Z19" s="15">
        <f>IF(AND(ABS(X19)&lt;cfg_i_threshold_a, W19&gt;cfg_min_voc_v), W19, "")</f>
        <v/>
      </c>
    </row>
    <row r="20">
      <c r="A20" s="5">
        <f>Raw_Data_M2b!A20</f>
        <v/>
      </c>
      <c r="B20" s="16">
        <f>Raw_Data_M2b!B20</f>
        <v/>
      </c>
      <c r="C20" s="5">
        <f>Raw_Data_M2b!C20</f>
        <v/>
      </c>
      <c r="D20" s="18">
        <f>IFERROR(VLOOKUP(B20,Meteo_Dummy!$A$5:$B$28,2,FALSE),0)</f>
        <v/>
      </c>
      <c r="E20" s="5">
        <f>IF(AND(D20&gt;cfg_poa_threshold_wm2,D20&gt;cfg_poa_floor_wm2),1,0)</f>
        <v/>
      </c>
      <c r="F20" s="5">
        <f>IF(ISNUMBER(SEARCH("grid connected",LOWER(C20))),1,0)</f>
        <v/>
      </c>
      <c r="G20" s="15">
        <f>Raw_Data_M2b!D20</f>
        <v/>
      </c>
      <c r="H20" s="17">
        <f>Raw_Data_M2b!E20</f>
        <v/>
      </c>
      <c r="I20" s="18">
        <f>IF(E20=1, G20/MAX(H20,cfg_i_clip_floor_a), "")</f>
        <v/>
      </c>
      <c r="J20" s="15">
        <f>IF(AND(ABS(H20)&lt;cfg_i_threshold_a, G20&gt;cfg_min_voc_v), G20, "")</f>
        <v/>
      </c>
      <c r="K20" s="15">
        <f>Raw_Data_M2b!F20</f>
        <v/>
      </c>
      <c r="L20" s="17">
        <f>Raw_Data_M2b!G20</f>
        <v/>
      </c>
      <c r="M20" s="18">
        <f>IF(E20=1, K20/MAX(L20,cfg_i_clip_floor_a), "")</f>
        <v/>
      </c>
      <c r="N20" s="15">
        <f>IF(AND(ABS(L20)&lt;cfg_i_threshold_a, K20&gt;cfg_min_voc_v), K20, "")</f>
        <v/>
      </c>
      <c r="O20" s="15">
        <f>Raw_Data_M2b!H20</f>
        <v/>
      </c>
      <c r="P20" s="17">
        <f>Raw_Data_M2b!I20</f>
        <v/>
      </c>
      <c r="Q20" s="18">
        <f>IF(E20=1, O20/MAX(P20,cfg_i_clip_floor_a), "")</f>
        <v/>
      </c>
      <c r="R20" s="15">
        <f>IF(AND(ABS(P20)&lt;cfg_i_threshold_a, O20&gt;cfg_min_voc_v), O20, "")</f>
        <v/>
      </c>
      <c r="S20" s="15">
        <f>Raw_Data_M2b!J20</f>
        <v/>
      </c>
      <c r="T20" s="17">
        <f>Raw_Data_M2b!K20</f>
        <v/>
      </c>
      <c r="U20" s="18">
        <f>IF(E20=1, S20/MAX(T20,cfg_i_clip_floor_a), "")</f>
        <v/>
      </c>
      <c r="V20" s="15">
        <f>IF(AND(ABS(T20)&lt;cfg_i_threshold_a, S20&gt;cfg_min_voc_v), S20, "")</f>
        <v/>
      </c>
      <c r="W20" s="15">
        <f>Raw_Data_M2b!L20</f>
        <v/>
      </c>
      <c r="X20" s="17">
        <f>Raw_Data_M2b!M20</f>
        <v/>
      </c>
      <c r="Y20" s="18">
        <f>IF(E20=1, W20/MAX(X20,cfg_i_clip_floor_a), "")</f>
        <v/>
      </c>
      <c r="Z20" s="15">
        <f>IF(AND(ABS(X20)&lt;cfg_i_threshold_a, W20&gt;cfg_min_voc_v), W20, "")</f>
        <v/>
      </c>
    </row>
    <row r="21">
      <c r="A21" s="5">
        <f>Raw_Data_M2b!A21</f>
        <v/>
      </c>
      <c r="B21" s="16">
        <f>Raw_Data_M2b!B21</f>
        <v/>
      </c>
      <c r="C21" s="5">
        <f>Raw_Data_M2b!C21</f>
        <v/>
      </c>
      <c r="D21" s="18">
        <f>IFERROR(VLOOKUP(B21,Meteo_Dummy!$A$5:$B$28,2,FALSE),0)</f>
        <v/>
      </c>
      <c r="E21" s="5">
        <f>IF(AND(D21&gt;cfg_poa_threshold_wm2,D21&gt;cfg_poa_floor_wm2),1,0)</f>
        <v/>
      </c>
      <c r="F21" s="5">
        <f>IF(ISNUMBER(SEARCH("grid connected",LOWER(C21))),1,0)</f>
        <v/>
      </c>
      <c r="G21" s="15">
        <f>Raw_Data_M2b!D21</f>
        <v/>
      </c>
      <c r="H21" s="17">
        <f>Raw_Data_M2b!E21</f>
        <v/>
      </c>
      <c r="I21" s="18">
        <f>IF(E21=1, G21/MAX(H21,cfg_i_clip_floor_a), "")</f>
        <v/>
      </c>
      <c r="J21" s="15">
        <f>IF(AND(ABS(H21)&lt;cfg_i_threshold_a, G21&gt;cfg_min_voc_v), G21, "")</f>
        <v/>
      </c>
      <c r="K21" s="15">
        <f>Raw_Data_M2b!F21</f>
        <v/>
      </c>
      <c r="L21" s="17">
        <f>Raw_Data_M2b!G21</f>
        <v/>
      </c>
      <c r="M21" s="18">
        <f>IF(E21=1, K21/MAX(L21,cfg_i_clip_floor_a), "")</f>
        <v/>
      </c>
      <c r="N21" s="15">
        <f>IF(AND(ABS(L21)&lt;cfg_i_threshold_a, K21&gt;cfg_min_voc_v), K21, "")</f>
        <v/>
      </c>
      <c r="O21" s="15">
        <f>Raw_Data_M2b!H21</f>
        <v/>
      </c>
      <c r="P21" s="17">
        <f>Raw_Data_M2b!I21</f>
        <v/>
      </c>
      <c r="Q21" s="18">
        <f>IF(E21=1, O21/MAX(P21,cfg_i_clip_floor_a), "")</f>
        <v/>
      </c>
      <c r="R21" s="15">
        <f>IF(AND(ABS(P21)&lt;cfg_i_threshold_a, O21&gt;cfg_min_voc_v), O21, "")</f>
        <v/>
      </c>
      <c r="S21" s="15">
        <f>Raw_Data_M2b!J21</f>
        <v/>
      </c>
      <c r="T21" s="17">
        <f>Raw_Data_M2b!K21</f>
        <v/>
      </c>
      <c r="U21" s="18">
        <f>IF(E21=1, S21/MAX(T21,cfg_i_clip_floor_a), "")</f>
        <v/>
      </c>
      <c r="V21" s="15">
        <f>IF(AND(ABS(T21)&lt;cfg_i_threshold_a, S21&gt;cfg_min_voc_v), S21, "")</f>
        <v/>
      </c>
      <c r="W21" s="15">
        <f>Raw_Data_M2b!L21</f>
        <v/>
      </c>
      <c r="X21" s="17">
        <f>Raw_Data_M2b!M21</f>
        <v/>
      </c>
      <c r="Y21" s="18">
        <f>IF(E21=1, W21/MAX(X21,cfg_i_clip_floor_a), "")</f>
        <v/>
      </c>
      <c r="Z21" s="15">
        <f>IF(AND(ABS(X21)&lt;cfg_i_threshold_a, W21&gt;cfg_min_voc_v), W21, "")</f>
        <v/>
      </c>
    </row>
    <row r="22">
      <c r="A22" s="5">
        <f>Raw_Data_M2b!A22</f>
        <v/>
      </c>
      <c r="B22" s="16">
        <f>Raw_Data_M2b!B22</f>
        <v/>
      </c>
      <c r="C22" s="5">
        <f>Raw_Data_M2b!C22</f>
        <v/>
      </c>
      <c r="D22" s="18">
        <f>IFERROR(VLOOKUP(B22,Meteo_Dummy!$A$5:$B$28,2,FALSE),0)</f>
        <v/>
      </c>
      <c r="E22" s="5">
        <f>IF(AND(D22&gt;cfg_poa_threshold_wm2,D22&gt;cfg_poa_floor_wm2),1,0)</f>
        <v/>
      </c>
      <c r="F22" s="5">
        <f>IF(ISNUMBER(SEARCH("grid connected",LOWER(C22))),1,0)</f>
        <v/>
      </c>
      <c r="G22" s="15">
        <f>Raw_Data_M2b!D22</f>
        <v/>
      </c>
      <c r="H22" s="17">
        <f>Raw_Data_M2b!E22</f>
        <v/>
      </c>
      <c r="I22" s="18">
        <f>IF(E22=1, G22/MAX(H22,cfg_i_clip_floor_a), "")</f>
        <v/>
      </c>
      <c r="J22" s="15">
        <f>IF(AND(ABS(H22)&lt;cfg_i_threshold_a, G22&gt;cfg_min_voc_v), G22, "")</f>
        <v/>
      </c>
      <c r="K22" s="15">
        <f>Raw_Data_M2b!F22</f>
        <v/>
      </c>
      <c r="L22" s="17">
        <f>Raw_Data_M2b!G22</f>
        <v/>
      </c>
      <c r="M22" s="18">
        <f>IF(E22=1, K22/MAX(L22,cfg_i_clip_floor_a), "")</f>
        <v/>
      </c>
      <c r="N22" s="15">
        <f>IF(AND(ABS(L22)&lt;cfg_i_threshold_a, K22&gt;cfg_min_voc_v), K22, "")</f>
        <v/>
      </c>
      <c r="O22" s="15">
        <f>Raw_Data_M2b!H22</f>
        <v/>
      </c>
      <c r="P22" s="17">
        <f>Raw_Data_M2b!I22</f>
        <v/>
      </c>
      <c r="Q22" s="18">
        <f>IF(E22=1, O22/MAX(P22,cfg_i_clip_floor_a), "")</f>
        <v/>
      </c>
      <c r="R22" s="15">
        <f>IF(AND(ABS(P22)&lt;cfg_i_threshold_a, O22&gt;cfg_min_voc_v), O22, "")</f>
        <v/>
      </c>
      <c r="S22" s="15">
        <f>Raw_Data_M2b!J22</f>
        <v/>
      </c>
      <c r="T22" s="17">
        <f>Raw_Data_M2b!K22</f>
        <v/>
      </c>
      <c r="U22" s="18">
        <f>IF(E22=1, S22/MAX(T22,cfg_i_clip_floor_a), "")</f>
        <v/>
      </c>
      <c r="V22" s="15">
        <f>IF(AND(ABS(T22)&lt;cfg_i_threshold_a, S22&gt;cfg_min_voc_v), S22, "")</f>
        <v/>
      </c>
      <c r="W22" s="15">
        <f>Raw_Data_M2b!L22</f>
        <v/>
      </c>
      <c r="X22" s="17">
        <f>Raw_Data_M2b!M22</f>
        <v/>
      </c>
      <c r="Y22" s="18">
        <f>IF(E22=1, W22/MAX(X22,cfg_i_clip_floor_a), "")</f>
        <v/>
      </c>
      <c r="Z22" s="15">
        <f>IF(AND(ABS(X22)&lt;cfg_i_threshold_a, W22&gt;cfg_min_voc_v), W22, "")</f>
        <v/>
      </c>
    </row>
    <row r="23">
      <c r="A23" s="5">
        <f>Raw_Data_M2b!A23</f>
        <v/>
      </c>
      <c r="B23" s="16">
        <f>Raw_Data_M2b!B23</f>
        <v/>
      </c>
      <c r="C23" s="5">
        <f>Raw_Data_M2b!C23</f>
        <v/>
      </c>
      <c r="D23" s="18">
        <f>IFERROR(VLOOKUP(B23,Meteo_Dummy!$A$5:$B$28,2,FALSE),0)</f>
        <v/>
      </c>
      <c r="E23" s="5">
        <f>IF(AND(D23&gt;cfg_poa_threshold_wm2,D23&gt;cfg_poa_floor_wm2),1,0)</f>
        <v/>
      </c>
      <c r="F23" s="5">
        <f>IF(ISNUMBER(SEARCH("grid connected",LOWER(C23))),1,0)</f>
        <v/>
      </c>
      <c r="G23" s="15">
        <f>Raw_Data_M2b!D23</f>
        <v/>
      </c>
      <c r="H23" s="17">
        <f>Raw_Data_M2b!E23</f>
        <v/>
      </c>
      <c r="I23" s="18">
        <f>IF(E23=1, G23/MAX(H23,cfg_i_clip_floor_a), "")</f>
        <v/>
      </c>
      <c r="J23" s="15">
        <f>IF(AND(ABS(H23)&lt;cfg_i_threshold_a, G23&gt;cfg_min_voc_v), G23, "")</f>
        <v/>
      </c>
      <c r="K23" s="15">
        <f>Raw_Data_M2b!F23</f>
        <v/>
      </c>
      <c r="L23" s="17">
        <f>Raw_Data_M2b!G23</f>
        <v/>
      </c>
      <c r="M23" s="18">
        <f>IF(E23=1, K23/MAX(L23,cfg_i_clip_floor_a), "")</f>
        <v/>
      </c>
      <c r="N23" s="15">
        <f>IF(AND(ABS(L23)&lt;cfg_i_threshold_a, K23&gt;cfg_min_voc_v), K23, "")</f>
        <v/>
      </c>
      <c r="O23" s="15">
        <f>Raw_Data_M2b!H23</f>
        <v/>
      </c>
      <c r="P23" s="17">
        <f>Raw_Data_M2b!I23</f>
        <v/>
      </c>
      <c r="Q23" s="18">
        <f>IF(E23=1, O23/MAX(P23,cfg_i_clip_floor_a), "")</f>
        <v/>
      </c>
      <c r="R23" s="15">
        <f>IF(AND(ABS(P23)&lt;cfg_i_threshold_a, O23&gt;cfg_min_voc_v), O23, "")</f>
        <v/>
      </c>
      <c r="S23" s="15">
        <f>Raw_Data_M2b!J23</f>
        <v/>
      </c>
      <c r="T23" s="17">
        <f>Raw_Data_M2b!K23</f>
        <v/>
      </c>
      <c r="U23" s="18">
        <f>IF(E23=1, S23/MAX(T23,cfg_i_clip_floor_a), "")</f>
        <v/>
      </c>
      <c r="V23" s="15">
        <f>IF(AND(ABS(T23)&lt;cfg_i_threshold_a, S23&gt;cfg_min_voc_v), S23, "")</f>
        <v/>
      </c>
      <c r="W23" s="15">
        <f>Raw_Data_M2b!L23</f>
        <v/>
      </c>
      <c r="X23" s="17">
        <f>Raw_Data_M2b!M23</f>
        <v/>
      </c>
      <c r="Y23" s="18">
        <f>IF(E23=1, W23/MAX(X23,cfg_i_clip_floor_a), "")</f>
        <v/>
      </c>
      <c r="Z23" s="15">
        <f>IF(AND(ABS(X23)&lt;cfg_i_threshold_a, W23&gt;cfg_min_voc_v), W23, "")</f>
        <v/>
      </c>
    </row>
    <row r="24">
      <c r="A24" s="5">
        <f>Raw_Data_M2b!A24</f>
        <v/>
      </c>
      <c r="B24" s="16">
        <f>Raw_Data_M2b!B24</f>
        <v/>
      </c>
      <c r="C24" s="5">
        <f>Raw_Data_M2b!C24</f>
        <v/>
      </c>
      <c r="D24" s="18">
        <f>IFERROR(VLOOKUP(B24,Meteo_Dummy!$A$5:$B$28,2,FALSE),0)</f>
        <v/>
      </c>
      <c r="E24" s="5">
        <f>IF(AND(D24&gt;cfg_poa_threshold_wm2,D24&gt;cfg_poa_floor_wm2),1,0)</f>
        <v/>
      </c>
      <c r="F24" s="5">
        <f>IF(ISNUMBER(SEARCH("grid connected",LOWER(C24))),1,0)</f>
        <v/>
      </c>
      <c r="G24" s="15">
        <f>Raw_Data_M2b!D24</f>
        <v/>
      </c>
      <c r="H24" s="17">
        <f>Raw_Data_M2b!E24</f>
        <v/>
      </c>
      <c r="I24" s="18">
        <f>IF(E24=1, G24/MAX(H24,cfg_i_clip_floor_a), "")</f>
        <v/>
      </c>
      <c r="J24" s="15">
        <f>IF(AND(ABS(H24)&lt;cfg_i_threshold_a, G24&gt;cfg_min_voc_v), G24, "")</f>
        <v/>
      </c>
      <c r="K24" s="15">
        <f>Raw_Data_M2b!F24</f>
        <v/>
      </c>
      <c r="L24" s="17">
        <f>Raw_Data_M2b!G24</f>
        <v/>
      </c>
      <c r="M24" s="18">
        <f>IF(E24=1, K24/MAX(L24,cfg_i_clip_floor_a), "")</f>
        <v/>
      </c>
      <c r="N24" s="15">
        <f>IF(AND(ABS(L24)&lt;cfg_i_threshold_a, K24&gt;cfg_min_voc_v), K24, "")</f>
        <v/>
      </c>
      <c r="O24" s="15">
        <f>Raw_Data_M2b!H24</f>
        <v/>
      </c>
      <c r="P24" s="17">
        <f>Raw_Data_M2b!I24</f>
        <v/>
      </c>
      <c r="Q24" s="18">
        <f>IF(E24=1, O24/MAX(P24,cfg_i_clip_floor_a), "")</f>
        <v/>
      </c>
      <c r="R24" s="15">
        <f>IF(AND(ABS(P24)&lt;cfg_i_threshold_a, O24&gt;cfg_min_voc_v), O24, "")</f>
        <v/>
      </c>
      <c r="S24" s="15">
        <f>Raw_Data_M2b!J24</f>
        <v/>
      </c>
      <c r="T24" s="17">
        <f>Raw_Data_M2b!K24</f>
        <v/>
      </c>
      <c r="U24" s="18">
        <f>IF(E24=1, S24/MAX(T24,cfg_i_clip_floor_a), "")</f>
        <v/>
      </c>
      <c r="V24" s="15">
        <f>IF(AND(ABS(T24)&lt;cfg_i_threshold_a, S24&gt;cfg_min_voc_v), S24, "")</f>
        <v/>
      </c>
      <c r="W24" s="15">
        <f>Raw_Data_M2b!L24</f>
        <v/>
      </c>
      <c r="X24" s="17">
        <f>Raw_Data_M2b!M24</f>
        <v/>
      </c>
      <c r="Y24" s="18">
        <f>IF(E24=1, W24/MAX(X24,cfg_i_clip_floor_a), "")</f>
        <v/>
      </c>
      <c r="Z24" s="15">
        <f>IF(AND(ABS(X24)&lt;cfg_i_threshold_a, W24&gt;cfg_min_voc_v), W24, "")</f>
        <v/>
      </c>
    </row>
    <row r="25">
      <c r="A25" s="5">
        <f>Raw_Data_M2b!A25</f>
        <v/>
      </c>
      <c r="B25" s="16">
        <f>Raw_Data_M2b!B25</f>
        <v/>
      </c>
      <c r="C25" s="5">
        <f>Raw_Data_M2b!C25</f>
        <v/>
      </c>
      <c r="D25" s="18">
        <f>IFERROR(VLOOKUP(B25,Meteo_Dummy!$A$5:$B$28,2,FALSE),0)</f>
        <v/>
      </c>
      <c r="E25" s="5">
        <f>IF(AND(D25&gt;cfg_poa_threshold_wm2,D25&gt;cfg_poa_floor_wm2),1,0)</f>
        <v/>
      </c>
      <c r="F25" s="5">
        <f>IF(ISNUMBER(SEARCH("grid connected",LOWER(C25))),1,0)</f>
        <v/>
      </c>
      <c r="G25" s="15">
        <f>Raw_Data_M2b!D25</f>
        <v/>
      </c>
      <c r="H25" s="17">
        <f>Raw_Data_M2b!E25</f>
        <v/>
      </c>
      <c r="I25" s="18">
        <f>IF(E25=1, G25/MAX(H25,cfg_i_clip_floor_a), "")</f>
        <v/>
      </c>
      <c r="J25" s="15">
        <f>IF(AND(ABS(H25)&lt;cfg_i_threshold_a, G25&gt;cfg_min_voc_v), G25, "")</f>
        <v/>
      </c>
      <c r="K25" s="15">
        <f>Raw_Data_M2b!F25</f>
        <v/>
      </c>
      <c r="L25" s="17">
        <f>Raw_Data_M2b!G25</f>
        <v/>
      </c>
      <c r="M25" s="18">
        <f>IF(E25=1, K25/MAX(L25,cfg_i_clip_floor_a), "")</f>
        <v/>
      </c>
      <c r="N25" s="15">
        <f>IF(AND(ABS(L25)&lt;cfg_i_threshold_a, K25&gt;cfg_min_voc_v), K25, "")</f>
        <v/>
      </c>
      <c r="O25" s="15">
        <f>Raw_Data_M2b!H25</f>
        <v/>
      </c>
      <c r="P25" s="17">
        <f>Raw_Data_M2b!I25</f>
        <v/>
      </c>
      <c r="Q25" s="18">
        <f>IF(E25=1, O25/MAX(P25,cfg_i_clip_floor_a), "")</f>
        <v/>
      </c>
      <c r="R25" s="15">
        <f>IF(AND(ABS(P25)&lt;cfg_i_threshold_a, O25&gt;cfg_min_voc_v), O25, "")</f>
        <v/>
      </c>
      <c r="S25" s="15">
        <f>Raw_Data_M2b!J25</f>
        <v/>
      </c>
      <c r="T25" s="17">
        <f>Raw_Data_M2b!K25</f>
        <v/>
      </c>
      <c r="U25" s="18">
        <f>IF(E25=1, S25/MAX(T25,cfg_i_clip_floor_a), "")</f>
        <v/>
      </c>
      <c r="V25" s="15">
        <f>IF(AND(ABS(T25)&lt;cfg_i_threshold_a, S25&gt;cfg_min_voc_v), S25, "")</f>
        <v/>
      </c>
      <c r="W25" s="15">
        <f>Raw_Data_M2b!L25</f>
        <v/>
      </c>
      <c r="X25" s="17">
        <f>Raw_Data_M2b!M25</f>
        <v/>
      </c>
      <c r="Y25" s="18">
        <f>IF(E25=1, W25/MAX(X25,cfg_i_clip_floor_a), "")</f>
        <v/>
      </c>
      <c r="Z25" s="15">
        <f>IF(AND(ABS(X25)&lt;cfg_i_threshold_a, W25&gt;cfg_min_voc_v), W25, "")</f>
        <v/>
      </c>
    </row>
    <row r="26">
      <c r="A26" s="5">
        <f>Raw_Data_M2b!A26</f>
        <v/>
      </c>
      <c r="B26" s="16">
        <f>Raw_Data_M2b!B26</f>
        <v/>
      </c>
      <c r="C26" s="5">
        <f>Raw_Data_M2b!C26</f>
        <v/>
      </c>
      <c r="D26" s="18">
        <f>IFERROR(VLOOKUP(B26,Meteo_Dummy!$A$5:$B$28,2,FALSE),0)</f>
        <v/>
      </c>
      <c r="E26" s="5">
        <f>IF(AND(D26&gt;cfg_poa_threshold_wm2,D26&gt;cfg_poa_floor_wm2),1,0)</f>
        <v/>
      </c>
      <c r="F26" s="5">
        <f>IF(ISNUMBER(SEARCH("grid connected",LOWER(C26))),1,0)</f>
        <v/>
      </c>
      <c r="G26" s="15">
        <f>Raw_Data_M2b!D26</f>
        <v/>
      </c>
      <c r="H26" s="17">
        <f>Raw_Data_M2b!E26</f>
        <v/>
      </c>
      <c r="I26" s="18">
        <f>IF(E26=1, G26/MAX(H26,cfg_i_clip_floor_a), "")</f>
        <v/>
      </c>
      <c r="J26" s="15">
        <f>IF(AND(ABS(H26)&lt;cfg_i_threshold_a, G26&gt;cfg_min_voc_v), G26, "")</f>
        <v/>
      </c>
      <c r="K26" s="15">
        <f>Raw_Data_M2b!F26</f>
        <v/>
      </c>
      <c r="L26" s="17">
        <f>Raw_Data_M2b!G26</f>
        <v/>
      </c>
      <c r="M26" s="18">
        <f>IF(E26=1, K26/MAX(L26,cfg_i_clip_floor_a), "")</f>
        <v/>
      </c>
      <c r="N26" s="15">
        <f>IF(AND(ABS(L26)&lt;cfg_i_threshold_a, K26&gt;cfg_min_voc_v), K26, "")</f>
        <v/>
      </c>
      <c r="O26" s="15">
        <f>Raw_Data_M2b!H26</f>
        <v/>
      </c>
      <c r="P26" s="17">
        <f>Raw_Data_M2b!I26</f>
        <v/>
      </c>
      <c r="Q26" s="18">
        <f>IF(E26=1, O26/MAX(P26,cfg_i_clip_floor_a), "")</f>
        <v/>
      </c>
      <c r="R26" s="15">
        <f>IF(AND(ABS(P26)&lt;cfg_i_threshold_a, O26&gt;cfg_min_voc_v), O26, "")</f>
        <v/>
      </c>
      <c r="S26" s="15">
        <f>Raw_Data_M2b!J26</f>
        <v/>
      </c>
      <c r="T26" s="17">
        <f>Raw_Data_M2b!K26</f>
        <v/>
      </c>
      <c r="U26" s="18">
        <f>IF(E26=1, S26/MAX(T26,cfg_i_clip_floor_a), "")</f>
        <v/>
      </c>
      <c r="V26" s="15">
        <f>IF(AND(ABS(T26)&lt;cfg_i_threshold_a, S26&gt;cfg_min_voc_v), S26, "")</f>
        <v/>
      </c>
      <c r="W26" s="15">
        <f>Raw_Data_M2b!L26</f>
        <v/>
      </c>
      <c r="X26" s="17">
        <f>Raw_Data_M2b!M26</f>
        <v/>
      </c>
      <c r="Y26" s="18">
        <f>IF(E26=1, W26/MAX(X26,cfg_i_clip_floor_a), "")</f>
        <v/>
      </c>
      <c r="Z26" s="15">
        <f>IF(AND(ABS(X26)&lt;cfg_i_threshold_a, W26&gt;cfg_min_voc_v), W26, "")</f>
        <v/>
      </c>
    </row>
    <row r="27">
      <c r="A27" s="5">
        <f>Raw_Data_M2b!A27</f>
        <v/>
      </c>
      <c r="B27" s="16">
        <f>Raw_Data_M2b!B27</f>
        <v/>
      </c>
      <c r="C27" s="5">
        <f>Raw_Data_M2b!C27</f>
        <v/>
      </c>
      <c r="D27" s="18">
        <f>IFERROR(VLOOKUP(B27,Meteo_Dummy!$A$5:$B$28,2,FALSE),0)</f>
        <v/>
      </c>
      <c r="E27" s="5">
        <f>IF(AND(D27&gt;cfg_poa_threshold_wm2,D27&gt;cfg_poa_floor_wm2),1,0)</f>
        <v/>
      </c>
      <c r="F27" s="5">
        <f>IF(ISNUMBER(SEARCH("grid connected",LOWER(C27))),1,0)</f>
        <v/>
      </c>
      <c r="G27" s="15">
        <f>Raw_Data_M2b!D27</f>
        <v/>
      </c>
      <c r="H27" s="17">
        <f>Raw_Data_M2b!E27</f>
        <v/>
      </c>
      <c r="I27" s="18">
        <f>IF(E27=1, G27/MAX(H27,cfg_i_clip_floor_a), "")</f>
        <v/>
      </c>
      <c r="J27" s="15">
        <f>IF(AND(ABS(H27)&lt;cfg_i_threshold_a, G27&gt;cfg_min_voc_v), G27, "")</f>
        <v/>
      </c>
      <c r="K27" s="15">
        <f>Raw_Data_M2b!F27</f>
        <v/>
      </c>
      <c r="L27" s="17">
        <f>Raw_Data_M2b!G27</f>
        <v/>
      </c>
      <c r="M27" s="18">
        <f>IF(E27=1, K27/MAX(L27,cfg_i_clip_floor_a), "")</f>
        <v/>
      </c>
      <c r="N27" s="15">
        <f>IF(AND(ABS(L27)&lt;cfg_i_threshold_a, K27&gt;cfg_min_voc_v), K27, "")</f>
        <v/>
      </c>
      <c r="O27" s="15">
        <f>Raw_Data_M2b!H27</f>
        <v/>
      </c>
      <c r="P27" s="17">
        <f>Raw_Data_M2b!I27</f>
        <v/>
      </c>
      <c r="Q27" s="18">
        <f>IF(E27=1, O27/MAX(P27,cfg_i_clip_floor_a), "")</f>
        <v/>
      </c>
      <c r="R27" s="15">
        <f>IF(AND(ABS(P27)&lt;cfg_i_threshold_a, O27&gt;cfg_min_voc_v), O27, "")</f>
        <v/>
      </c>
      <c r="S27" s="15">
        <f>Raw_Data_M2b!J27</f>
        <v/>
      </c>
      <c r="T27" s="17">
        <f>Raw_Data_M2b!K27</f>
        <v/>
      </c>
      <c r="U27" s="18">
        <f>IF(E27=1, S27/MAX(T27,cfg_i_clip_floor_a), "")</f>
        <v/>
      </c>
      <c r="V27" s="15">
        <f>IF(AND(ABS(T27)&lt;cfg_i_threshold_a, S27&gt;cfg_min_voc_v), S27, "")</f>
        <v/>
      </c>
      <c r="W27" s="15">
        <f>Raw_Data_M2b!L27</f>
        <v/>
      </c>
      <c r="X27" s="17">
        <f>Raw_Data_M2b!M27</f>
        <v/>
      </c>
      <c r="Y27" s="18">
        <f>IF(E27=1, W27/MAX(X27,cfg_i_clip_floor_a), "")</f>
        <v/>
      </c>
      <c r="Z27" s="15">
        <f>IF(AND(ABS(X27)&lt;cfg_i_threshold_a, W27&gt;cfg_min_voc_v), W27, "")</f>
        <v/>
      </c>
    </row>
    <row r="28">
      <c r="A28" s="5">
        <f>Raw_Data_M2b!A28</f>
        <v/>
      </c>
      <c r="B28" s="16">
        <f>Raw_Data_M2b!B28</f>
        <v/>
      </c>
      <c r="C28" s="5">
        <f>Raw_Data_M2b!C28</f>
        <v/>
      </c>
      <c r="D28" s="18">
        <f>IFERROR(VLOOKUP(B28,Meteo_Dummy!$A$5:$B$28,2,FALSE),0)</f>
        <v/>
      </c>
      <c r="E28" s="5">
        <f>IF(AND(D28&gt;cfg_poa_threshold_wm2,D28&gt;cfg_poa_floor_wm2),1,0)</f>
        <v/>
      </c>
      <c r="F28" s="5">
        <f>IF(ISNUMBER(SEARCH("grid connected",LOWER(C28))),1,0)</f>
        <v/>
      </c>
      <c r="G28" s="15">
        <f>Raw_Data_M2b!D28</f>
        <v/>
      </c>
      <c r="H28" s="17">
        <f>Raw_Data_M2b!E28</f>
        <v/>
      </c>
      <c r="I28" s="18">
        <f>IF(E28=1, G28/MAX(H28,cfg_i_clip_floor_a), "")</f>
        <v/>
      </c>
      <c r="J28" s="15">
        <f>IF(AND(ABS(H28)&lt;cfg_i_threshold_a, G28&gt;cfg_min_voc_v), G28, "")</f>
        <v/>
      </c>
      <c r="K28" s="15">
        <f>Raw_Data_M2b!F28</f>
        <v/>
      </c>
      <c r="L28" s="17">
        <f>Raw_Data_M2b!G28</f>
        <v/>
      </c>
      <c r="M28" s="18">
        <f>IF(E28=1, K28/MAX(L28,cfg_i_clip_floor_a), "")</f>
        <v/>
      </c>
      <c r="N28" s="15">
        <f>IF(AND(ABS(L28)&lt;cfg_i_threshold_a, K28&gt;cfg_min_voc_v), K28, "")</f>
        <v/>
      </c>
      <c r="O28" s="15">
        <f>Raw_Data_M2b!H28</f>
        <v/>
      </c>
      <c r="P28" s="17">
        <f>Raw_Data_M2b!I28</f>
        <v/>
      </c>
      <c r="Q28" s="18">
        <f>IF(E28=1, O28/MAX(P28,cfg_i_clip_floor_a), "")</f>
        <v/>
      </c>
      <c r="R28" s="15">
        <f>IF(AND(ABS(P28)&lt;cfg_i_threshold_a, O28&gt;cfg_min_voc_v), O28, "")</f>
        <v/>
      </c>
      <c r="S28" s="15">
        <f>Raw_Data_M2b!J28</f>
        <v/>
      </c>
      <c r="T28" s="17">
        <f>Raw_Data_M2b!K28</f>
        <v/>
      </c>
      <c r="U28" s="18">
        <f>IF(E28=1, S28/MAX(T28,cfg_i_clip_floor_a), "")</f>
        <v/>
      </c>
      <c r="V28" s="15">
        <f>IF(AND(ABS(T28)&lt;cfg_i_threshold_a, S28&gt;cfg_min_voc_v), S28, "")</f>
        <v/>
      </c>
      <c r="W28" s="15">
        <f>Raw_Data_M2b!L28</f>
        <v/>
      </c>
      <c r="X28" s="17">
        <f>Raw_Data_M2b!M28</f>
        <v/>
      </c>
      <c r="Y28" s="18">
        <f>IF(E28=1, W28/MAX(X28,cfg_i_clip_floor_a), "")</f>
        <v/>
      </c>
      <c r="Z28" s="15">
        <f>IF(AND(ABS(X28)&lt;cfg_i_threshold_a, W28&gt;cfg_min_voc_v), W28, "")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5" customWidth="1" min="3" max="3"/>
    <col width="16" customWidth="1" min="4" max="4"/>
    <col width="14" customWidth="1" min="5" max="5"/>
    <col width="17" customWidth="1" min="6" max="6"/>
    <col width="17" customWidth="1" min="7" max="7"/>
    <col width="14" customWidth="1" min="8" max="8"/>
    <col width="11" customWidth="1" min="9" max="9"/>
    <col width="14" customWidth="1" min="10" max="10"/>
    <col width="70" customWidth="1" min="11" max="11"/>
  </cols>
  <sheetData>
    <row r="1">
      <c r="A1" s="7" t="inlineStr">
        <is>
          <t>M2b PeerZScore — agregat per PV (R_str median dari mask_poa samples) + Z-score + voc_ratio + fault decision</t>
        </is>
      </c>
    </row>
    <row r="2">
      <c r="A2" s="2" t="inlineStr">
        <is>
          <t>Spec 4.2.1: |z| &gt; 2.5 → flag. Spec 4.2.3 high_R: AND voc_ratio &gt; 0.95 → emit. Confidence = min(90, |z|/4*100). Severity: |z| &gt; 3.5 HIGH else MEDIUM.</t>
        </is>
      </c>
    </row>
    <row r="4">
      <c r="A4" s="14" t="inlineStr">
        <is>
          <t>A. Per-PV string metrics (WB05-INV05, 5 PV strings)</t>
        </is>
      </c>
    </row>
    <row r="5">
      <c r="A5" s="10" t="inlineStr">
        <is>
          <t>PV_string</t>
        </is>
      </c>
      <c r="B5" s="10" t="inlineStr">
        <is>
          <t>R_str (median)</t>
        </is>
      </c>
      <c r="C5" s="10" t="inlineStr">
        <is>
          <t>voc_actual_v (median I&lt;0.5A)</t>
        </is>
      </c>
      <c r="D5" s="10" t="inlineStr">
        <is>
          <t>voc_string_nominal_v</t>
        </is>
      </c>
      <c r="E5" s="10" t="inlineStr">
        <is>
          <t>voc_ratio</t>
        </is>
      </c>
      <c r="F5" s="10" t="inlineStr">
        <is>
          <t>n_R_samples</t>
        </is>
      </c>
      <c r="G5" s="10" t="inlineStr">
        <is>
          <t>n_voc_samples</t>
        </is>
      </c>
    </row>
    <row r="6">
      <c r="A6" s="5" t="inlineStr">
        <is>
          <t>PV1</t>
        </is>
      </c>
      <c r="B6" s="18">
        <f>IF(IFERROR(IF(ISNUMBER(SEARCH(","&amp;1&amp;",",","&amp;VLOOKUP("WB05-INV05",EmptyPVMap!$A$5:$B$9,2,FALSE)&amp;",")),1,0),0)=1,"EMPTY",IFERROR(MEDIAN(Helpers_M2b!$I$5:$I$28),""))</f>
        <v/>
      </c>
      <c r="C6" s="15">
        <f>IF(IFERROR(IF(ISNUMBER(SEARCH(","&amp;1&amp;",",","&amp;VLOOKUP("WB05-INV05",EmptyPVMap!$A$5:$B$9,2,FALSE)&amp;",")),1,0),0)=1,"EMPTY",IFERROR(MEDIAN(Helpers_M2b!$J$5:$J$28),""))</f>
        <v/>
      </c>
      <c r="D6" s="15">
        <f>voc_string_26_calc</f>
        <v/>
      </c>
      <c r="E6" s="17">
        <f>IFERROR(C6/D6,"")</f>
        <v/>
      </c>
      <c r="F6" s="5">
        <f>COUNT(Helpers_M2b!$I$5:$I$28)</f>
        <v/>
      </c>
      <c r="G6" s="5">
        <f>COUNT(Helpers_M2b!$J$5:$J$28)</f>
        <v/>
      </c>
    </row>
    <row r="7">
      <c r="A7" s="5" t="inlineStr">
        <is>
          <t>PV2</t>
        </is>
      </c>
      <c r="B7" s="18">
        <f>IF(IFERROR(IF(ISNUMBER(SEARCH(","&amp;2&amp;",",","&amp;VLOOKUP("WB05-INV05",EmptyPVMap!$A$5:$B$9,2,FALSE)&amp;",")),1,0),0)=1,"EMPTY",IFERROR(MEDIAN(Helpers_M2b!$M$5:$M$28),""))</f>
        <v/>
      </c>
      <c r="C7" s="15">
        <f>IF(IFERROR(IF(ISNUMBER(SEARCH(","&amp;2&amp;",",","&amp;VLOOKUP("WB05-INV05",EmptyPVMap!$A$5:$B$9,2,FALSE)&amp;",")),1,0),0)=1,"EMPTY",IFERROR(MEDIAN(Helpers_M2b!$N$5:$N$28),""))</f>
        <v/>
      </c>
      <c r="D7" s="15">
        <f>voc_string_26_calc</f>
        <v/>
      </c>
      <c r="E7" s="17">
        <f>IFERROR(C7/D7,"")</f>
        <v/>
      </c>
      <c r="F7" s="5">
        <f>COUNT(Helpers_M2b!$M$5:$M$28)</f>
        <v/>
      </c>
      <c r="G7" s="5">
        <f>COUNT(Helpers_M2b!$N$5:$N$28)</f>
        <v/>
      </c>
    </row>
    <row r="8">
      <c r="A8" s="5" t="inlineStr">
        <is>
          <t>PV3</t>
        </is>
      </c>
      <c r="B8" s="18">
        <f>IF(IFERROR(IF(ISNUMBER(SEARCH(","&amp;3&amp;",",","&amp;VLOOKUP("WB05-INV05",EmptyPVMap!$A$5:$B$9,2,FALSE)&amp;",")),1,0),0)=1,"EMPTY",IFERROR(MEDIAN(Helpers_M2b!$Q$5:$Q$28),""))</f>
        <v/>
      </c>
      <c r="C8" s="15">
        <f>IF(IFERROR(IF(ISNUMBER(SEARCH(","&amp;3&amp;",",","&amp;VLOOKUP("WB05-INV05",EmptyPVMap!$A$5:$B$9,2,FALSE)&amp;",")),1,0),0)=1,"EMPTY",IFERROR(MEDIAN(Helpers_M2b!$R$5:$R$28),""))</f>
        <v/>
      </c>
      <c r="D8" s="15">
        <f>voc_string_26_calc</f>
        <v/>
      </c>
      <c r="E8" s="17">
        <f>IFERROR(C8/D8,"")</f>
        <v/>
      </c>
      <c r="F8" s="5">
        <f>COUNT(Helpers_M2b!$Q$5:$Q$28)</f>
        <v/>
      </c>
      <c r="G8" s="5">
        <f>COUNT(Helpers_M2b!$R$5:$R$28)</f>
        <v/>
      </c>
    </row>
    <row r="9">
      <c r="A9" s="5" t="inlineStr">
        <is>
          <t>PV4</t>
        </is>
      </c>
      <c r="B9" s="18">
        <f>IF(IFERROR(IF(ISNUMBER(SEARCH(","&amp;4&amp;",",","&amp;VLOOKUP("WB05-INV05",EmptyPVMap!$A$5:$B$9,2,FALSE)&amp;",")),1,0),0)=1,"EMPTY",IFERROR(MEDIAN(Helpers_M2b!$U$5:$U$28),""))</f>
        <v/>
      </c>
      <c r="C9" s="15">
        <f>IF(IFERROR(IF(ISNUMBER(SEARCH(","&amp;4&amp;",",","&amp;VLOOKUP("WB05-INV05",EmptyPVMap!$A$5:$B$9,2,FALSE)&amp;",")),1,0),0)=1,"EMPTY",IFERROR(MEDIAN(Helpers_M2b!$V$5:$V$28),""))</f>
        <v/>
      </c>
      <c r="D9" s="15">
        <f>voc_string_26_calc</f>
        <v/>
      </c>
      <c r="E9" s="17">
        <f>IFERROR(C9/D9,"")</f>
        <v/>
      </c>
      <c r="F9" s="5">
        <f>COUNT(Helpers_M2b!$U$5:$U$28)</f>
        <v/>
      </c>
      <c r="G9" s="5">
        <f>COUNT(Helpers_M2b!$V$5:$V$28)</f>
        <v/>
      </c>
    </row>
    <row r="10">
      <c r="A10" s="5" t="inlineStr">
        <is>
          <t>PV5</t>
        </is>
      </c>
      <c r="B10" s="18">
        <f>IF(IFERROR(IF(ISNUMBER(SEARCH(","&amp;5&amp;",",","&amp;VLOOKUP("WB05-INV05",EmptyPVMap!$A$5:$B$9,2,FALSE)&amp;",")),1,0),0)=1,"EMPTY",IFERROR(MEDIAN(Helpers_M2b!$Y$5:$Y$28),""))</f>
        <v/>
      </c>
      <c r="C10" s="15">
        <f>IF(IFERROR(IF(ISNUMBER(SEARCH(","&amp;5&amp;",",","&amp;VLOOKUP("WB05-INV05",EmptyPVMap!$A$5:$B$9,2,FALSE)&amp;",")),1,0),0)=1,"EMPTY",IFERROR(MEDIAN(Helpers_M2b!$Z$5:$Z$28),""))</f>
        <v/>
      </c>
      <c r="D10" s="15">
        <f>voc_string_26_calc</f>
        <v/>
      </c>
      <c r="E10" s="17">
        <f>IFERROR(C10/D10,"")</f>
        <v/>
      </c>
      <c r="F10" s="5">
        <f>COUNT(Helpers_M2b!$Y$5:$Y$28)</f>
        <v/>
      </c>
      <c r="G10" s="5">
        <f>COUNT(Helpers_M2b!$Z$5:$Z$28)</f>
        <v/>
      </c>
    </row>
    <row r="13">
      <c r="A13" s="14" t="inlineStr">
        <is>
          <t>B. Fleet statistics across PV1..PV5 (skip blanks)</t>
        </is>
      </c>
    </row>
    <row r="14">
      <c r="A14" s="10" t="inlineStr">
        <is>
          <t>Metric</t>
        </is>
      </c>
      <c r="B14" s="10" t="inlineStr">
        <is>
          <t>Value</t>
        </is>
      </c>
      <c r="C14" s="10" t="inlineStr"/>
      <c r="D14" s="10" t="inlineStr"/>
      <c r="E14" s="10" t="inlineStr"/>
      <c r="F14" s="10" t="inlineStr"/>
      <c r="G14" s="10" t="inlineStr"/>
    </row>
    <row r="15">
      <c r="A15" s="5" t="inlineStr">
        <is>
          <t>R_str fleet mean</t>
        </is>
      </c>
      <c r="B15" s="15">
        <f>AVERAGE(B6:B10)</f>
        <v/>
      </c>
    </row>
    <row r="16">
      <c r="A16" s="5" t="inlineStr">
        <is>
          <t>R_str fleet median</t>
        </is>
      </c>
      <c r="B16" s="15">
        <f>MEDIAN(B6:B10)</f>
        <v/>
      </c>
    </row>
    <row r="17">
      <c r="A17" s="5" t="inlineStr">
        <is>
          <t>R_str fleet std (sample stdev)</t>
        </is>
      </c>
      <c r="B17" s="15">
        <f>STDEV(B6:B10)</f>
        <v/>
      </c>
    </row>
    <row r="20">
      <c r="A20" s="14" t="inlineStr">
        <is>
          <t>C. Z-score &amp; fault decision per PV</t>
        </is>
      </c>
    </row>
    <row r="21">
      <c r="A21" s="10" t="inlineStr">
        <is>
          <t>PV_string</t>
        </is>
      </c>
      <c r="B21" s="10" t="inlineStr">
        <is>
          <t>z_mean</t>
        </is>
      </c>
      <c r="C21" s="10" t="inlineStr">
        <is>
          <t>z_median</t>
        </is>
      </c>
      <c r="D21" s="10" t="inlineStr">
        <is>
          <t>z_primary (per stat_method)</t>
        </is>
      </c>
      <c r="E21" s="10" t="inlineStr">
        <is>
          <t>flagged_by_z (|z|&gt;2.5)</t>
        </is>
      </c>
      <c r="F21" s="10" t="inlineStr">
        <is>
          <t>voc_ok (voc_ratio&gt;0.95)</t>
        </is>
      </c>
      <c r="G21" s="10" t="inlineStr">
        <is>
          <t>emit_finding</t>
        </is>
      </c>
      <c r="H21" s="10" t="inlineStr">
        <is>
          <t>fault_type</t>
        </is>
      </c>
      <c r="I21" s="10" t="inlineStr">
        <is>
          <t>severity</t>
        </is>
      </c>
      <c r="J21" s="10" t="inlineStr">
        <is>
          <t>confidence_pct</t>
        </is>
      </c>
      <c r="K21" s="10" t="inlineStr">
        <is>
          <t>message</t>
        </is>
      </c>
    </row>
    <row r="22">
      <c r="A22" s="5" t="inlineStr">
        <is>
          <t>PV1</t>
        </is>
      </c>
      <c r="B22" s="15">
        <f>IFERROR((B6-rstr_fleet_mean)/rstr_fleet_std,"")</f>
        <v/>
      </c>
      <c r="C22" s="15">
        <f>IFERROR((B6-rstr_fleet_median)/rstr_fleet_std,"")</f>
        <v/>
      </c>
      <c r="D22" s="15">
        <f>IF(cfg_stat_method="median",C22,IF(cfg_stat_method="mean",B22,IF(ABS(B22)&gt;=ABS(C22),B22,C22)))</f>
        <v/>
      </c>
      <c r="E22" s="5">
        <f>IF(ABS(D22)&gt;cfg_z_threshold,1,0)</f>
        <v/>
      </c>
      <c r="F22" s="5">
        <f>IFERROR(IF(E6&gt;cfg_voc_ratio_threshold,1,0),0)</f>
        <v/>
      </c>
      <c r="G22" s="5">
        <f>IF(AND(E22=1,F22=1),1,0)</f>
        <v/>
      </c>
      <c r="H22" s="5">
        <f>IF(G22=1,"high_R","")</f>
        <v/>
      </c>
      <c r="I22" s="5">
        <f>IF(G22=1,IF(ABS(D22)&gt;cfg_z_high_threshold,"HIGH","MEDIUM"),"")</f>
        <v/>
      </c>
      <c r="J22" s="18">
        <f>IF(G22=1,MIN(90,ABS(D22)/4*100),"")</f>
        <v/>
      </c>
      <c r="K22" s="5">
        <f>IF(G22=1,"High-R suspect PV"&amp;1&amp;": |z|="&amp;TEXT(ABS(D22),"0.00")&amp;" voc_ratio="&amp;TEXT(E6,"0.000"),"")</f>
        <v/>
      </c>
    </row>
    <row r="23">
      <c r="A23" s="5" t="inlineStr">
        <is>
          <t>PV2</t>
        </is>
      </c>
      <c r="B23" s="15">
        <f>IFERROR((B7-rstr_fleet_mean)/rstr_fleet_std,"")</f>
        <v/>
      </c>
      <c r="C23" s="15">
        <f>IFERROR((B7-rstr_fleet_median)/rstr_fleet_std,"")</f>
        <v/>
      </c>
      <c r="D23" s="15">
        <f>IF(cfg_stat_method="median",C23,IF(cfg_stat_method="mean",B23,IF(ABS(B23)&gt;=ABS(C23),B23,C23)))</f>
        <v/>
      </c>
      <c r="E23" s="5">
        <f>IF(ABS(D23)&gt;cfg_z_threshold,1,0)</f>
        <v/>
      </c>
      <c r="F23" s="5">
        <f>IFERROR(IF(E7&gt;cfg_voc_ratio_threshold,1,0),0)</f>
        <v/>
      </c>
      <c r="G23" s="5">
        <f>IF(AND(E23=1,F23=1),1,0)</f>
        <v/>
      </c>
      <c r="H23" s="5">
        <f>IF(G23=1,"high_R","")</f>
        <v/>
      </c>
      <c r="I23" s="5">
        <f>IF(G23=1,IF(ABS(D23)&gt;cfg_z_high_threshold,"HIGH","MEDIUM"),"")</f>
        <v/>
      </c>
      <c r="J23" s="18">
        <f>IF(G23=1,MIN(90,ABS(D23)/4*100),"")</f>
        <v/>
      </c>
      <c r="K23" s="5">
        <f>IF(G23=1,"High-R suspect PV"&amp;2&amp;": |z|="&amp;TEXT(ABS(D23),"0.00")&amp;" voc_ratio="&amp;TEXT(E7,"0.000"),"")</f>
        <v/>
      </c>
    </row>
    <row r="24">
      <c r="A24" s="5" t="inlineStr">
        <is>
          <t>PV3</t>
        </is>
      </c>
      <c r="B24" s="15">
        <f>IFERROR((B8-rstr_fleet_mean)/rstr_fleet_std,"")</f>
        <v/>
      </c>
      <c r="C24" s="15">
        <f>IFERROR((B8-rstr_fleet_median)/rstr_fleet_std,"")</f>
        <v/>
      </c>
      <c r="D24" s="15">
        <f>IF(cfg_stat_method="median",C24,IF(cfg_stat_method="mean",B24,IF(ABS(B24)&gt;=ABS(C24),B24,C24)))</f>
        <v/>
      </c>
      <c r="E24" s="5">
        <f>IF(ABS(D24)&gt;cfg_z_threshold,1,0)</f>
        <v/>
      </c>
      <c r="F24" s="5">
        <f>IFERROR(IF(E8&gt;cfg_voc_ratio_threshold,1,0),0)</f>
        <v/>
      </c>
      <c r="G24" s="5">
        <f>IF(AND(E24=1,F24=1),1,0)</f>
        <v/>
      </c>
      <c r="H24" s="5">
        <f>IF(G24=1,"high_R","")</f>
        <v/>
      </c>
      <c r="I24" s="5">
        <f>IF(G24=1,IF(ABS(D24)&gt;cfg_z_high_threshold,"HIGH","MEDIUM"),"")</f>
        <v/>
      </c>
      <c r="J24" s="18">
        <f>IF(G24=1,MIN(90,ABS(D24)/4*100),"")</f>
        <v/>
      </c>
      <c r="K24" s="5">
        <f>IF(G24=1,"High-R suspect PV"&amp;3&amp;": |z|="&amp;TEXT(ABS(D24),"0.00")&amp;" voc_ratio="&amp;TEXT(E8,"0.000"),"")</f>
        <v/>
      </c>
    </row>
    <row r="25">
      <c r="A25" s="5" t="inlineStr">
        <is>
          <t>PV4</t>
        </is>
      </c>
      <c r="B25" s="15">
        <f>IFERROR((B9-rstr_fleet_mean)/rstr_fleet_std,"")</f>
        <v/>
      </c>
      <c r="C25" s="15">
        <f>IFERROR((B9-rstr_fleet_median)/rstr_fleet_std,"")</f>
        <v/>
      </c>
      <c r="D25" s="15">
        <f>IF(cfg_stat_method="median",C25,IF(cfg_stat_method="mean",B25,IF(ABS(B25)&gt;=ABS(C25),B25,C25)))</f>
        <v/>
      </c>
      <c r="E25" s="5">
        <f>IF(ABS(D25)&gt;cfg_z_threshold,1,0)</f>
        <v/>
      </c>
      <c r="F25" s="5">
        <f>IFERROR(IF(E9&gt;cfg_voc_ratio_threshold,1,0),0)</f>
        <v/>
      </c>
      <c r="G25" s="5">
        <f>IF(AND(E25=1,F25=1),1,0)</f>
        <v/>
      </c>
      <c r="H25" s="5">
        <f>IF(G25=1,"high_R","")</f>
        <v/>
      </c>
      <c r="I25" s="5">
        <f>IF(G25=1,IF(ABS(D25)&gt;cfg_z_high_threshold,"HIGH","MEDIUM"),"")</f>
        <v/>
      </c>
      <c r="J25" s="18">
        <f>IF(G25=1,MIN(90,ABS(D25)/4*100),"")</f>
        <v/>
      </c>
      <c r="K25" s="5">
        <f>IF(G25=1,"High-R suspect PV"&amp;4&amp;": |z|="&amp;TEXT(ABS(D25),"0.00")&amp;" voc_ratio="&amp;TEXT(E9,"0.000"),"")</f>
        <v/>
      </c>
    </row>
    <row r="26">
      <c r="A26" s="5" t="inlineStr">
        <is>
          <t>PV5</t>
        </is>
      </c>
      <c r="B26" s="15">
        <f>IFERROR((B10-rstr_fleet_mean)/rstr_fleet_std,"")</f>
        <v/>
      </c>
      <c r="C26" s="15">
        <f>IFERROR((B10-rstr_fleet_median)/rstr_fleet_std,"")</f>
        <v/>
      </c>
      <c r="D26" s="15" t="inlineStr"/>
      <c r="E26" s="5" t="inlineStr"/>
      <c r="F26" s="5" t="inlineStr"/>
      <c r="G26" s="5" t="inlineStr"/>
      <c r="H26" s="5">
        <f>IF(G26=1,"high_R","")</f>
        <v/>
      </c>
      <c r="I26" s="5">
        <f>IF(G26=1,IF(ABS(D26)&gt;cfg_z_high_threshold,"HIGH","MEDIUM"),"")</f>
        <v/>
      </c>
      <c r="J26" s="18">
        <f>IF(G26=1,MIN(90,ABS(D26)/4*100),"")</f>
        <v/>
      </c>
      <c r="K26" s="5">
        <f>IF(G26=1,"High-R suspect PV"&amp;5&amp;": |z|="&amp;TEXT(ABS(D26),"0.00")&amp;" voc_ratio="&amp;TEXT(E10,"0.000"),"")</f>
        <v/>
      </c>
    </row>
  </sheetData>
  <conditionalFormatting sqref="I22:I26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"INFO"</formula>
    </cfRule>
    <cfRule type="cellIs" priority="5" operator="equal" dxfId="4">
      <formula>"NORMAL"</formula>
    </cfRule>
    <cfRule type="cellIs" priority="6" operator="equal" dxfId="5">
      <formula>"EMPTY"</formula>
    </cfRule>
    <cfRule type="cellIs" priority="7" operator="equal" dxfId="0">
      <formula>"high_R"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8" customWidth="1" min="3" max="3"/>
    <col width="11" customWidth="1" min="4" max="4"/>
    <col width="11" customWidth="1" min="5" max="5"/>
    <col width="9" customWidth="1" min="6" max="6"/>
    <col width="14" customWidth="1" min="7" max="7"/>
    <col width="12" customWidth="1" min="8" max="8"/>
    <col width="9" customWidth="1" min="9" max="9"/>
    <col width="10" customWidth="1" min="10" max="10"/>
    <col width="13" customWidth="1" min="11" max="11"/>
    <col width="17" customWidth="1" min="12" max="12"/>
    <col width="11" customWidth="1" min="13" max="13"/>
    <col width="9" customWidth="1" min="14" max="14"/>
    <col width="14" customWidth="1" min="15" max="15"/>
  </cols>
  <sheetData>
    <row r="1">
      <c r="A1" s="7" t="inlineStr">
        <is>
          <t>M2b_StringStatus — replika Python self.artifacts['StringStatus']</t>
        </is>
      </c>
    </row>
    <row r="2">
      <c r="A2" s="2" t="inlineStr">
        <is>
          <t>Pull dari M2b_PeerZScore sections A &amp; C.</t>
        </is>
      </c>
    </row>
    <row r="4">
      <c r="A4" s="10" t="inlineStr">
        <is>
          <t>poa_source</t>
        </is>
      </c>
      <c r="B4" s="10" t="inlineStr">
        <is>
          <t>inverter_id</t>
        </is>
      </c>
      <c r="C4" s="10" t="inlineStr">
        <is>
          <t>wb_id</t>
        </is>
      </c>
      <c r="D4" s="10" t="inlineStr">
        <is>
          <t>pv_string</t>
        </is>
      </c>
      <c r="E4" s="10" t="inlineStr">
        <is>
          <t>status</t>
        </is>
      </c>
      <c r="F4" s="10" t="inlineStr">
        <is>
          <t>rstr</t>
        </is>
      </c>
      <c r="G4" s="10" t="inlineStr">
        <is>
          <t>rstr_fleet_median</t>
        </is>
      </c>
      <c r="H4" s="10" t="inlineStr">
        <is>
          <t>rstr_fleet_std</t>
        </is>
      </c>
      <c r="I4" s="10" t="inlineStr">
        <is>
          <t>z_mean</t>
        </is>
      </c>
      <c r="J4" s="10" t="inlineStr">
        <is>
          <t>z_median</t>
        </is>
      </c>
      <c r="K4" s="10" t="inlineStr">
        <is>
          <t>voc_actual_v</t>
        </is>
      </c>
      <c r="L4" s="10" t="inlineStr">
        <is>
          <t>voc_string_nominal_v</t>
        </is>
      </c>
      <c r="M4" s="10" t="inlineStr">
        <is>
          <t>voc_ratio</t>
        </is>
      </c>
      <c r="N4" s="10" t="inlineStr">
        <is>
          <t>voc_ok</t>
        </is>
      </c>
      <c r="O4" s="10" t="inlineStr">
        <is>
          <t>emitted_finding</t>
        </is>
      </c>
    </row>
    <row r="5">
      <c r="A5" s="5" t="inlineStr">
        <is>
          <t>pyranometer_avg</t>
        </is>
      </c>
      <c r="B5" s="5" t="inlineStr">
        <is>
          <t>WB05-INV05</t>
        </is>
      </c>
      <c r="C5" s="5" t="inlineStr">
        <is>
          <t>WB05</t>
        </is>
      </c>
      <c r="D5" s="5" t="inlineStr">
        <is>
          <t>PV1</t>
        </is>
      </c>
      <c r="E5" s="5">
        <f>IF(M2b_PeerZScore!G22=1,"high_R","NORMAL")</f>
        <v/>
      </c>
      <c r="F5" s="18">
        <f>M2b_PeerZScore!B6</f>
        <v/>
      </c>
      <c r="G5" s="18">
        <f>rstr_fleet_median</f>
        <v/>
      </c>
      <c r="H5" s="18">
        <f>rstr_fleet_std</f>
        <v/>
      </c>
      <c r="I5" s="15">
        <f>M2b_PeerZScore!B22</f>
        <v/>
      </c>
      <c r="J5" s="15">
        <f>M2b_PeerZScore!C22</f>
        <v/>
      </c>
      <c r="K5" s="15">
        <f>M2b_PeerZScore!C6</f>
        <v/>
      </c>
      <c r="L5" s="15">
        <f>M2b_PeerZScore!D6</f>
        <v/>
      </c>
      <c r="M5" s="17">
        <f>M2b_PeerZScore!E6</f>
        <v/>
      </c>
      <c r="N5" s="5">
        <f>M2b_PeerZScore!F22</f>
        <v/>
      </c>
      <c r="O5" s="5">
        <f>M2b_PeerZScore!G22</f>
        <v/>
      </c>
    </row>
    <row r="6">
      <c r="A6" s="5" t="inlineStr">
        <is>
          <t>pyranometer_avg</t>
        </is>
      </c>
      <c r="B6" s="5" t="inlineStr">
        <is>
          <t>WB05-INV05</t>
        </is>
      </c>
      <c r="C6" s="5" t="inlineStr">
        <is>
          <t>WB05</t>
        </is>
      </c>
      <c r="D6" s="5" t="inlineStr">
        <is>
          <t>PV2</t>
        </is>
      </c>
      <c r="E6" s="5">
        <f>IF(M2b_PeerZScore!G23=1,"high_R","NORMAL")</f>
        <v/>
      </c>
      <c r="F6" s="18">
        <f>M2b_PeerZScore!B7</f>
        <v/>
      </c>
      <c r="G6" s="18">
        <f>rstr_fleet_median</f>
        <v/>
      </c>
      <c r="H6" s="18">
        <f>rstr_fleet_std</f>
        <v/>
      </c>
      <c r="I6" s="15">
        <f>M2b_PeerZScore!B23</f>
        <v/>
      </c>
      <c r="J6" s="15">
        <f>M2b_PeerZScore!C23</f>
        <v/>
      </c>
      <c r="K6" s="15">
        <f>M2b_PeerZScore!C7</f>
        <v/>
      </c>
      <c r="L6" s="15">
        <f>M2b_PeerZScore!D7</f>
        <v/>
      </c>
      <c r="M6" s="17">
        <f>M2b_PeerZScore!E7</f>
        <v/>
      </c>
      <c r="N6" s="5">
        <f>M2b_PeerZScore!F23</f>
        <v/>
      </c>
      <c r="O6" s="5">
        <f>M2b_PeerZScore!G23</f>
        <v/>
      </c>
    </row>
    <row r="7">
      <c r="A7" s="5" t="inlineStr">
        <is>
          <t>pyranometer_avg</t>
        </is>
      </c>
      <c r="B7" s="5" t="inlineStr">
        <is>
          <t>WB05-INV05</t>
        </is>
      </c>
      <c r="C7" s="5" t="inlineStr">
        <is>
          <t>WB05</t>
        </is>
      </c>
      <c r="D7" s="5" t="inlineStr">
        <is>
          <t>PV3</t>
        </is>
      </c>
      <c r="E7" s="5">
        <f>IF(M2b_PeerZScore!G24=1,"high_R","NORMAL")</f>
        <v/>
      </c>
      <c r="F7" s="18">
        <f>M2b_PeerZScore!B8</f>
        <v/>
      </c>
      <c r="G7" s="18">
        <f>rstr_fleet_median</f>
        <v/>
      </c>
      <c r="H7" s="18">
        <f>rstr_fleet_std</f>
        <v/>
      </c>
      <c r="I7" s="15">
        <f>M2b_PeerZScore!B24</f>
        <v/>
      </c>
      <c r="J7" s="15">
        <f>M2b_PeerZScore!C24</f>
        <v/>
      </c>
      <c r="K7" s="15">
        <f>M2b_PeerZScore!C8</f>
        <v/>
      </c>
      <c r="L7" s="15">
        <f>M2b_PeerZScore!D8</f>
        <v/>
      </c>
      <c r="M7" s="17">
        <f>M2b_PeerZScore!E8</f>
        <v/>
      </c>
      <c r="N7" s="5">
        <f>M2b_PeerZScore!F24</f>
        <v/>
      </c>
      <c r="O7" s="5">
        <f>M2b_PeerZScore!G24</f>
        <v/>
      </c>
    </row>
    <row r="8">
      <c r="A8" s="5" t="inlineStr">
        <is>
          <t>pyranometer_avg</t>
        </is>
      </c>
      <c r="B8" s="5" t="inlineStr">
        <is>
          <t>WB05-INV05</t>
        </is>
      </c>
      <c r="C8" s="5" t="inlineStr">
        <is>
          <t>WB05</t>
        </is>
      </c>
      <c r="D8" s="5" t="inlineStr">
        <is>
          <t>PV4</t>
        </is>
      </c>
      <c r="E8" s="5">
        <f>IF(M2b_PeerZScore!G25=1,"high_R","NORMAL")</f>
        <v/>
      </c>
      <c r="F8" s="18">
        <f>M2b_PeerZScore!B9</f>
        <v/>
      </c>
      <c r="G8" s="18">
        <f>rstr_fleet_median</f>
        <v/>
      </c>
      <c r="H8" s="18">
        <f>rstr_fleet_std</f>
        <v/>
      </c>
      <c r="I8" s="15">
        <f>M2b_PeerZScore!B25</f>
        <v/>
      </c>
      <c r="J8" s="15">
        <f>M2b_PeerZScore!C25</f>
        <v/>
      </c>
      <c r="K8" s="15">
        <f>M2b_PeerZScore!C9</f>
        <v/>
      </c>
      <c r="L8" s="15">
        <f>M2b_PeerZScore!D9</f>
        <v/>
      </c>
      <c r="M8" s="17">
        <f>M2b_PeerZScore!E9</f>
        <v/>
      </c>
      <c r="N8" s="5">
        <f>M2b_PeerZScore!F25</f>
        <v/>
      </c>
      <c r="O8" s="5">
        <f>M2b_PeerZScore!G25</f>
        <v/>
      </c>
    </row>
    <row r="9">
      <c r="A9" s="5" t="inlineStr">
        <is>
          <t>pyranometer_avg</t>
        </is>
      </c>
      <c r="B9" s="5" t="inlineStr">
        <is>
          <t>WB05-INV05</t>
        </is>
      </c>
      <c r="C9" s="5" t="inlineStr">
        <is>
          <t>WB05</t>
        </is>
      </c>
      <c r="D9" s="5" t="inlineStr">
        <is>
          <t>PV5</t>
        </is>
      </c>
      <c r="E9" s="5" t="inlineStr">
        <is>
          <t>EMPTY</t>
        </is>
      </c>
      <c r="F9" s="18">
        <f>M2b_PeerZScore!B10</f>
        <v/>
      </c>
      <c r="G9" s="18">
        <f>rstr_fleet_median</f>
        <v/>
      </c>
      <c r="H9" s="18">
        <f>rstr_fleet_std</f>
        <v/>
      </c>
      <c r="I9" s="15">
        <f>M2b_PeerZScore!B26</f>
        <v/>
      </c>
      <c r="J9" s="15">
        <f>M2b_PeerZScore!C26</f>
        <v/>
      </c>
      <c r="K9" s="15">
        <f>M2b_PeerZScore!C10</f>
        <v/>
      </c>
      <c r="L9" s="15">
        <f>M2b_PeerZScore!D10</f>
        <v/>
      </c>
      <c r="M9" s="17">
        <f>M2b_PeerZScore!E10</f>
        <v/>
      </c>
      <c r="N9" s="5">
        <f>M2b_PeerZScore!F26</f>
        <v/>
      </c>
      <c r="O9" s="5">
        <f>M2b_PeerZScore!G26</f>
        <v/>
      </c>
    </row>
  </sheetData>
  <conditionalFormatting sqref="E5:E9">
    <cfRule type="cellIs" priority="1" operator="equal" dxfId="0">
      <formula>"high_R"</formula>
    </cfRule>
    <cfRule type="cellIs" priority="2" operator="equal" dxfId="4">
      <formula>"NORMAL"</formula>
    </cfRule>
    <cfRule type="cellIs" priority="3" operator="equal" dxfId="5">
      <formula>"EMPTY"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2" customWidth="1" min="3" max="3"/>
    <col width="22" customWidth="1" min="4" max="4"/>
    <col width="16" customWidth="1" min="5" max="5"/>
    <col width="17" customWidth="1" min="6" max="6"/>
    <col width="19" customWidth="1" min="7" max="7"/>
    <col width="22" customWidth="1" min="8" max="8"/>
  </cols>
  <sheetData>
    <row r="1">
      <c r="A1" s="7" t="inlineStr">
        <is>
          <t>M2b StatComparison — Z-score mean vs median cross-check</t>
        </is>
      </c>
    </row>
    <row r="2">
      <c r="A2" s="2" t="inlineStr">
        <is>
          <t>Spec dual-stat: |z_mean| dan |z_median| dievaluasi. flagged_by_mean / flagged_by_median. Median lebih robust ke outlier (PV3 fault tidak skew median sebanyak mean).</t>
        </is>
      </c>
    </row>
    <row r="4">
      <c r="A4" s="10" t="inlineStr">
        <is>
          <t>PV_string</t>
        </is>
      </c>
      <c r="B4" s="10" t="inlineStr">
        <is>
          <t>R_str</t>
        </is>
      </c>
      <c r="C4" s="10" t="inlineStr">
        <is>
          <t>z_mean (vs fleet_mean)</t>
        </is>
      </c>
      <c r="D4" s="10" t="inlineStr">
        <is>
          <t>z_median (vs fleet_median)</t>
        </is>
      </c>
      <c r="E4" s="10" t="inlineStr">
        <is>
          <t>|z_mean| &gt; 2.5?</t>
        </is>
      </c>
      <c r="F4" s="10" t="inlineStr">
        <is>
          <t>|z_median| &gt; 2.5?</t>
        </is>
      </c>
      <c r="G4" s="10" t="inlineStr">
        <is>
          <t>agree (both flagged)?</t>
        </is>
      </c>
      <c r="H4" s="10" t="inlineStr">
        <is>
          <t>diff |z_mean - z_median|</t>
        </is>
      </c>
    </row>
    <row r="5">
      <c r="A5" s="5" t="inlineStr">
        <is>
          <t>PV1</t>
        </is>
      </c>
      <c r="B5" s="18">
        <f>M2b_PeerZScore!B6</f>
        <v/>
      </c>
      <c r="C5" s="15">
        <f>M2b_PeerZScore!B22</f>
        <v/>
      </c>
      <c r="D5" s="15">
        <f>M2b_PeerZScore!C22</f>
        <v/>
      </c>
      <c r="E5" s="5">
        <f>IF(ABS(C5)&gt;cfg_z_threshold,1,0)</f>
        <v/>
      </c>
      <c r="F5" s="5">
        <f>IF(ABS(D5)&gt;cfg_z_threshold,1,0)</f>
        <v/>
      </c>
      <c r="G5" s="5">
        <f>IF(AND(E5=1,F5=1),1,IF(OR(E5=1,F5=1),"disagree",0))</f>
        <v/>
      </c>
      <c r="H5" s="15">
        <f>IFERROR(ABS(C5-D5),"")</f>
        <v/>
      </c>
    </row>
    <row r="6">
      <c r="A6" s="5" t="inlineStr">
        <is>
          <t>PV2</t>
        </is>
      </c>
      <c r="B6" s="18">
        <f>M2b_PeerZScore!B7</f>
        <v/>
      </c>
      <c r="C6" s="15">
        <f>M2b_PeerZScore!B23</f>
        <v/>
      </c>
      <c r="D6" s="15">
        <f>M2b_PeerZScore!C23</f>
        <v/>
      </c>
      <c r="E6" s="5">
        <f>IF(ABS(C6)&gt;cfg_z_threshold,1,0)</f>
        <v/>
      </c>
      <c r="F6" s="5">
        <f>IF(ABS(D6)&gt;cfg_z_threshold,1,0)</f>
        <v/>
      </c>
      <c r="G6" s="5">
        <f>IF(AND(E6=1,F6=1),1,IF(OR(E6=1,F6=1),"disagree",0))</f>
        <v/>
      </c>
      <c r="H6" s="15">
        <f>IFERROR(ABS(C6-D6),"")</f>
        <v/>
      </c>
    </row>
    <row r="7">
      <c r="A7" s="5" t="inlineStr">
        <is>
          <t>PV3</t>
        </is>
      </c>
      <c r="B7" s="18">
        <f>M2b_PeerZScore!B8</f>
        <v/>
      </c>
      <c r="C7" s="15">
        <f>M2b_PeerZScore!B24</f>
        <v/>
      </c>
      <c r="D7" s="15">
        <f>M2b_PeerZScore!C24</f>
        <v/>
      </c>
      <c r="E7" s="5">
        <f>IF(ABS(C7)&gt;cfg_z_threshold,1,0)</f>
        <v/>
      </c>
      <c r="F7" s="5">
        <f>IF(ABS(D7)&gt;cfg_z_threshold,1,0)</f>
        <v/>
      </c>
      <c r="G7" s="5">
        <f>IF(AND(E7=1,F7=1),1,IF(OR(E7=1,F7=1),"disagree",0))</f>
        <v/>
      </c>
      <c r="H7" s="15">
        <f>IFERROR(ABS(C7-D7),"")</f>
        <v/>
      </c>
    </row>
    <row r="8">
      <c r="A8" s="5" t="inlineStr">
        <is>
          <t>PV4</t>
        </is>
      </c>
      <c r="B8" s="18">
        <f>M2b_PeerZScore!B9</f>
        <v/>
      </c>
      <c r="C8" s="15">
        <f>M2b_PeerZScore!B25</f>
        <v/>
      </c>
      <c r="D8" s="15">
        <f>M2b_PeerZScore!C25</f>
        <v/>
      </c>
      <c r="E8" s="5">
        <f>IF(ABS(C8)&gt;cfg_z_threshold,1,0)</f>
        <v/>
      </c>
      <c r="F8" s="5">
        <f>IF(ABS(D8)&gt;cfg_z_threshold,1,0)</f>
        <v/>
      </c>
      <c r="G8" s="5">
        <f>IF(AND(E8=1,F8=1),1,IF(OR(E8=1,F8=1),"disagree",0))</f>
        <v/>
      </c>
      <c r="H8" s="15">
        <f>IFERROR(ABS(C8-D8),"")</f>
        <v/>
      </c>
    </row>
    <row r="9">
      <c r="A9" s="5" t="inlineStr">
        <is>
          <t>PV5</t>
        </is>
      </c>
      <c r="B9" s="18">
        <f>M2b_PeerZScore!B10</f>
        <v/>
      </c>
      <c r="C9" s="15">
        <f>M2b_PeerZScore!B26</f>
        <v/>
      </c>
      <c r="D9" s="15">
        <f>M2b_PeerZScore!C26</f>
        <v/>
      </c>
      <c r="E9" s="5">
        <f>IF(ABS(C9)&gt;cfg_z_threshold,1,0)</f>
        <v/>
      </c>
      <c r="F9" s="5">
        <f>IF(ABS(D9)&gt;cfg_z_threshold,1,0)</f>
        <v/>
      </c>
      <c r="G9" s="5">
        <f>IF(AND(E9=1,F9=1),1,IF(OR(E9=1,F9=1),"disagree",0))</f>
        <v/>
      </c>
      <c r="H9" s="15">
        <f>IFERROR(ABS(C9-D9),"")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2" customWidth="1" min="3" max="3"/>
    <col width="18" customWidth="1" min="4" max="4"/>
    <col width="13" customWidth="1" min="5" max="5"/>
    <col width="22" customWidth="1" min="6" max="6"/>
    <col width="13" customWidth="1" min="7" max="7"/>
    <col width="17" customWidth="1" min="8" max="8"/>
  </cols>
  <sheetData>
    <row r="1">
      <c r="A1" s="7" t="inlineStr">
        <is>
          <t>Hampel Preprocessing — A/B comparison V series original vs Hampel-cleaned</t>
        </is>
      </c>
    </row>
    <row r="2">
      <c r="A2" s="2" t="inlineStr">
        <is>
          <t>Demo Wave 9: rolling median window 15 (75-min) + MAD-based outlier mask. Approximation of pvanalytics.quality.outliers.hampel(). Toggle via cfg_enabled.</t>
        </is>
      </c>
    </row>
    <row r="4">
      <c r="A4" s="21" t="inlineStr">
        <is>
          <t>Note: rolling_MAD pakai AVEDEV (mean-abs-dev) = proxy MAD universal-compatible (MEDIAN(IF()) array gagal tanpa CSE di LibreOffice). True Hampel = median-abs-dev x 1.4826; AVEDEV strict ~1.2533. Demo mekanisme, bukan filter produksi (preprocessing.py pakai pvanalytics).</t>
        </is>
      </c>
    </row>
    <row r="5">
      <c r="A5" s="10" t="inlineStr">
        <is>
          <t>Start Time</t>
        </is>
      </c>
      <c r="B5" s="10" t="inlineStr">
        <is>
          <t>PV3_V_original</t>
        </is>
      </c>
      <c r="C5" s="10" t="inlineStr">
        <is>
          <t>rolling_median (window 15)</t>
        </is>
      </c>
      <c r="D5" s="10" t="inlineStr">
        <is>
          <t>abs_dev_from_median</t>
        </is>
      </c>
      <c r="E5" s="10" t="inlineStr">
        <is>
          <t>rolling_MAD</t>
        </is>
      </c>
      <c r="F5" s="10" t="inlineStr">
        <is>
          <t>deviation_in_MAD_sigma</t>
        </is>
      </c>
      <c r="G5" s="10" t="inlineStr">
        <is>
          <t>is_outlier</t>
        </is>
      </c>
      <c r="H5" s="10" t="inlineStr">
        <is>
          <t>PV3_V_cleaned</t>
        </is>
      </c>
    </row>
    <row r="6">
      <c r="A6" s="16">
        <f>Helpers_M2b!B5</f>
        <v/>
      </c>
      <c r="B6" s="15">
        <f>Helpers_M2b!O5</f>
        <v/>
      </c>
      <c r="C6" s="15">
        <f>MEDIAN(B6:B6)</f>
        <v/>
      </c>
      <c r="D6" s="15">
        <f>ABS(B6-C6)</f>
        <v/>
      </c>
      <c r="E6" s="15">
        <f>AVEDEV(B6:B6)</f>
        <v/>
      </c>
      <c r="F6" s="15">
        <f>IFERROR(D6/(1.4826*E6),0)</f>
        <v/>
      </c>
      <c r="G6" s="5">
        <f>IF(F6&gt;cfg_hampel_max_deviation,1,0)</f>
        <v/>
      </c>
      <c r="H6" s="15">
        <f>IF(G6=1,"",B6)</f>
        <v/>
      </c>
    </row>
    <row r="7">
      <c r="A7" s="16">
        <f>Helpers_M2b!B6</f>
        <v/>
      </c>
      <c r="B7" s="15">
        <f>Helpers_M2b!O6</f>
        <v/>
      </c>
      <c r="C7" s="15">
        <f>MEDIAN(B6:B7)</f>
        <v/>
      </c>
      <c r="D7" s="15">
        <f>ABS(B7-C7)</f>
        <v/>
      </c>
      <c r="E7" s="15">
        <f>AVEDEV(B6:B7)</f>
        <v/>
      </c>
      <c r="F7" s="15">
        <f>IFERROR(D7/(1.4826*E7),0)</f>
        <v/>
      </c>
      <c r="G7" s="5">
        <f>IF(F7&gt;cfg_hampel_max_deviation,1,0)</f>
        <v/>
      </c>
      <c r="H7" s="15">
        <f>IF(G7=1,"",B7)</f>
        <v/>
      </c>
    </row>
    <row r="8">
      <c r="A8" s="16">
        <f>Helpers_M2b!B7</f>
        <v/>
      </c>
      <c r="B8" s="15">
        <f>Helpers_M2b!O7</f>
        <v/>
      </c>
      <c r="C8" s="15">
        <f>MEDIAN(B6:B8)</f>
        <v/>
      </c>
      <c r="D8" s="15">
        <f>ABS(B8-C8)</f>
        <v/>
      </c>
      <c r="E8" s="15">
        <f>AVEDEV(B6:B8)</f>
        <v/>
      </c>
      <c r="F8" s="15">
        <f>IFERROR(D8/(1.4826*E8),0)</f>
        <v/>
      </c>
      <c r="G8" s="5">
        <f>IF(F8&gt;cfg_hampel_max_deviation,1,0)</f>
        <v/>
      </c>
      <c r="H8" s="15">
        <f>IF(G8=1,"",B8)</f>
        <v/>
      </c>
    </row>
    <row r="9">
      <c r="A9" s="16">
        <f>Helpers_M2b!B8</f>
        <v/>
      </c>
      <c r="B9" s="15">
        <f>Helpers_M2b!O8</f>
        <v/>
      </c>
      <c r="C9" s="15">
        <f>MEDIAN(B6:B9)</f>
        <v/>
      </c>
      <c r="D9" s="15">
        <f>ABS(B9-C9)</f>
        <v/>
      </c>
      <c r="E9" s="15">
        <f>AVEDEV(B6:B9)</f>
        <v/>
      </c>
      <c r="F9" s="15">
        <f>IFERROR(D9/(1.4826*E9),0)</f>
        <v/>
      </c>
      <c r="G9" s="5">
        <f>IF(F9&gt;cfg_hampel_max_deviation,1,0)</f>
        <v/>
      </c>
      <c r="H9" s="15">
        <f>IF(G9=1,"",B9)</f>
        <v/>
      </c>
    </row>
    <row r="10">
      <c r="A10" s="16">
        <f>Helpers_M2b!B9</f>
        <v/>
      </c>
      <c r="B10" s="15">
        <f>Helpers_M2b!O9</f>
        <v/>
      </c>
      <c r="C10" s="15">
        <f>MEDIAN(B6:B10)</f>
        <v/>
      </c>
      <c r="D10" s="15">
        <f>ABS(B10-C10)</f>
        <v/>
      </c>
      <c r="E10" s="15">
        <f>AVEDEV(B6:B10)</f>
        <v/>
      </c>
      <c r="F10" s="15">
        <f>IFERROR(D10/(1.4826*E10),0)</f>
        <v/>
      </c>
      <c r="G10" s="5">
        <f>IF(F10&gt;cfg_hampel_max_deviation,1,0)</f>
        <v/>
      </c>
      <c r="H10" s="15">
        <f>IF(G10=1,"",B10)</f>
        <v/>
      </c>
    </row>
    <row r="11">
      <c r="A11" s="16">
        <f>Helpers_M2b!B10</f>
        <v/>
      </c>
      <c r="B11" s="15">
        <f>Helpers_M2b!O10</f>
        <v/>
      </c>
      <c r="C11" s="15">
        <f>MEDIAN(B6:B11)</f>
        <v/>
      </c>
      <c r="D11" s="15">
        <f>ABS(B11-C11)</f>
        <v/>
      </c>
      <c r="E11" s="15">
        <f>AVEDEV(B6:B11)</f>
        <v/>
      </c>
      <c r="F11" s="15">
        <f>IFERROR(D11/(1.4826*E11),0)</f>
        <v/>
      </c>
      <c r="G11" s="5">
        <f>IF(F11&gt;cfg_hampel_max_deviation,1,0)</f>
        <v/>
      </c>
      <c r="H11" s="15">
        <f>IF(G11=1,"",B11)</f>
        <v/>
      </c>
    </row>
    <row r="12">
      <c r="A12" s="16">
        <f>Helpers_M2b!B11</f>
        <v/>
      </c>
      <c r="B12" s="15">
        <f>Helpers_M2b!O11</f>
        <v/>
      </c>
      <c r="C12" s="15">
        <f>MEDIAN(B6:B12)</f>
        <v/>
      </c>
      <c r="D12" s="15">
        <f>ABS(B12-C12)</f>
        <v/>
      </c>
      <c r="E12" s="15">
        <f>AVEDEV(B6:B12)</f>
        <v/>
      </c>
      <c r="F12" s="15">
        <f>IFERROR(D12/(1.4826*E12),0)</f>
        <v/>
      </c>
      <c r="G12" s="5">
        <f>IF(F12&gt;cfg_hampel_max_deviation,1,0)</f>
        <v/>
      </c>
      <c r="H12" s="15">
        <f>IF(G12=1,"",B12)</f>
        <v/>
      </c>
    </row>
    <row r="13">
      <c r="A13" s="16">
        <f>Helpers_M2b!B12</f>
        <v/>
      </c>
      <c r="B13" s="15">
        <f>Helpers_M2b!O12</f>
        <v/>
      </c>
      <c r="C13" s="15">
        <f>MEDIAN(B6:B13)</f>
        <v/>
      </c>
      <c r="D13" s="15">
        <f>ABS(B13-C13)</f>
        <v/>
      </c>
      <c r="E13" s="15">
        <f>AVEDEV(B6:B13)</f>
        <v/>
      </c>
      <c r="F13" s="15">
        <f>IFERROR(D13/(1.4826*E13),0)</f>
        <v/>
      </c>
      <c r="G13" s="5">
        <f>IF(F13&gt;cfg_hampel_max_deviation,1,0)</f>
        <v/>
      </c>
      <c r="H13" s="15">
        <f>IF(G13=1,"",B13)</f>
        <v/>
      </c>
    </row>
    <row r="14">
      <c r="A14" s="16">
        <f>Helpers_M2b!B13</f>
        <v/>
      </c>
      <c r="B14" s="15">
        <f>Helpers_M2b!O13</f>
        <v/>
      </c>
      <c r="C14" s="15">
        <f>MEDIAN(B6:B14)</f>
        <v/>
      </c>
      <c r="D14" s="15">
        <f>ABS(B14-C14)</f>
        <v/>
      </c>
      <c r="E14" s="15">
        <f>AVEDEV(B6:B14)</f>
        <v/>
      </c>
      <c r="F14" s="15">
        <f>IFERROR(D14/(1.4826*E14),0)</f>
        <v/>
      </c>
      <c r="G14" s="5">
        <f>IF(F14&gt;cfg_hampel_max_deviation,1,0)</f>
        <v/>
      </c>
      <c r="H14" s="15">
        <f>IF(G14=1,"",B14)</f>
        <v/>
      </c>
    </row>
    <row r="15">
      <c r="A15" s="16">
        <f>Helpers_M2b!B14</f>
        <v/>
      </c>
      <c r="B15" s="15">
        <f>Helpers_M2b!O14</f>
        <v/>
      </c>
      <c r="C15" s="15">
        <f>MEDIAN(B6:B15)</f>
        <v/>
      </c>
      <c r="D15" s="15">
        <f>ABS(B15-C15)</f>
        <v/>
      </c>
      <c r="E15" s="15">
        <f>AVEDEV(B6:B15)</f>
        <v/>
      </c>
      <c r="F15" s="15">
        <f>IFERROR(D15/(1.4826*E15),0)</f>
        <v/>
      </c>
      <c r="G15" s="5">
        <f>IF(F15&gt;cfg_hampel_max_deviation,1,0)</f>
        <v/>
      </c>
      <c r="H15" s="15">
        <f>IF(G15=1,"",B15)</f>
        <v/>
      </c>
    </row>
    <row r="16">
      <c r="A16" s="16">
        <f>Helpers_M2b!B15</f>
        <v/>
      </c>
      <c r="B16" s="15">
        <f>Helpers_M2b!O15</f>
        <v/>
      </c>
      <c r="C16" s="15">
        <f>MEDIAN(B6:B16)</f>
        <v/>
      </c>
      <c r="D16" s="15">
        <f>ABS(B16-C16)</f>
        <v/>
      </c>
      <c r="E16" s="15">
        <f>AVEDEV(B6:B16)</f>
        <v/>
      </c>
      <c r="F16" s="15">
        <f>IFERROR(D16/(1.4826*E16),0)</f>
        <v/>
      </c>
      <c r="G16" s="5">
        <f>IF(F16&gt;cfg_hampel_max_deviation,1,0)</f>
        <v/>
      </c>
      <c r="H16" s="15">
        <f>IF(G16=1,"",B16)</f>
        <v/>
      </c>
    </row>
    <row r="17">
      <c r="A17" s="16">
        <f>Helpers_M2b!B16</f>
        <v/>
      </c>
      <c r="B17" s="15">
        <f>Helpers_M2b!O16</f>
        <v/>
      </c>
      <c r="C17" s="15">
        <f>MEDIAN(B6:B17)</f>
        <v/>
      </c>
      <c r="D17" s="15">
        <f>ABS(B17-C17)</f>
        <v/>
      </c>
      <c r="E17" s="15">
        <f>AVEDEV(B6:B17)</f>
        <v/>
      </c>
      <c r="F17" s="15">
        <f>IFERROR(D17/(1.4826*E17),0)</f>
        <v/>
      </c>
      <c r="G17" s="5">
        <f>IF(F17&gt;cfg_hampel_max_deviation,1,0)</f>
        <v/>
      </c>
      <c r="H17" s="15">
        <f>IF(G17=1,"",B17)</f>
        <v/>
      </c>
    </row>
    <row r="18">
      <c r="A18" s="16">
        <f>Helpers_M2b!B17</f>
        <v/>
      </c>
      <c r="B18" s="15">
        <f>Helpers_M2b!O17</f>
        <v/>
      </c>
      <c r="C18" s="15">
        <f>MEDIAN(B6:B18)</f>
        <v/>
      </c>
      <c r="D18" s="15">
        <f>ABS(B18-C18)</f>
        <v/>
      </c>
      <c r="E18" s="15">
        <f>AVEDEV(B6:B18)</f>
        <v/>
      </c>
      <c r="F18" s="15">
        <f>IFERROR(D18/(1.4826*E18),0)</f>
        <v/>
      </c>
      <c r="G18" s="5">
        <f>IF(F18&gt;cfg_hampel_max_deviation,1,0)</f>
        <v/>
      </c>
      <c r="H18" s="15">
        <f>IF(G18=1,"",B18)</f>
        <v/>
      </c>
    </row>
    <row r="19">
      <c r="A19" s="16">
        <f>Helpers_M2b!B18</f>
        <v/>
      </c>
      <c r="B19" s="15">
        <f>Helpers_M2b!O18</f>
        <v/>
      </c>
      <c r="C19" s="15">
        <f>MEDIAN(B6:B19)</f>
        <v/>
      </c>
      <c r="D19" s="15">
        <f>ABS(B19-C19)</f>
        <v/>
      </c>
      <c r="E19" s="15">
        <f>AVEDEV(B6:B19)</f>
        <v/>
      </c>
      <c r="F19" s="15">
        <f>IFERROR(D19/(1.4826*E19),0)</f>
        <v/>
      </c>
      <c r="G19" s="5">
        <f>IF(F19&gt;cfg_hampel_max_deviation,1,0)</f>
        <v/>
      </c>
      <c r="H19" s="15">
        <f>IF(G19=1,"",B19)</f>
        <v/>
      </c>
    </row>
    <row r="20">
      <c r="A20" s="16">
        <f>Helpers_M2b!B19</f>
        <v/>
      </c>
      <c r="B20" s="15">
        <f>Helpers_M2b!O19</f>
        <v/>
      </c>
      <c r="C20" s="15">
        <f>MEDIAN(B6:B20)</f>
        <v/>
      </c>
      <c r="D20" s="15">
        <f>ABS(B20-C20)</f>
        <v/>
      </c>
      <c r="E20" s="15">
        <f>AVEDEV(B6:B20)</f>
        <v/>
      </c>
      <c r="F20" s="15">
        <f>IFERROR(D20/(1.4826*E20),0)</f>
        <v/>
      </c>
      <c r="G20" s="5">
        <f>IF(F20&gt;cfg_hampel_max_deviation,1,0)</f>
        <v/>
      </c>
      <c r="H20" s="15">
        <f>IF(G20=1,"",B20)</f>
        <v/>
      </c>
    </row>
    <row r="21">
      <c r="A21" s="16">
        <f>Helpers_M2b!B20</f>
        <v/>
      </c>
      <c r="B21" s="15">
        <f>Helpers_M2b!O20</f>
        <v/>
      </c>
      <c r="C21" s="15">
        <f>MEDIAN(B7:B21)</f>
        <v/>
      </c>
      <c r="D21" s="15">
        <f>ABS(B21-C21)</f>
        <v/>
      </c>
      <c r="E21" s="15">
        <f>AVEDEV(B7:B21)</f>
        <v/>
      </c>
      <c r="F21" s="15">
        <f>IFERROR(D21/(1.4826*E21),0)</f>
        <v/>
      </c>
      <c r="G21" s="5">
        <f>IF(F21&gt;cfg_hampel_max_deviation,1,0)</f>
        <v/>
      </c>
      <c r="H21" s="15">
        <f>IF(G21=1,"",B21)</f>
        <v/>
      </c>
    </row>
    <row r="22">
      <c r="A22" s="16">
        <f>Helpers_M2b!B21</f>
        <v/>
      </c>
      <c r="B22" s="15">
        <f>Helpers_M2b!O21</f>
        <v/>
      </c>
      <c r="C22" s="15">
        <f>MEDIAN(B8:B22)</f>
        <v/>
      </c>
      <c r="D22" s="15">
        <f>ABS(B22-C22)</f>
        <v/>
      </c>
      <c r="E22" s="15">
        <f>AVEDEV(B8:B22)</f>
        <v/>
      </c>
      <c r="F22" s="15">
        <f>IFERROR(D22/(1.4826*E22),0)</f>
        <v/>
      </c>
      <c r="G22" s="5">
        <f>IF(F22&gt;cfg_hampel_max_deviation,1,0)</f>
        <v/>
      </c>
      <c r="H22" s="15">
        <f>IF(G22=1,"",B22)</f>
        <v/>
      </c>
    </row>
    <row r="23">
      <c r="A23" s="16">
        <f>Helpers_M2b!B22</f>
        <v/>
      </c>
      <c r="B23" s="15">
        <f>Helpers_M2b!O22</f>
        <v/>
      </c>
      <c r="C23" s="15">
        <f>MEDIAN(B9:B23)</f>
        <v/>
      </c>
      <c r="D23" s="15">
        <f>ABS(B23-C23)</f>
        <v/>
      </c>
      <c r="E23" s="15">
        <f>AVEDEV(B9:B23)</f>
        <v/>
      </c>
      <c r="F23" s="15">
        <f>IFERROR(D23/(1.4826*E23),0)</f>
        <v/>
      </c>
      <c r="G23" s="5">
        <f>IF(F23&gt;cfg_hampel_max_deviation,1,0)</f>
        <v/>
      </c>
      <c r="H23" s="15">
        <f>IF(G23=1,"",B23)</f>
        <v/>
      </c>
    </row>
    <row r="24">
      <c r="A24" s="16">
        <f>Helpers_M2b!B23</f>
        <v/>
      </c>
      <c r="B24" s="15">
        <f>Helpers_M2b!O23</f>
        <v/>
      </c>
      <c r="C24" s="15">
        <f>MEDIAN(B10:B24)</f>
        <v/>
      </c>
      <c r="D24" s="15">
        <f>ABS(B24-C24)</f>
        <v/>
      </c>
      <c r="E24" s="15">
        <f>AVEDEV(B10:B24)</f>
        <v/>
      </c>
      <c r="F24" s="15">
        <f>IFERROR(D24/(1.4826*E24),0)</f>
        <v/>
      </c>
      <c r="G24" s="5">
        <f>IF(F24&gt;cfg_hampel_max_deviation,1,0)</f>
        <v/>
      </c>
      <c r="H24" s="15">
        <f>IF(G24=1,"",B24)</f>
        <v/>
      </c>
    </row>
    <row r="25">
      <c r="A25" s="16">
        <f>Helpers_M2b!B24</f>
        <v/>
      </c>
      <c r="B25" s="15">
        <f>Helpers_M2b!O24</f>
        <v/>
      </c>
      <c r="C25" s="15">
        <f>MEDIAN(B11:B25)</f>
        <v/>
      </c>
      <c r="D25" s="15">
        <f>ABS(B25-C25)</f>
        <v/>
      </c>
      <c r="E25" s="15">
        <f>AVEDEV(B11:B25)</f>
        <v/>
      </c>
      <c r="F25" s="15">
        <f>IFERROR(D25/(1.4826*E25),0)</f>
        <v/>
      </c>
      <c r="G25" s="5">
        <f>IF(F25&gt;cfg_hampel_max_deviation,1,0)</f>
        <v/>
      </c>
      <c r="H25" s="15">
        <f>IF(G25=1,"",B25)</f>
        <v/>
      </c>
    </row>
    <row r="26">
      <c r="A26" s="16">
        <f>Helpers_M2b!B25</f>
        <v/>
      </c>
      <c r="B26" s="15">
        <f>Helpers_M2b!O25</f>
        <v/>
      </c>
      <c r="C26" s="15">
        <f>MEDIAN(B12:B26)</f>
        <v/>
      </c>
      <c r="D26" s="15">
        <f>ABS(B26-C26)</f>
        <v/>
      </c>
      <c r="E26" s="15">
        <f>AVEDEV(B12:B26)</f>
        <v/>
      </c>
      <c r="F26" s="15">
        <f>IFERROR(D26/(1.4826*E26),0)</f>
        <v/>
      </c>
      <c r="G26" s="5">
        <f>IF(F26&gt;cfg_hampel_max_deviation,1,0)</f>
        <v/>
      </c>
      <c r="H26" s="15">
        <f>IF(G26=1,"",B26)</f>
        <v/>
      </c>
    </row>
    <row r="27">
      <c r="A27" s="16">
        <f>Helpers_M2b!B26</f>
        <v/>
      </c>
      <c r="B27" s="15">
        <f>Helpers_M2b!O26</f>
        <v/>
      </c>
      <c r="C27" s="15">
        <f>MEDIAN(B13:B27)</f>
        <v/>
      </c>
      <c r="D27" s="15">
        <f>ABS(B27-C27)</f>
        <v/>
      </c>
      <c r="E27" s="15">
        <f>AVEDEV(B13:B27)</f>
        <v/>
      </c>
      <c r="F27" s="15">
        <f>IFERROR(D27/(1.4826*E27),0)</f>
        <v/>
      </c>
      <c r="G27" s="5">
        <f>IF(F27&gt;cfg_hampel_max_deviation,1,0)</f>
        <v/>
      </c>
      <c r="H27" s="15">
        <f>IF(G27=1,"",B27)</f>
        <v/>
      </c>
    </row>
    <row r="28">
      <c r="A28" s="16">
        <f>Helpers_M2b!B27</f>
        <v/>
      </c>
      <c r="B28" s="15">
        <f>Helpers_M2b!O27</f>
        <v/>
      </c>
      <c r="C28" s="15">
        <f>MEDIAN(B14:B28)</f>
        <v/>
      </c>
      <c r="D28" s="15">
        <f>ABS(B28-C28)</f>
        <v/>
      </c>
      <c r="E28" s="15">
        <f>AVEDEV(B14:B28)</f>
        <v/>
      </c>
      <c r="F28" s="15">
        <f>IFERROR(D28/(1.4826*E28),0)</f>
        <v/>
      </c>
      <c r="G28" s="5">
        <f>IF(F28&gt;cfg_hampel_max_deviation,1,0)</f>
        <v/>
      </c>
      <c r="H28" s="15">
        <f>IF(G28=1,"",B28)</f>
        <v/>
      </c>
    </row>
    <row r="29">
      <c r="A29" s="16">
        <f>Helpers_M2b!B28</f>
        <v/>
      </c>
      <c r="B29" s="15">
        <f>Helpers_M2b!O28</f>
        <v/>
      </c>
      <c r="C29" s="15">
        <f>MEDIAN(B15:B29)</f>
        <v/>
      </c>
      <c r="D29" s="15">
        <f>ABS(B29-C29)</f>
        <v/>
      </c>
      <c r="E29" s="15">
        <f>AVEDEV(B15:B29)</f>
        <v/>
      </c>
      <c r="F29" s="15">
        <f>IFERROR(D29/(1.4826*E29),0)</f>
        <v/>
      </c>
      <c r="G29" s="5">
        <f>IF(F29&gt;cfg_hampel_max_deviation,1,0)</f>
        <v/>
      </c>
      <c r="H29" s="15">
        <f>IF(G29=1,"",B29)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3" t="inlineStr">
        <is>
          <t>Raw_Data_OC — time-series arus per PV string (WB05-INV05)</t>
        </is>
      </c>
    </row>
    <row r="2">
      <c r="A2" s="24" t="inlineStr">
        <is>
          <t>Dummy 1 inverter, 5 PV string. PV1/PV2 healthy · PV3 GENUINE open-circuit · PV4 glitch 3-step · PV5 EMPTY.</t>
        </is>
      </c>
    </row>
    <row r="3">
      <c r="A3" s="24" t="inlineStr">
        <is>
          <t>24 baris daylight (12:00–13:55 @5-min, POA=900) + 2 baris twilight (18:10/18:20, POA=120 → gated). Ganti dengan data Huawei aktual (paste over).</t>
        </is>
      </c>
    </row>
    <row r="4">
      <c r="A4" s="10" t="inlineStr">
        <is>
          <t>Start Time</t>
        </is>
      </c>
      <c r="B4" s="10" t="inlineStr">
        <is>
          <t>POA (W/m²)</t>
        </is>
      </c>
      <c r="C4" s="10" t="inlineStr">
        <is>
          <t>PV1 input current(A)</t>
        </is>
      </c>
      <c r="D4" s="10" t="inlineStr">
        <is>
          <t>PV2 input current(A)</t>
        </is>
      </c>
      <c r="E4" s="10" t="inlineStr">
        <is>
          <t>PV3 input current(A)</t>
        </is>
      </c>
      <c r="F4" s="10" t="inlineStr">
        <is>
          <t>PV4 input current(A)</t>
        </is>
      </c>
      <c r="G4" s="10" t="inlineStr">
        <is>
          <t>PV5 input current(A)</t>
        </is>
      </c>
    </row>
    <row r="5">
      <c r="A5" s="16" t="n">
        <v>46156.5</v>
      </c>
      <c r="B5" s="5" t="n">
        <v>900</v>
      </c>
      <c r="C5" s="17" t="n">
        <v>13</v>
      </c>
      <c r="D5" s="17" t="n">
        <v>12.8</v>
      </c>
      <c r="E5" s="25" t="n">
        <v>0.1</v>
      </c>
      <c r="F5" s="17" t="n">
        <v>12.9</v>
      </c>
      <c r="G5" s="17" t="n">
        <v>0</v>
      </c>
    </row>
    <row r="6">
      <c r="A6" s="16" t="n">
        <v>46156.50347222222</v>
      </c>
      <c r="B6" s="5" t="n">
        <v>900</v>
      </c>
      <c r="C6" s="17" t="n">
        <v>13</v>
      </c>
      <c r="D6" s="17" t="n">
        <v>12.8</v>
      </c>
      <c r="E6" s="25" t="n">
        <v>0.1</v>
      </c>
      <c r="F6" s="17" t="n">
        <v>12.9</v>
      </c>
      <c r="G6" s="17" t="n">
        <v>0</v>
      </c>
    </row>
    <row r="7">
      <c r="A7" s="16" t="n">
        <v>46156.50694444445</v>
      </c>
      <c r="B7" s="5" t="n">
        <v>900</v>
      </c>
      <c r="C7" s="17" t="n">
        <v>13</v>
      </c>
      <c r="D7" s="17" t="n">
        <v>12.8</v>
      </c>
      <c r="E7" s="25" t="n">
        <v>0.1</v>
      </c>
      <c r="F7" s="17" t="n">
        <v>12.9</v>
      </c>
      <c r="G7" s="17" t="n">
        <v>0</v>
      </c>
    </row>
    <row r="8">
      <c r="A8" s="16" t="n">
        <v>46156.51041666666</v>
      </c>
      <c r="B8" s="5" t="n">
        <v>900</v>
      </c>
      <c r="C8" s="17" t="n">
        <v>13</v>
      </c>
      <c r="D8" s="17" t="n">
        <v>12.8</v>
      </c>
      <c r="E8" s="25" t="n">
        <v>0.1</v>
      </c>
      <c r="F8" s="17" t="n">
        <v>12.9</v>
      </c>
      <c r="G8" s="17" t="n">
        <v>0</v>
      </c>
    </row>
    <row r="9">
      <c r="A9" s="16" t="n">
        <v>46156.51388888889</v>
      </c>
      <c r="B9" s="5" t="n">
        <v>900</v>
      </c>
      <c r="C9" s="17" t="n">
        <v>13</v>
      </c>
      <c r="D9" s="17" t="n">
        <v>12.8</v>
      </c>
      <c r="E9" s="25" t="n">
        <v>0.1</v>
      </c>
      <c r="F9" s="26" t="n">
        <v>0.05</v>
      </c>
      <c r="G9" s="17" t="n">
        <v>0</v>
      </c>
    </row>
    <row r="10">
      <c r="A10" s="16" t="n">
        <v>46156.51736111111</v>
      </c>
      <c r="B10" s="5" t="n">
        <v>900</v>
      </c>
      <c r="C10" s="17" t="n">
        <v>13</v>
      </c>
      <c r="D10" s="17" t="n">
        <v>12.8</v>
      </c>
      <c r="E10" s="25" t="n">
        <v>0.1</v>
      </c>
      <c r="F10" s="26" t="n">
        <v>0.05</v>
      </c>
      <c r="G10" s="17" t="n">
        <v>0</v>
      </c>
    </row>
    <row r="11">
      <c r="A11" s="16" t="n">
        <v>46156.52083333334</v>
      </c>
      <c r="B11" s="5" t="n">
        <v>900</v>
      </c>
      <c r="C11" s="17" t="n">
        <v>13</v>
      </c>
      <c r="D11" s="17" t="n">
        <v>12.8</v>
      </c>
      <c r="E11" s="25" t="n">
        <v>0.1</v>
      </c>
      <c r="F11" s="26" t="n">
        <v>0.05</v>
      </c>
      <c r="G11" s="17" t="n">
        <v>0</v>
      </c>
    </row>
    <row r="12">
      <c r="A12" s="16" t="n">
        <v>46156.52430555555</v>
      </c>
      <c r="B12" s="5" t="n">
        <v>900</v>
      </c>
      <c r="C12" s="17" t="n">
        <v>13</v>
      </c>
      <c r="D12" s="17" t="n">
        <v>12.8</v>
      </c>
      <c r="E12" s="25" t="n">
        <v>0.1</v>
      </c>
      <c r="F12" s="17" t="n">
        <v>12.9</v>
      </c>
      <c r="G12" s="17" t="n">
        <v>0</v>
      </c>
    </row>
    <row r="13">
      <c r="A13" s="16" t="n">
        <v>46156.52777777778</v>
      </c>
      <c r="B13" s="5" t="n">
        <v>900</v>
      </c>
      <c r="C13" s="17" t="n">
        <v>13</v>
      </c>
      <c r="D13" s="17" t="n">
        <v>12.8</v>
      </c>
      <c r="E13" s="25" t="n">
        <v>0.1</v>
      </c>
      <c r="F13" s="17" t="n">
        <v>12.9</v>
      </c>
      <c r="G13" s="17" t="n">
        <v>0</v>
      </c>
    </row>
    <row r="14">
      <c r="A14" s="16" t="n">
        <v>46156.53125</v>
      </c>
      <c r="B14" s="5" t="n">
        <v>900</v>
      </c>
      <c r="C14" s="17" t="n">
        <v>13</v>
      </c>
      <c r="D14" s="17" t="n">
        <v>12.8</v>
      </c>
      <c r="E14" s="25" t="n">
        <v>0.1</v>
      </c>
      <c r="F14" s="17" t="n">
        <v>12.9</v>
      </c>
      <c r="G14" s="17" t="n">
        <v>0</v>
      </c>
    </row>
    <row r="15">
      <c r="A15" s="16" t="n">
        <v>46156.53472222222</v>
      </c>
      <c r="B15" s="5" t="n">
        <v>900</v>
      </c>
      <c r="C15" s="17" t="n">
        <v>13</v>
      </c>
      <c r="D15" s="17" t="n">
        <v>12.8</v>
      </c>
      <c r="E15" s="25" t="n">
        <v>0.1</v>
      </c>
      <c r="F15" s="17" t="n">
        <v>12.9</v>
      </c>
      <c r="G15" s="17" t="n">
        <v>0</v>
      </c>
    </row>
    <row r="16">
      <c r="A16" s="16" t="n">
        <v>46156.53819444445</v>
      </c>
      <c r="B16" s="5" t="n">
        <v>900</v>
      </c>
      <c r="C16" s="17" t="n">
        <v>13</v>
      </c>
      <c r="D16" s="17" t="n">
        <v>12.8</v>
      </c>
      <c r="E16" s="25" t="n">
        <v>0.1</v>
      </c>
      <c r="F16" s="17" t="n">
        <v>12.9</v>
      </c>
      <c r="G16" s="17" t="n">
        <v>0</v>
      </c>
    </row>
    <row r="17">
      <c r="A17" s="16" t="n">
        <v>46156.54166666666</v>
      </c>
      <c r="B17" s="5" t="n">
        <v>900</v>
      </c>
      <c r="C17" s="17" t="n">
        <v>13</v>
      </c>
      <c r="D17" s="17" t="n">
        <v>12.8</v>
      </c>
      <c r="E17" s="25" t="n">
        <v>0.1</v>
      </c>
      <c r="F17" s="17" t="n">
        <v>12.9</v>
      </c>
      <c r="G17" s="17" t="n">
        <v>0</v>
      </c>
    </row>
    <row r="18">
      <c r="A18" s="16" t="n">
        <v>46156.54513888889</v>
      </c>
      <c r="B18" s="5" t="n">
        <v>900</v>
      </c>
      <c r="C18" s="17" t="n">
        <v>13</v>
      </c>
      <c r="D18" s="17" t="n">
        <v>12.8</v>
      </c>
      <c r="E18" s="25" t="n">
        <v>0.1</v>
      </c>
      <c r="F18" s="17" t="n">
        <v>12.9</v>
      </c>
      <c r="G18" s="17" t="n">
        <v>0</v>
      </c>
    </row>
    <row r="19">
      <c r="A19" s="16" t="n">
        <v>46156.54861111111</v>
      </c>
      <c r="B19" s="5" t="n">
        <v>900</v>
      </c>
      <c r="C19" s="17" t="n">
        <v>13</v>
      </c>
      <c r="D19" s="17" t="n">
        <v>12.8</v>
      </c>
      <c r="E19" s="25" t="n">
        <v>0.1</v>
      </c>
      <c r="F19" s="17" t="n">
        <v>12.9</v>
      </c>
      <c r="G19" s="17" t="n">
        <v>0</v>
      </c>
    </row>
    <row r="20">
      <c r="A20" s="16" t="n">
        <v>46156.55208333334</v>
      </c>
      <c r="B20" s="5" t="n">
        <v>900</v>
      </c>
      <c r="C20" s="17" t="n">
        <v>13</v>
      </c>
      <c r="D20" s="17" t="n">
        <v>12.8</v>
      </c>
      <c r="E20" s="25" t="n">
        <v>0.1</v>
      </c>
      <c r="F20" s="17" t="n">
        <v>12.9</v>
      </c>
      <c r="G20" s="17" t="n">
        <v>0</v>
      </c>
    </row>
    <row r="21">
      <c r="A21" s="16" t="n">
        <v>46156.55555555555</v>
      </c>
      <c r="B21" s="5" t="n">
        <v>900</v>
      </c>
      <c r="C21" s="17" t="n">
        <v>13</v>
      </c>
      <c r="D21" s="17" t="n">
        <v>12.8</v>
      </c>
      <c r="E21" s="25" t="n">
        <v>0.1</v>
      </c>
      <c r="F21" s="17" t="n">
        <v>12.9</v>
      </c>
      <c r="G21" s="17" t="n">
        <v>0</v>
      </c>
    </row>
    <row r="22">
      <c r="A22" s="16" t="n">
        <v>46156.55902777778</v>
      </c>
      <c r="B22" s="5" t="n">
        <v>900</v>
      </c>
      <c r="C22" s="17" t="n">
        <v>13</v>
      </c>
      <c r="D22" s="17" t="n">
        <v>12.8</v>
      </c>
      <c r="E22" s="25" t="n">
        <v>0.1</v>
      </c>
      <c r="F22" s="17" t="n">
        <v>12.9</v>
      </c>
      <c r="G22" s="17" t="n">
        <v>0</v>
      </c>
    </row>
    <row r="23">
      <c r="A23" s="16" t="n">
        <v>46156.5625</v>
      </c>
      <c r="B23" s="5" t="n">
        <v>900</v>
      </c>
      <c r="C23" s="17" t="n">
        <v>13</v>
      </c>
      <c r="D23" s="17" t="n">
        <v>12.8</v>
      </c>
      <c r="E23" s="25" t="n">
        <v>0.1</v>
      </c>
      <c r="F23" s="17" t="n">
        <v>12.9</v>
      </c>
      <c r="G23" s="17" t="n">
        <v>0</v>
      </c>
    </row>
    <row r="24">
      <c r="A24" s="16" t="n">
        <v>46156.56597222222</v>
      </c>
      <c r="B24" s="5" t="n">
        <v>900</v>
      </c>
      <c r="C24" s="17" t="n">
        <v>13</v>
      </c>
      <c r="D24" s="17" t="n">
        <v>12.8</v>
      </c>
      <c r="E24" s="25" t="n">
        <v>0.1</v>
      </c>
      <c r="F24" s="17" t="n">
        <v>12.9</v>
      </c>
      <c r="G24" s="17" t="n">
        <v>0</v>
      </c>
    </row>
    <row r="25">
      <c r="A25" s="16" t="n">
        <v>46156.56944444445</v>
      </c>
      <c r="B25" s="5" t="n">
        <v>900</v>
      </c>
      <c r="C25" s="17" t="n">
        <v>13</v>
      </c>
      <c r="D25" s="17" t="n">
        <v>12.8</v>
      </c>
      <c r="E25" s="25" t="n">
        <v>0.1</v>
      </c>
      <c r="F25" s="17" t="n">
        <v>12.9</v>
      </c>
      <c r="G25" s="17" t="n">
        <v>0</v>
      </c>
    </row>
    <row r="26">
      <c r="A26" s="16" t="n">
        <v>46156.57291666666</v>
      </c>
      <c r="B26" s="5" t="n">
        <v>900</v>
      </c>
      <c r="C26" s="17" t="n">
        <v>13</v>
      </c>
      <c r="D26" s="17" t="n">
        <v>12.8</v>
      </c>
      <c r="E26" s="25" t="n">
        <v>0.1</v>
      </c>
      <c r="F26" s="17" t="n">
        <v>12.9</v>
      </c>
      <c r="G26" s="17" t="n">
        <v>0</v>
      </c>
    </row>
    <row r="27">
      <c r="A27" s="16" t="n">
        <v>46156.57638888889</v>
      </c>
      <c r="B27" s="5" t="n">
        <v>900</v>
      </c>
      <c r="C27" s="17" t="n">
        <v>13</v>
      </c>
      <c r="D27" s="17" t="n">
        <v>12.8</v>
      </c>
      <c r="E27" s="25" t="n">
        <v>0.1</v>
      </c>
      <c r="F27" s="17" t="n">
        <v>12.9</v>
      </c>
      <c r="G27" s="17" t="n">
        <v>0</v>
      </c>
    </row>
    <row r="28">
      <c r="A28" s="16" t="n">
        <v>46156.57986111111</v>
      </c>
      <c r="B28" s="5" t="n">
        <v>900</v>
      </c>
      <c r="C28" s="17" t="n">
        <v>13</v>
      </c>
      <c r="D28" s="17" t="n">
        <v>12.8</v>
      </c>
      <c r="E28" s="25" t="n">
        <v>0.1</v>
      </c>
      <c r="F28" s="17" t="n">
        <v>12.9</v>
      </c>
      <c r="G28" s="17" t="n">
        <v>0</v>
      </c>
    </row>
    <row r="29">
      <c r="A29" s="16" t="n">
        <v>46156.75694444445</v>
      </c>
      <c r="B29" s="5" t="n">
        <v>120</v>
      </c>
      <c r="C29" s="17" t="n">
        <v>0</v>
      </c>
      <c r="D29" s="17" t="n">
        <v>0</v>
      </c>
      <c r="E29" s="25" t="n">
        <v>0</v>
      </c>
      <c r="F29" s="17" t="n">
        <v>0</v>
      </c>
      <c r="G29" s="17" t="n">
        <v>0</v>
      </c>
    </row>
    <row r="30">
      <c r="A30" s="16" t="n">
        <v>46156.76388888889</v>
      </c>
      <c r="B30" s="5" t="n">
        <v>120</v>
      </c>
      <c r="C30" s="17" t="n">
        <v>0</v>
      </c>
      <c r="D30" s="17" t="n">
        <v>0</v>
      </c>
      <c r="E30" s="25" t="n">
        <v>0</v>
      </c>
      <c r="F30" s="17" t="n">
        <v>0</v>
      </c>
      <c r="G30" s="17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cols>
    <col width="19" customWidth="1" min="1" max="1"/>
  </cols>
  <sheetData>
    <row r="1">
      <c r="A1" s="23" t="inlineStr">
        <is>
          <t>Helpers_OC — jembatan open_circuit.py (per-row mekanik)</t>
        </is>
      </c>
    </row>
    <row r="2">
      <c r="A2" s="24" t="inlineStr">
        <is>
          <t>I_q95 = PERCENTILE(arus PV1..PV5 baris itu, 0.95) ≡ quantile(0.95,axis=1). ratio = I/MAX(I_q95,0.01). qualifying = (ratio&lt;thr) DAN daylight.</t>
        </is>
      </c>
    </row>
    <row r="3">
      <c r="A3" s="24" t="inlineStr">
        <is>
          <t>consec = running counter qualifying konsekutif (reset saat gagal). emit &lt;=&gt; MAX(consec) ≥ debounce. Production juga AND solar_elev&gt;5° &amp; inverter-shutdown (ephemeris, tak direplika statis).</t>
        </is>
      </c>
    </row>
    <row r="4">
      <c r="A4" s="10" t="inlineStr">
        <is>
          <t>Start Time</t>
        </is>
      </c>
      <c r="B4" s="10" t="inlineStr">
        <is>
          <t>POA</t>
        </is>
      </c>
      <c r="C4" s="10" t="inlineStr">
        <is>
          <t>daylight</t>
        </is>
      </c>
      <c r="D4" s="10" t="inlineStr">
        <is>
          <t>I_q95</t>
        </is>
      </c>
      <c r="E4" s="10" t="inlineStr">
        <is>
          <t>ratio PV1</t>
        </is>
      </c>
      <c r="F4" s="10" t="inlineStr">
        <is>
          <t>ratio PV2</t>
        </is>
      </c>
      <c r="G4" s="10" t="inlineStr">
        <is>
          <t>ratio PV3</t>
        </is>
      </c>
      <c r="H4" s="10" t="inlineStr">
        <is>
          <t>ratio PV4</t>
        </is>
      </c>
      <c r="I4" s="10" t="inlineStr">
        <is>
          <t>ratio PV5</t>
        </is>
      </c>
      <c r="J4" s="10" t="inlineStr">
        <is>
          <t>qual PV1</t>
        </is>
      </c>
      <c r="K4" s="10" t="inlineStr">
        <is>
          <t>qual PV2</t>
        </is>
      </c>
      <c r="L4" s="10" t="inlineStr">
        <is>
          <t>qual PV3</t>
        </is>
      </c>
      <c r="M4" s="10" t="inlineStr">
        <is>
          <t>qual PV4</t>
        </is>
      </c>
      <c r="N4" s="10" t="inlineStr">
        <is>
          <t>qual PV5</t>
        </is>
      </c>
      <c r="O4" s="10" t="inlineStr">
        <is>
          <t>consec PV1</t>
        </is>
      </c>
      <c r="P4" s="10" t="inlineStr">
        <is>
          <t>consec PV2</t>
        </is>
      </c>
      <c r="Q4" s="10" t="inlineStr">
        <is>
          <t>consec PV3</t>
        </is>
      </c>
      <c r="R4" s="10" t="inlineStr">
        <is>
          <t>consec PV4</t>
        </is>
      </c>
      <c r="S4" s="10" t="inlineStr">
        <is>
          <t>consec PV5</t>
        </is>
      </c>
    </row>
    <row r="5">
      <c r="A5" s="16">
        <f>Raw_Data_OC!A5</f>
        <v/>
      </c>
      <c r="B5" s="27">
        <f>Raw_Data_OC!B5</f>
        <v/>
      </c>
      <c r="C5" s="5">
        <f>IF(AND(B5&gt;cfg_oc_poa_threshold_wm2,B5&gt;cfg_oc_poa_floor_wm2),1,0)</f>
        <v/>
      </c>
      <c r="D5" s="17">
        <f>PERCENTILE(Raw_Data_OC!C5:G5,0.95)</f>
        <v/>
      </c>
      <c r="E5" s="31">
        <f>Raw_Data_OC!C5/MAX($D5,cfg_oc_iq95_clip)</f>
        <v/>
      </c>
      <c r="F5" s="31">
        <f>Raw_Data_OC!D5/MAX($D5,cfg_oc_iq95_clip)</f>
        <v/>
      </c>
      <c r="G5" s="31">
        <f>Raw_Data_OC!E5/MAX($D5,cfg_oc_iq95_clip)</f>
        <v/>
      </c>
      <c r="H5" s="31">
        <f>Raw_Data_OC!F5/MAX($D5,cfg_oc_iq95_clip)</f>
        <v/>
      </c>
      <c r="I5" s="31">
        <f>Raw_Data_OC!G5/MAX($D5,cfg_oc_iq95_clip)</f>
        <v/>
      </c>
      <c r="J5" s="5">
        <f>IF(AND(E5&lt;cfg_oc_i_ratio_threshold,$C5=1),1,0)</f>
        <v/>
      </c>
      <c r="K5" s="5">
        <f>IF(AND(F5&lt;cfg_oc_i_ratio_threshold,$C5=1),1,0)</f>
        <v/>
      </c>
      <c r="L5" s="5">
        <f>IF(AND(G5&lt;cfg_oc_i_ratio_threshold,$C5=1),1,0)</f>
        <v/>
      </c>
      <c r="M5" s="5">
        <f>IF(AND(H5&lt;cfg_oc_i_ratio_threshold,$C5=1),1,0)</f>
        <v/>
      </c>
      <c r="N5" s="5">
        <f>IF(AND(I5&lt;cfg_oc_i_ratio_threshold,$C5=1),1,0)</f>
        <v/>
      </c>
      <c r="O5" s="5">
        <f>J5</f>
        <v/>
      </c>
      <c r="P5" s="5">
        <f>K5</f>
        <v/>
      </c>
      <c r="Q5" s="5">
        <f>L5</f>
        <v/>
      </c>
      <c r="R5" s="5">
        <f>M5</f>
        <v/>
      </c>
      <c r="S5" s="5">
        <f>N5</f>
        <v/>
      </c>
    </row>
    <row r="6">
      <c r="A6" s="16">
        <f>Raw_Data_OC!A6</f>
        <v/>
      </c>
      <c r="B6" s="27">
        <f>Raw_Data_OC!B6</f>
        <v/>
      </c>
      <c r="C6" s="5">
        <f>IF(AND(B6&gt;cfg_oc_poa_threshold_wm2,B6&gt;cfg_oc_poa_floor_wm2),1,0)</f>
        <v/>
      </c>
      <c r="D6" s="17">
        <f>PERCENTILE(Raw_Data_OC!C6:G6,0.95)</f>
        <v/>
      </c>
      <c r="E6" s="31">
        <f>Raw_Data_OC!C6/MAX($D6,cfg_oc_iq95_clip)</f>
        <v/>
      </c>
      <c r="F6" s="31">
        <f>Raw_Data_OC!D6/MAX($D6,cfg_oc_iq95_clip)</f>
        <v/>
      </c>
      <c r="G6" s="31">
        <f>Raw_Data_OC!E6/MAX($D6,cfg_oc_iq95_clip)</f>
        <v/>
      </c>
      <c r="H6" s="31">
        <f>Raw_Data_OC!F6/MAX($D6,cfg_oc_iq95_clip)</f>
        <v/>
      </c>
      <c r="I6" s="31">
        <f>Raw_Data_OC!G6/MAX($D6,cfg_oc_iq95_clip)</f>
        <v/>
      </c>
      <c r="J6" s="5">
        <f>IF(AND(E6&lt;cfg_oc_i_ratio_threshold,$C6=1),1,0)</f>
        <v/>
      </c>
      <c r="K6" s="5">
        <f>IF(AND(F6&lt;cfg_oc_i_ratio_threshold,$C6=1),1,0)</f>
        <v/>
      </c>
      <c r="L6" s="5">
        <f>IF(AND(G6&lt;cfg_oc_i_ratio_threshold,$C6=1),1,0)</f>
        <v/>
      </c>
      <c r="M6" s="5">
        <f>IF(AND(H6&lt;cfg_oc_i_ratio_threshold,$C6=1),1,0)</f>
        <v/>
      </c>
      <c r="N6" s="5">
        <f>IF(AND(I6&lt;cfg_oc_i_ratio_threshold,$C6=1),1,0)</f>
        <v/>
      </c>
      <c r="O6" s="5">
        <f>IF(J6=1,O5+1,0)</f>
        <v/>
      </c>
      <c r="P6" s="5">
        <f>IF(K6=1,P5+1,0)</f>
        <v/>
      </c>
      <c r="Q6" s="5">
        <f>IF(L6=1,Q5+1,0)</f>
        <v/>
      </c>
      <c r="R6" s="5">
        <f>IF(M6=1,R5+1,0)</f>
        <v/>
      </c>
      <c r="S6" s="5">
        <f>IF(N6=1,S5+1,0)</f>
        <v/>
      </c>
    </row>
    <row r="7">
      <c r="A7" s="16">
        <f>Raw_Data_OC!A7</f>
        <v/>
      </c>
      <c r="B7" s="27">
        <f>Raw_Data_OC!B7</f>
        <v/>
      </c>
      <c r="C7" s="5">
        <f>IF(AND(B7&gt;cfg_oc_poa_threshold_wm2,B7&gt;cfg_oc_poa_floor_wm2),1,0)</f>
        <v/>
      </c>
      <c r="D7" s="17">
        <f>PERCENTILE(Raw_Data_OC!C7:G7,0.95)</f>
        <v/>
      </c>
      <c r="E7" s="31">
        <f>Raw_Data_OC!C7/MAX($D7,cfg_oc_iq95_clip)</f>
        <v/>
      </c>
      <c r="F7" s="31">
        <f>Raw_Data_OC!D7/MAX($D7,cfg_oc_iq95_clip)</f>
        <v/>
      </c>
      <c r="G7" s="31">
        <f>Raw_Data_OC!E7/MAX($D7,cfg_oc_iq95_clip)</f>
        <v/>
      </c>
      <c r="H7" s="31">
        <f>Raw_Data_OC!F7/MAX($D7,cfg_oc_iq95_clip)</f>
        <v/>
      </c>
      <c r="I7" s="31">
        <f>Raw_Data_OC!G7/MAX($D7,cfg_oc_iq95_clip)</f>
        <v/>
      </c>
      <c r="J7" s="5">
        <f>IF(AND(E7&lt;cfg_oc_i_ratio_threshold,$C7=1),1,0)</f>
        <v/>
      </c>
      <c r="K7" s="5">
        <f>IF(AND(F7&lt;cfg_oc_i_ratio_threshold,$C7=1),1,0)</f>
        <v/>
      </c>
      <c r="L7" s="5">
        <f>IF(AND(G7&lt;cfg_oc_i_ratio_threshold,$C7=1),1,0)</f>
        <v/>
      </c>
      <c r="M7" s="5">
        <f>IF(AND(H7&lt;cfg_oc_i_ratio_threshold,$C7=1),1,0)</f>
        <v/>
      </c>
      <c r="N7" s="5">
        <f>IF(AND(I7&lt;cfg_oc_i_ratio_threshold,$C7=1),1,0)</f>
        <v/>
      </c>
      <c r="O7" s="5">
        <f>IF(J7=1,O6+1,0)</f>
        <v/>
      </c>
      <c r="P7" s="5">
        <f>IF(K7=1,P6+1,0)</f>
        <v/>
      </c>
      <c r="Q7" s="5">
        <f>IF(L7=1,Q6+1,0)</f>
        <v/>
      </c>
      <c r="R7" s="5">
        <f>IF(M7=1,R6+1,0)</f>
        <v/>
      </c>
      <c r="S7" s="5">
        <f>IF(N7=1,S6+1,0)</f>
        <v/>
      </c>
    </row>
    <row r="8">
      <c r="A8" s="16">
        <f>Raw_Data_OC!A8</f>
        <v/>
      </c>
      <c r="B8" s="27">
        <f>Raw_Data_OC!B8</f>
        <v/>
      </c>
      <c r="C8" s="5">
        <f>IF(AND(B8&gt;cfg_oc_poa_threshold_wm2,B8&gt;cfg_oc_poa_floor_wm2),1,0)</f>
        <v/>
      </c>
      <c r="D8" s="17">
        <f>PERCENTILE(Raw_Data_OC!C8:G8,0.95)</f>
        <v/>
      </c>
      <c r="E8" s="31">
        <f>Raw_Data_OC!C8/MAX($D8,cfg_oc_iq95_clip)</f>
        <v/>
      </c>
      <c r="F8" s="31">
        <f>Raw_Data_OC!D8/MAX($D8,cfg_oc_iq95_clip)</f>
        <v/>
      </c>
      <c r="G8" s="31">
        <f>Raw_Data_OC!E8/MAX($D8,cfg_oc_iq95_clip)</f>
        <v/>
      </c>
      <c r="H8" s="31">
        <f>Raw_Data_OC!F8/MAX($D8,cfg_oc_iq95_clip)</f>
        <v/>
      </c>
      <c r="I8" s="31">
        <f>Raw_Data_OC!G8/MAX($D8,cfg_oc_iq95_clip)</f>
        <v/>
      </c>
      <c r="J8" s="5">
        <f>IF(AND(E8&lt;cfg_oc_i_ratio_threshold,$C8=1),1,0)</f>
        <v/>
      </c>
      <c r="K8" s="5">
        <f>IF(AND(F8&lt;cfg_oc_i_ratio_threshold,$C8=1),1,0)</f>
        <v/>
      </c>
      <c r="L8" s="5">
        <f>IF(AND(G8&lt;cfg_oc_i_ratio_threshold,$C8=1),1,0)</f>
        <v/>
      </c>
      <c r="M8" s="5">
        <f>IF(AND(H8&lt;cfg_oc_i_ratio_threshold,$C8=1),1,0)</f>
        <v/>
      </c>
      <c r="N8" s="5">
        <f>IF(AND(I8&lt;cfg_oc_i_ratio_threshold,$C8=1),1,0)</f>
        <v/>
      </c>
      <c r="O8" s="5">
        <f>IF(J8=1,O7+1,0)</f>
        <v/>
      </c>
      <c r="P8" s="5">
        <f>IF(K8=1,P7+1,0)</f>
        <v/>
      </c>
      <c r="Q8" s="5">
        <f>IF(L8=1,Q7+1,0)</f>
        <v/>
      </c>
      <c r="R8" s="5">
        <f>IF(M8=1,R7+1,0)</f>
        <v/>
      </c>
      <c r="S8" s="5">
        <f>IF(N8=1,S7+1,0)</f>
        <v/>
      </c>
    </row>
    <row r="9">
      <c r="A9" s="16">
        <f>Raw_Data_OC!A9</f>
        <v/>
      </c>
      <c r="B9" s="27">
        <f>Raw_Data_OC!B9</f>
        <v/>
      </c>
      <c r="C9" s="5">
        <f>IF(AND(B9&gt;cfg_oc_poa_threshold_wm2,B9&gt;cfg_oc_poa_floor_wm2),1,0)</f>
        <v/>
      </c>
      <c r="D9" s="17">
        <f>PERCENTILE(Raw_Data_OC!C9:G9,0.95)</f>
        <v/>
      </c>
      <c r="E9" s="31">
        <f>Raw_Data_OC!C9/MAX($D9,cfg_oc_iq95_clip)</f>
        <v/>
      </c>
      <c r="F9" s="31">
        <f>Raw_Data_OC!D9/MAX($D9,cfg_oc_iq95_clip)</f>
        <v/>
      </c>
      <c r="G9" s="31">
        <f>Raw_Data_OC!E9/MAX($D9,cfg_oc_iq95_clip)</f>
        <v/>
      </c>
      <c r="H9" s="31">
        <f>Raw_Data_OC!F9/MAX($D9,cfg_oc_iq95_clip)</f>
        <v/>
      </c>
      <c r="I9" s="31">
        <f>Raw_Data_OC!G9/MAX($D9,cfg_oc_iq95_clip)</f>
        <v/>
      </c>
      <c r="J9" s="5">
        <f>IF(AND(E9&lt;cfg_oc_i_ratio_threshold,$C9=1),1,0)</f>
        <v/>
      </c>
      <c r="K9" s="5">
        <f>IF(AND(F9&lt;cfg_oc_i_ratio_threshold,$C9=1),1,0)</f>
        <v/>
      </c>
      <c r="L9" s="5">
        <f>IF(AND(G9&lt;cfg_oc_i_ratio_threshold,$C9=1),1,0)</f>
        <v/>
      </c>
      <c r="M9" s="5">
        <f>IF(AND(H9&lt;cfg_oc_i_ratio_threshold,$C9=1),1,0)</f>
        <v/>
      </c>
      <c r="N9" s="5">
        <f>IF(AND(I9&lt;cfg_oc_i_ratio_threshold,$C9=1),1,0)</f>
        <v/>
      </c>
      <c r="O9" s="5">
        <f>IF(J9=1,O8+1,0)</f>
        <v/>
      </c>
      <c r="P9" s="5">
        <f>IF(K9=1,P8+1,0)</f>
        <v/>
      </c>
      <c r="Q9" s="5">
        <f>IF(L9=1,Q8+1,0)</f>
        <v/>
      </c>
      <c r="R9" s="5">
        <f>IF(M9=1,R8+1,0)</f>
        <v/>
      </c>
      <c r="S9" s="5">
        <f>IF(N9=1,S8+1,0)</f>
        <v/>
      </c>
    </row>
    <row r="10">
      <c r="A10" s="16">
        <f>Raw_Data_OC!A10</f>
        <v/>
      </c>
      <c r="B10" s="27">
        <f>Raw_Data_OC!B10</f>
        <v/>
      </c>
      <c r="C10" s="5">
        <f>IF(AND(B10&gt;cfg_oc_poa_threshold_wm2,B10&gt;cfg_oc_poa_floor_wm2),1,0)</f>
        <v/>
      </c>
      <c r="D10" s="17">
        <f>PERCENTILE(Raw_Data_OC!C10:G10,0.95)</f>
        <v/>
      </c>
      <c r="E10" s="31">
        <f>Raw_Data_OC!C10/MAX($D10,cfg_oc_iq95_clip)</f>
        <v/>
      </c>
      <c r="F10" s="31">
        <f>Raw_Data_OC!D10/MAX($D10,cfg_oc_iq95_clip)</f>
        <v/>
      </c>
      <c r="G10" s="31">
        <f>Raw_Data_OC!E10/MAX($D10,cfg_oc_iq95_clip)</f>
        <v/>
      </c>
      <c r="H10" s="31">
        <f>Raw_Data_OC!F10/MAX($D10,cfg_oc_iq95_clip)</f>
        <v/>
      </c>
      <c r="I10" s="31">
        <f>Raw_Data_OC!G10/MAX($D10,cfg_oc_iq95_clip)</f>
        <v/>
      </c>
      <c r="J10" s="5">
        <f>IF(AND(E10&lt;cfg_oc_i_ratio_threshold,$C10=1),1,0)</f>
        <v/>
      </c>
      <c r="K10" s="5">
        <f>IF(AND(F10&lt;cfg_oc_i_ratio_threshold,$C10=1),1,0)</f>
        <v/>
      </c>
      <c r="L10" s="5">
        <f>IF(AND(G10&lt;cfg_oc_i_ratio_threshold,$C10=1),1,0)</f>
        <v/>
      </c>
      <c r="M10" s="5">
        <f>IF(AND(H10&lt;cfg_oc_i_ratio_threshold,$C10=1),1,0)</f>
        <v/>
      </c>
      <c r="N10" s="5">
        <f>IF(AND(I10&lt;cfg_oc_i_ratio_threshold,$C10=1),1,0)</f>
        <v/>
      </c>
      <c r="O10" s="5">
        <f>IF(J10=1,O9+1,0)</f>
        <v/>
      </c>
      <c r="P10" s="5">
        <f>IF(K10=1,P9+1,0)</f>
        <v/>
      </c>
      <c r="Q10" s="5">
        <f>IF(L10=1,Q9+1,0)</f>
        <v/>
      </c>
      <c r="R10" s="5">
        <f>IF(M10=1,R9+1,0)</f>
        <v/>
      </c>
      <c r="S10" s="5">
        <f>IF(N10=1,S9+1,0)</f>
        <v/>
      </c>
    </row>
    <row r="11">
      <c r="A11" s="16">
        <f>Raw_Data_OC!A11</f>
        <v/>
      </c>
      <c r="B11" s="27">
        <f>Raw_Data_OC!B11</f>
        <v/>
      </c>
      <c r="C11" s="5">
        <f>IF(AND(B11&gt;cfg_oc_poa_threshold_wm2,B11&gt;cfg_oc_poa_floor_wm2),1,0)</f>
        <v/>
      </c>
      <c r="D11" s="17">
        <f>PERCENTILE(Raw_Data_OC!C11:G11,0.95)</f>
        <v/>
      </c>
      <c r="E11" s="31">
        <f>Raw_Data_OC!C11/MAX($D11,cfg_oc_iq95_clip)</f>
        <v/>
      </c>
      <c r="F11" s="31">
        <f>Raw_Data_OC!D11/MAX($D11,cfg_oc_iq95_clip)</f>
        <v/>
      </c>
      <c r="G11" s="31">
        <f>Raw_Data_OC!E11/MAX($D11,cfg_oc_iq95_clip)</f>
        <v/>
      </c>
      <c r="H11" s="31">
        <f>Raw_Data_OC!F11/MAX($D11,cfg_oc_iq95_clip)</f>
        <v/>
      </c>
      <c r="I11" s="31">
        <f>Raw_Data_OC!G11/MAX($D11,cfg_oc_iq95_clip)</f>
        <v/>
      </c>
      <c r="J11" s="5">
        <f>IF(AND(E11&lt;cfg_oc_i_ratio_threshold,$C11=1),1,0)</f>
        <v/>
      </c>
      <c r="K11" s="5">
        <f>IF(AND(F11&lt;cfg_oc_i_ratio_threshold,$C11=1),1,0)</f>
        <v/>
      </c>
      <c r="L11" s="5">
        <f>IF(AND(G11&lt;cfg_oc_i_ratio_threshold,$C11=1),1,0)</f>
        <v/>
      </c>
      <c r="M11" s="5">
        <f>IF(AND(H11&lt;cfg_oc_i_ratio_threshold,$C11=1),1,0)</f>
        <v/>
      </c>
      <c r="N11" s="5">
        <f>IF(AND(I11&lt;cfg_oc_i_ratio_threshold,$C11=1),1,0)</f>
        <v/>
      </c>
      <c r="O11" s="5">
        <f>IF(J11=1,O10+1,0)</f>
        <v/>
      </c>
      <c r="P11" s="5">
        <f>IF(K11=1,P10+1,0)</f>
        <v/>
      </c>
      <c r="Q11" s="5">
        <f>IF(L11=1,Q10+1,0)</f>
        <v/>
      </c>
      <c r="R11" s="5">
        <f>IF(M11=1,R10+1,0)</f>
        <v/>
      </c>
      <c r="S11" s="5">
        <f>IF(N11=1,S10+1,0)</f>
        <v/>
      </c>
    </row>
    <row r="12">
      <c r="A12" s="16">
        <f>Raw_Data_OC!A12</f>
        <v/>
      </c>
      <c r="B12" s="27">
        <f>Raw_Data_OC!B12</f>
        <v/>
      </c>
      <c r="C12" s="5">
        <f>IF(AND(B12&gt;cfg_oc_poa_threshold_wm2,B12&gt;cfg_oc_poa_floor_wm2),1,0)</f>
        <v/>
      </c>
      <c r="D12" s="17">
        <f>PERCENTILE(Raw_Data_OC!C12:G12,0.95)</f>
        <v/>
      </c>
      <c r="E12" s="31">
        <f>Raw_Data_OC!C12/MAX($D12,cfg_oc_iq95_clip)</f>
        <v/>
      </c>
      <c r="F12" s="31">
        <f>Raw_Data_OC!D12/MAX($D12,cfg_oc_iq95_clip)</f>
        <v/>
      </c>
      <c r="G12" s="31">
        <f>Raw_Data_OC!E12/MAX($D12,cfg_oc_iq95_clip)</f>
        <v/>
      </c>
      <c r="H12" s="31">
        <f>Raw_Data_OC!F12/MAX($D12,cfg_oc_iq95_clip)</f>
        <v/>
      </c>
      <c r="I12" s="31">
        <f>Raw_Data_OC!G12/MAX($D12,cfg_oc_iq95_clip)</f>
        <v/>
      </c>
      <c r="J12" s="5">
        <f>IF(AND(E12&lt;cfg_oc_i_ratio_threshold,$C12=1),1,0)</f>
        <v/>
      </c>
      <c r="K12" s="5">
        <f>IF(AND(F12&lt;cfg_oc_i_ratio_threshold,$C12=1),1,0)</f>
        <v/>
      </c>
      <c r="L12" s="5">
        <f>IF(AND(G12&lt;cfg_oc_i_ratio_threshold,$C12=1),1,0)</f>
        <v/>
      </c>
      <c r="M12" s="5">
        <f>IF(AND(H12&lt;cfg_oc_i_ratio_threshold,$C12=1),1,0)</f>
        <v/>
      </c>
      <c r="N12" s="5">
        <f>IF(AND(I12&lt;cfg_oc_i_ratio_threshold,$C12=1),1,0)</f>
        <v/>
      </c>
      <c r="O12" s="5">
        <f>IF(J12=1,O11+1,0)</f>
        <v/>
      </c>
      <c r="P12" s="5">
        <f>IF(K12=1,P11+1,0)</f>
        <v/>
      </c>
      <c r="Q12" s="5">
        <f>IF(L12=1,Q11+1,0)</f>
        <v/>
      </c>
      <c r="R12" s="5">
        <f>IF(M12=1,R11+1,0)</f>
        <v/>
      </c>
      <c r="S12" s="5">
        <f>IF(N12=1,S11+1,0)</f>
        <v/>
      </c>
    </row>
    <row r="13">
      <c r="A13" s="16">
        <f>Raw_Data_OC!A13</f>
        <v/>
      </c>
      <c r="B13" s="27">
        <f>Raw_Data_OC!B13</f>
        <v/>
      </c>
      <c r="C13" s="5">
        <f>IF(AND(B13&gt;cfg_oc_poa_threshold_wm2,B13&gt;cfg_oc_poa_floor_wm2),1,0)</f>
        <v/>
      </c>
      <c r="D13" s="17">
        <f>PERCENTILE(Raw_Data_OC!C13:G13,0.95)</f>
        <v/>
      </c>
      <c r="E13" s="31">
        <f>Raw_Data_OC!C13/MAX($D13,cfg_oc_iq95_clip)</f>
        <v/>
      </c>
      <c r="F13" s="31">
        <f>Raw_Data_OC!D13/MAX($D13,cfg_oc_iq95_clip)</f>
        <v/>
      </c>
      <c r="G13" s="31">
        <f>Raw_Data_OC!E13/MAX($D13,cfg_oc_iq95_clip)</f>
        <v/>
      </c>
      <c r="H13" s="31">
        <f>Raw_Data_OC!F13/MAX($D13,cfg_oc_iq95_clip)</f>
        <v/>
      </c>
      <c r="I13" s="31">
        <f>Raw_Data_OC!G13/MAX($D13,cfg_oc_iq95_clip)</f>
        <v/>
      </c>
      <c r="J13" s="5">
        <f>IF(AND(E13&lt;cfg_oc_i_ratio_threshold,$C13=1),1,0)</f>
        <v/>
      </c>
      <c r="K13" s="5">
        <f>IF(AND(F13&lt;cfg_oc_i_ratio_threshold,$C13=1),1,0)</f>
        <v/>
      </c>
      <c r="L13" s="5">
        <f>IF(AND(G13&lt;cfg_oc_i_ratio_threshold,$C13=1),1,0)</f>
        <v/>
      </c>
      <c r="M13" s="5">
        <f>IF(AND(H13&lt;cfg_oc_i_ratio_threshold,$C13=1),1,0)</f>
        <v/>
      </c>
      <c r="N13" s="5">
        <f>IF(AND(I13&lt;cfg_oc_i_ratio_threshold,$C13=1),1,0)</f>
        <v/>
      </c>
      <c r="O13" s="5">
        <f>IF(J13=1,O12+1,0)</f>
        <v/>
      </c>
      <c r="P13" s="5">
        <f>IF(K13=1,P12+1,0)</f>
        <v/>
      </c>
      <c r="Q13" s="5">
        <f>IF(L13=1,Q12+1,0)</f>
        <v/>
      </c>
      <c r="R13" s="5">
        <f>IF(M13=1,R12+1,0)</f>
        <v/>
      </c>
      <c r="S13" s="5">
        <f>IF(N13=1,S12+1,0)</f>
        <v/>
      </c>
    </row>
    <row r="14">
      <c r="A14" s="16">
        <f>Raw_Data_OC!A14</f>
        <v/>
      </c>
      <c r="B14" s="27">
        <f>Raw_Data_OC!B14</f>
        <v/>
      </c>
      <c r="C14" s="5">
        <f>IF(AND(B14&gt;cfg_oc_poa_threshold_wm2,B14&gt;cfg_oc_poa_floor_wm2),1,0)</f>
        <v/>
      </c>
      <c r="D14" s="17">
        <f>PERCENTILE(Raw_Data_OC!C14:G14,0.95)</f>
        <v/>
      </c>
      <c r="E14" s="31">
        <f>Raw_Data_OC!C14/MAX($D14,cfg_oc_iq95_clip)</f>
        <v/>
      </c>
      <c r="F14" s="31">
        <f>Raw_Data_OC!D14/MAX($D14,cfg_oc_iq95_clip)</f>
        <v/>
      </c>
      <c r="G14" s="31">
        <f>Raw_Data_OC!E14/MAX($D14,cfg_oc_iq95_clip)</f>
        <v/>
      </c>
      <c r="H14" s="31">
        <f>Raw_Data_OC!F14/MAX($D14,cfg_oc_iq95_clip)</f>
        <v/>
      </c>
      <c r="I14" s="31">
        <f>Raw_Data_OC!G14/MAX($D14,cfg_oc_iq95_clip)</f>
        <v/>
      </c>
      <c r="J14" s="5">
        <f>IF(AND(E14&lt;cfg_oc_i_ratio_threshold,$C14=1),1,0)</f>
        <v/>
      </c>
      <c r="K14" s="5">
        <f>IF(AND(F14&lt;cfg_oc_i_ratio_threshold,$C14=1),1,0)</f>
        <v/>
      </c>
      <c r="L14" s="5">
        <f>IF(AND(G14&lt;cfg_oc_i_ratio_threshold,$C14=1),1,0)</f>
        <v/>
      </c>
      <c r="M14" s="5">
        <f>IF(AND(H14&lt;cfg_oc_i_ratio_threshold,$C14=1),1,0)</f>
        <v/>
      </c>
      <c r="N14" s="5">
        <f>IF(AND(I14&lt;cfg_oc_i_ratio_threshold,$C14=1),1,0)</f>
        <v/>
      </c>
      <c r="O14" s="5">
        <f>IF(J14=1,O13+1,0)</f>
        <v/>
      </c>
      <c r="P14" s="5">
        <f>IF(K14=1,P13+1,0)</f>
        <v/>
      </c>
      <c r="Q14" s="5">
        <f>IF(L14=1,Q13+1,0)</f>
        <v/>
      </c>
      <c r="R14" s="5">
        <f>IF(M14=1,R13+1,0)</f>
        <v/>
      </c>
      <c r="S14" s="5">
        <f>IF(N14=1,S13+1,0)</f>
        <v/>
      </c>
    </row>
    <row r="15">
      <c r="A15" s="16">
        <f>Raw_Data_OC!A15</f>
        <v/>
      </c>
      <c r="B15" s="27">
        <f>Raw_Data_OC!B15</f>
        <v/>
      </c>
      <c r="C15" s="5">
        <f>IF(AND(B15&gt;cfg_oc_poa_threshold_wm2,B15&gt;cfg_oc_poa_floor_wm2),1,0)</f>
        <v/>
      </c>
      <c r="D15" s="17">
        <f>PERCENTILE(Raw_Data_OC!C15:G15,0.95)</f>
        <v/>
      </c>
      <c r="E15" s="31">
        <f>Raw_Data_OC!C15/MAX($D15,cfg_oc_iq95_clip)</f>
        <v/>
      </c>
      <c r="F15" s="31">
        <f>Raw_Data_OC!D15/MAX($D15,cfg_oc_iq95_clip)</f>
        <v/>
      </c>
      <c r="G15" s="31">
        <f>Raw_Data_OC!E15/MAX($D15,cfg_oc_iq95_clip)</f>
        <v/>
      </c>
      <c r="H15" s="31">
        <f>Raw_Data_OC!F15/MAX($D15,cfg_oc_iq95_clip)</f>
        <v/>
      </c>
      <c r="I15" s="31">
        <f>Raw_Data_OC!G15/MAX($D15,cfg_oc_iq95_clip)</f>
        <v/>
      </c>
      <c r="J15" s="5">
        <f>IF(AND(E15&lt;cfg_oc_i_ratio_threshold,$C15=1),1,0)</f>
        <v/>
      </c>
      <c r="K15" s="5">
        <f>IF(AND(F15&lt;cfg_oc_i_ratio_threshold,$C15=1),1,0)</f>
        <v/>
      </c>
      <c r="L15" s="5">
        <f>IF(AND(G15&lt;cfg_oc_i_ratio_threshold,$C15=1),1,0)</f>
        <v/>
      </c>
      <c r="M15" s="5">
        <f>IF(AND(H15&lt;cfg_oc_i_ratio_threshold,$C15=1),1,0)</f>
        <v/>
      </c>
      <c r="N15" s="5">
        <f>IF(AND(I15&lt;cfg_oc_i_ratio_threshold,$C15=1),1,0)</f>
        <v/>
      </c>
      <c r="O15" s="5">
        <f>IF(J15=1,O14+1,0)</f>
        <v/>
      </c>
      <c r="P15" s="5">
        <f>IF(K15=1,P14+1,0)</f>
        <v/>
      </c>
      <c r="Q15" s="5">
        <f>IF(L15=1,Q14+1,0)</f>
        <v/>
      </c>
      <c r="R15" s="5">
        <f>IF(M15=1,R14+1,0)</f>
        <v/>
      </c>
      <c r="S15" s="5">
        <f>IF(N15=1,S14+1,0)</f>
        <v/>
      </c>
    </row>
    <row r="16">
      <c r="A16" s="16">
        <f>Raw_Data_OC!A16</f>
        <v/>
      </c>
      <c r="B16" s="27">
        <f>Raw_Data_OC!B16</f>
        <v/>
      </c>
      <c r="C16" s="5">
        <f>IF(AND(B16&gt;cfg_oc_poa_threshold_wm2,B16&gt;cfg_oc_poa_floor_wm2),1,0)</f>
        <v/>
      </c>
      <c r="D16" s="17">
        <f>PERCENTILE(Raw_Data_OC!C16:G16,0.95)</f>
        <v/>
      </c>
      <c r="E16" s="31">
        <f>Raw_Data_OC!C16/MAX($D16,cfg_oc_iq95_clip)</f>
        <v/>
      </c>
      <c r="F16" s="31">
        <f>Raw_Data_OC!D16/MAX($D16,cfg_oc_iq95_clip)</f>
        <v/>
      </c>
      <c r="G16" s="31">
        <f>Raw_Data_OC!E16/MAX($D16,cfg_oc_iq95_clip)</f>
        <v/>
      </c>
      <c r="H16" s="31">
        <f>Raw_Data_OC!F16/MAX($D16,cfg_oc_iq95_clip)</f>
        <v/>
      </c>
      <c r="I16" s="31">
        <f>Raw_Data_OC!G16/MAX($D16,cfg_oc_iq95_clip)</f>
        <v/>
      </c>
      <c r="J16" s="5">
        <f>IF(AND(E16&lt;cfg_oc_i_ratio_threshold,$C16=1),1,0)</f>
        <v/>
      </c>
      <c r="K16" s="5">
        <f>IF(AND(F16&lt;cfg_oc_i_ratio_threshold,$C16=1),1,0)</f>
        <v/>
      </c>
      <c r="L16" s="5">
        <f>IF(AND(G16&lt;cfg_oc_i_ratio_threshold,$C16=1),1,0)</f>
        <v/>
      </c>
      <c r="M16" s="5">
        <f>IF(AND(H16&lt;cfg_oc_i_ratio_threshold,$C16=1),1,0)</f>
        <v/>
      </c>
      <c r="N16" s="5">
        <f>IF(AND(I16&lt;cfg_oc_i_ratio_threshold,$C16=1),1,0)</f>
        <v/>
      </c>
      <c r="O16" s="5">
        <f>IF(J16=1,O15+1,0)</f>
        <v/>
      </c>
      <c r="P16" s="5">
        <f>IF(K16=1,P15+1,0)</f>
        <v/>
      </c>
      <c r="Q16" s="5">
        <f>IF(L16=1,Q15+1,0)</f>
        <v/>
      </c>
      <c r="R16" s="5">
        <f>IF(M16=1,R15+1,0)</f>
        <v/>
      </c>
      <c r="S16" s="5">
        <f>IF(N16=1,S15+1,0)</f>
        <v/>
      </c>
    </row>
    <row r="17">
      <c r="A17" s="16">
        <f>Raw_Data_OC!A17</f>
        <v/>
      </c>
      <c r="B17" s="27">
        <f>Raw_Data_OC!B17</f>
        <v/>
      </c>
      <c r="C17" s="5">
        <f>IF(AND(B17&gt;cfg_oc_poa_threshold_wm2,B17&gt;cfg_oc_poa_floor_wm2),1,0)</f>
        <v/>
      </c>
      <c r="D17" s="17">
        <f>PERCENTILE(Raw_Data_OC!C17:G17,0.95)</f>
        <v/>
      </c>
      <c r="E17" s="31">
        <f>Raw_Data_OC!C17/MAX($D17,cfg_oc_iq95_clip)</f>
        <v/>
      </c>
      <c r="F17" s="31">
        <f>Raw_Data_OC!D17/MAX($D17,cfg_oc_iq95_clip)</f>
        <v/>
      </c>
      <c r="G17" s="31">
        <f>Raw_Data_OC!E17/MAX($D17,cfg_oc_iq95_clip)</f>
        <v/>
      </c>
      <c r="H17" s="31">
        <f>Raw_Data_OC!F17/MAX($D17,cfg_oc_iq95_clip)</f>
        <v/>
      </c>
      <c r="I17" s="31">
        <f>Raw_Data_OC!G17/MAX($D17,cfg_oc_iq95_clip)</f>
        <v/>
      </c>
      <c r="J17" s="5">
        <f>IF(AND(E17&lt;cfg_oc_i_ratio_threshold,$C17=1),1,0)</f>
        <v/>
      </c>
      <c r="K17" s="5">
        <f>IF(AND(F17&lt;cfg_oc_i_ratio_threshold,$C17=1),1,0)</f>
        <v/>
      </c>
      <c r="L17" s="5">
        <f>IF(AND(G17&lt;cfg_oc_i_ratio_threshold,$C17=1),1,0)</f>
        <v/>
      </c>
      <c r="M17" s="5">
        <f>IF(AND(H17&lt;cfg_oc_i_ratio_threshold,$C17=1),1,0)</f>
        <v/>
      </c>
      <c r="N17" s="5">
        <f>IF(AND(I17&lt;cfg_oc_i_ratio_threshold,$C17=1),1,0)</f>
        <v/>
      </c>
      <c r="O17" s="5">
        <f>IF(J17=1,O16+1,0)</f>
        <v/>
      </c>
      <c r="P17" s="5">
        <f>IF(K17=1,P16+1,0)</f>
        <v/>
      </c>
      <c r="Q17" s="5">
        <f>IF(L17=1,Q16+1,0)</f>
        <v/>
      </c>
      <c r="R17" s="5">
        <f>IF(M17=1,R16+1,0)</f>
        <v/>
      </c>
      <c r="S17" s="5">
        <f>IF(N17=1,S16+1,0)</f>
        <v/>
      </c>
    </row>
    <row r="18">
      <c r="A18" s="16">
        <f>Raw_Data_OC!A18</f>
        <v/>
      </c>
      <c r="B18" s="27">
        <f>Raw_Data_OC!B18</f>
        <v/>
      </c>
      <c r="C18" s="5">
        <f>IF(AND(B18&gt;cfg_oc_poa_threshold_wm2,B18&gt;cfg_oc_poa_floor_wm2),1,0)</f>
        <v/>
      </c>
      <c r="D18" s="17">
        <f>PERCENTILE(Raw_Data_OC!C18:G18,0.95)</f>
        <v/>
      </c>
      <c r="E18" s="31">
        <f>Raw_Data_OC!C18/MAX($D18,cfg_oc_iq95_clip)</f>
        <v/>
      </c>
      <c r="F18" s="31">
        <f>Raw_Data_OC!D18/MAX($D18,cfg_oc_iq95_clip)</f>
        <v/>
      </c>
      <c r="G18" s="31">
        <f>Raw_Data_OC!E18/MAX($D18,cfg_oc_iq95_clip)</f>
        <v/>
      </c>
      <c r="H18" s="31">
        <f>Raw_Data_OC!F18/MAX($D18,cfg_oc_iq95_clip)</f>
        <v/>
      </c>
      <c r="I18" s="31">
        <f>Raw_Data_OC!G18/MAX($D18,cfg_oc_iq95_clip)</f>
        <v/>
      </c>
      <c r="J18" s="5">
        <f>IF(AND(E18&lt;cfg_oc_i_ratio_threshold,$C18=1),1,0)</f>
        <v/>
      </c>
      <c r="K18" s="5">
        <f>IF(AND(F18&lt;cfg_oc_i_ratio_threshold,$C18=1),1,0)</f>
        <v/>
      </c>
      <c r="L18" s="5">
        <f>IF(AND(G18&lt;cfg_oc_i_ratio_threshold,$C18=1),1,0)</f>
        <v/>
      </c>
      <c r="M18" s="5">
        <f>IF(AND(H18&lt;cfg_oc_i_ratio_threshold,$C18=1),1,0)</f>
        <v/>
      </c>
      <c r="N18" s="5">
        <f>IF(AND(I18&lt;cfg_oc_i_ratio_threshold,$C18=1),1,0)</f>
        <v/>
      </c>
      <c r="O18" s="5">
        <f>IF(J18=1,O17+1,0)</f>
        <v/>
      </c>
      <c r="P18" s="5">
        <f>IF(K18=1,P17+1,0)</f>
        <v/>
      </c>
      <c r="Q18" s="5">
        <f>IF(L18=1,Q17+1,0)</f>
        <v/>
      </c>
      <c r="R18" s="5">
        <f>IF(M18=1,R17+1,0)</f>
        <v/>
      </c>
      <c r="S18" s="5">
        <f>IF(N18=1,S17+1,0)</f>
        <v/>
      </c>
    </row>
    <row r="19">
      <c r="A19" s="16">
        <f>Raw_Data_OC!A19</f>
        <v/>
      </c>
      <c r="B19" s="27">
        <f>Raw_Data_OC!B19</f>
        <v/>
      </c>
      <c r="C19" s="5">
        <f>IF(AND(B19&gt;cfg_oc_poa_threshold_wm2,B19&gt;cfg_oc_poa_floor_wm2),1,0)</f>
        <v/>
      </c>
      <c r="D19" s="17">
        <f>PERCENTILE(Raw_Data_OC!C19:G19,0.95)</f>
        <v/>
      </c>
      <c r="E19" s="31">
        <f>Raw_Data_OC!C19/MAX($D19,cfg_oc_iq95_clip)</f>
        <v/>
      </c>
      <c r="F19" s="31">
        <f>Raw_Data_OC!D19/MAX($D19,cfg_oc_iq95_clip)</f>
        <v/>
      </c>
      <c r="G19" s="31">
        <f>Raw_Data_OC!E19/MAX($D19,cfg_oc_iq95_clip)</f>
        <v/>
      </c>
      <c r="H19" s="31">
        <f>Raw_Data_OC!F19/MAX($D19,cfg_oc_iq95_clip)</f>
        <v/>
      </c>
      <c r="I19" s="31">
        <f>Raw_Data_OC!G19/MAX($D19,cfg_oc_iq95_clip)</f>
        <v/>
      </c>
      <c r="J19" s="5">
        <f>IF(AND(E19&lt;cfg_oc_i_ratio_threshold,$C19=1),1,0)</f>
        <v/>
      </c>
      <c r="K19" s="5">
        <f>IF(AND(F19&lt;cfg_oc_i_ratio_threshold,$C19=1),1,0)</f>
        <v/>
      </c>
      <c r="L19" s="5">
        <f>IF(AND(G19&lt;cfg_oc_i_ratio_threshold,$C19=1),1,0)</f>
        <v/>
      </c>
      <c r="M19" s="5">
        <f>IF(AND(H19&lt;cfg_oc_i_ratio_threshold,$C19=1),1,0)</f>
        <v/>
      </c>
      <c r="N19" s="5">
        <f>IF(AND(I19&lt;cfg_oc_i_ratio_threshold,$C19=1),1,0)</f>
        <v/>
      </c>
      <c r="O19" s="5">
        <f>IF(J19=1,O18+1,0)</f>
        <v/>
      </c>
      <c r="P19" s="5">
        <f>IF(K19=1,P18+1,0)</f>
        <v/>
      </c>
      <c r="Q19" s="5">
        <f>IF(L19=1,Q18+1,0)</f>
        <v/>
      </c>
      <c r="R19" s="5">
        <f>IF(M19=1,R18+1,0)</f>
        <v/>
      </c>
      <c r="S19" s="5">
        <f>IF(N19=1,S18+1,0)</f>
        <v/>
      </c>
    </row>
    <row r="20">
      <c r="A20" s="16">
        <f>Raw_Data_OC!A20</f>
        <v/>
      </c>
      <c r="B20" s="27">
        <f>Raw_Data_OC!B20</f>
        <v/>
      </c>
      <c r="C20" s="5">
        <f>IF(AND(B20&gt;cfg_oc_poa_threshold_wm2,B20&gt;cfg_oc_poa_floor_wm2),1,0)</f>
        <v/>
      </c>
      <c r="D20" s="17">
        <f>PERCENTILE(Raw_Data_OC!C20:G20,0.95)</f>
        <v/>
      </c>
      <c r="E20" s="31">
        <f>Raw_Data_OC!C20/MAX($D20,cfg_oc_iq95_clip)</f>
        <v/>
      </c>
      <c r="F20" s="31">
        <f>Raw_Data_OC!D20/MAX($D20,cfg_oc_iq95_clip)</f>
        <v/>
      </c>
      <c r="G20" s="31">
        <f>Raw_Data_OC!E20/MAX($D20,cfg_oc_iq95_clip)</f>
        <v/>
      </c>
      <c r="H20" s="31">
        <f>Raw_Data_OC!F20/MAX($D20,cfg_oc_iq95_clip)</f>
        <v/>
      </c>
      <c r="I20" s="31">
        <f>Raw_Data_OC!G20/MAX($D20,cfg_oc_iq95_clip)</f>
        <v/>
      </c>
      <c r="J20" s="5">
        <f>IF(AND(E20&lt;cfg_oc_i_ratio_threshold,$C20=1),1,0)</f>
        <v/>
      </c>
      <c r="K20" s="5">
        <f>IF(AND(F20&lt;cfg_oc_i_ratio_threshold,$C20=1),1,0)</f>
        <v/>
      </c>
      <c r="L20" s="5">
        <f>IF(AND(G20&lt;cfg_oc_i_ratio_threshold,$C20=1),1,0)</f>
        <v/>
      </c>
      <c r="M20" s="5">
        <f>IF(AND(H20&lt;cfg_oc_i_ratio_threshold,$C20=1),1,0)</f>
        <v/>
      </c>
      <c r="N20" s="5">
        <f>IF(AND(I20&lt;cfg_oc_i_ratio_threshold,$C20=1),1,0)</f>
        <v/>
      </c>
      <c r="O20" s="5">
        <f>IF(J20=1,O19+1,0)</f>
        <v/>
      </c>
      <c r="P20" s="5">
        <f>IF(K20=1,P19+1,0)</f>
        <v/>
      </c>
      <c r="Q20" s="5">
        <f>IF(L20=1,Q19+1,0)</f>
        <v/>
      </c>
      <c r="R20" s="5">
        <f>IF(M20=1,R19+1,0)</f>
        <v/>
      </c>
      <c r="S20" s="5">
        <f>IF(N20=1,S19+1,0)</f>
        <v/>
      </c>
    </row>
    <row r="21">
      <c r="A21" s="16">
        <f>Raw_Data_OC!A21</f>
        <v/>
      </c>
      <c r="B21" s="27">
        <f>Raw_Data_OC!B21</f>
        <v/>
      </c>
      <c r="C21" s="5">
        <f>IF(AND(B21&gt;cfg_oc_poa_threshold_wm2,B21&gt;cfg_oc_poa_floor_wm2),1,0)</f>
        <v/>
      </c>
      <c r="D21" s="17">
        <f>PERCENTILE(Raw_Data_OC!C21:G21,0.95)</f>
        <v/>
      </c>
      <c r="E21" s="31">
        <f>Raw_Data_OC!C21/MAX($D21,cfg_oc_iq95_clip)</f>
        <v/>
      </c>
      <c r="F21" s="31">
        <f>Raw_Data_OC!D21/MAX($D21,cfg_oc_iq95_clip)</f>
        <v/>
      </c>
      <c r="G21" s="31">
        <f>Raw_Data_OC!E21/MAX($D21,cfg_oc_iq95_clip)</f>
        <v/>
      </c>
      <c r="H21" s="31">
        <f>Raw_Data_OC!F21/MAX($D21,cfg_oc_iq95_clip)</f>
        <v/>
      </c>
      <c r="I21" s="31">
        <f>Raw_Data_OC!G21/MAX($D21,cfg_oc_iq95_clip)</f>
        <v/>
      </c>
      <c r="J21" s="5">
        <f>IF(AND(E21&lt;cfg_oc_i_ratio_threshold,$C21=1),1,0)</f>
        <v/>
      </c>
      <c r="K21" s="5">
        <f>IF(AND(F21&lt;cfg_oc_i_ratio_threshold,$C21=1),1,0)</f>
        <v/>
      </c>
      <c r="L21" s="5">
        <f>IF(AND(G21&lt;cfg_oc_i_ratio_threshold,$C21=1),1,0)</f>
        <v/>
      </c>
      <c r="M21" s="5">
        <f>IF(AND(H21&lt;cfg_oc_i_ratio_threshold,$C21=1),1,0)</f>
        <v/>
      </c>
      <c r="N21" s="5">
        <f>IF(AND(I21&lt;cfg_oc_i_ratio_threshold,$C21=1),1,0)</f>
        <v/>
      </c>
      <c r="O21" s="5">
        <f>IF(J21=1,O20+1,0)</f>
        <v/>
      </c>
      <c r="P21" s="5">
        <f>IF(K21=1,P20+1,0)</f>
        <v/>
      </c>
      <c r="Q21" s="5">
        <f>IF(L21=1,Q20+1,0)</f>
        <v/>
      </c>
      <c r="R21" s="5">
        <f>IF(M21=1,R20+1,0)</f>
        <v/>
      </c>
      <c r="S21" s="5">
        <f>IF(N21=1,S20+1,0)</f>
        <v/>
      </c>
    </row>
    <row r="22">
      <c r="A22" s="16">
        <f>Raw_Data_OC!A22</f>
        <v/>
      </c>
      <c r="B22" s="27">
        <f>Raw_Data_OC!B22</f>
        <v/>
      </c>
      <c r="C22" s="5">
        <f>IF(AND(B22&gt;cfg_oc_poa_threshold_wm2,B22&gt;cfg_oc_poa_floor_wm2),1,0)</f>
        <v/>
      </c>
      <c r="D22" s="17">
        <f>PERCENTILE(Raw_Data_OC!C22:G22,0.95)</f>
        <v/>
      </c>
      <c r="E22" s="31">
        <f>Raw_Data_OC!C22/MAX($D22,cfg_oc_iq95_clip)</f>
        <v/>
      </c>
      <c r="F22" s="31">
        <f>Raw_Data_OC!D22/MAX($D22,cfg_oc_iq95_clip)</f>
        <v/>
      </c>
      <c r="G22" s="31">
        <f>Raw_Data_OC!E22/MAX($D22,cfg_oc_iq95_clip)</f>
        <v/>
      </c>
      <c r="H22" s="31">
        <f>Raw_Data_OC!F22/MAX($D22,cfg_oc_iq95_clip)</f>
        <v/>
      </c>
      <c r="I22" s="31">
        <f>Raw_Data_OC!G22/MAX($D22,cfg_oc_iq95_clip)</f>
        <v/>
      </c>
      <c r="J22" s="5">
        <f>IF(AND(E22&lt;cfg_oc_i_ratio_threshold,$C22=1),1,0)</f>
        <v/>
      </c>
      <c r="K22" s="5">
        <f>IF(AND(F22&lt;cfg_oc_i_ratio_threshold,$C22=1),1,0)</f>
        <v/>
      </c>
      <c r="L22" s="5">
        <f>IF(AND(G22&lt;cfg_oc_i_ratio_threshold,$C22=1),1,0)</f>
        <v/>
      </c>
      <c r="M22" s="5">
        <f>IF(AND(H22&lt;cfg_oc_i_ratio_threshold,$C22=1),1,0)</f>
        <v/>
      </c>
      <c r="N22" s="5">
        <f>IF(AND(I22&lt;cfg_oc_i_ratio_threshold,$C22=1),1,0)</f>
        <v/>
      </c>
      <c r="O22" s="5">
        <f>IF(J22=1,O21+1,0)</f>
        <v/>
      </c>
      <c r="P22" s="5">
        <f>IF(K22=1,P21+1,0)</f>
        <v/>
      </c>
      <c r="Q22" s="5">
        <f>IF(L22=1,Q21+1,0)</f>
        <v/>
      </c>
      <c r="R22" s="5">
        <f>IF(M22=1,R21+1,0)</f>
        <v/>
      </c>
      <c r="S22" s="5">
        <f>IF(N22=1,S21+1,0)</f>
        <v/>
      </c>
    </row>
    <row r="23">
      <c r="A23" s="16">
        <f>Raw_Data_OC!A23</f>
        <v/>
      </c>
      <c r="B23" s="27">
        <f>Raw_Data_OC!B23</f>
        <v/>
      </c>
      <c r="C23" s="5">
        <f>IF(AND(B23&gt;cfg_oc_poa_threshold_wm2,B23&gt;cfg_oc_poa_floor_wm2),1,0)</f>
        <v/>
      </c>
      <c r="D23" s="17">
        <f>PERCENTILE(Raw_Data_OC!C23:G23,0.95)</f>
        <v/>
      </c>
      <c r="E23" s="31">
        <f>Raw_Data_OC!C23/MAX($D23,cfg_oc_iq95_clip)</f>
        <v/>
      </c>
      <c r="F23" s="31">
        <f>Raw_Data_OC!D23/MAX($D23,cfg_oc_iq95_clip)</f>
        <v/>
      </c>
      <c r="G23" s="31">
        <f>Raw_Data_OC!E23/MAX($D23,cfg_oc_iq95_clip)</f>
        <v/>
      </c>
      <c r="H23" s="31">
        <f>Raw_Data_OC!F23/MAX($D23,cfg_oc_iq95_clip)</f>
        <v/>
      </c>
      <c r="I23" s="31">
        <f>Raw_Data_OC!G23/MAX($D23,cfg_oc_iq95_clip)</f>
        <v/>
      </c>
      <c r="J23" s="5">
        <f>IF(AND(E23&lt;cfg_oc_i_ratio_threshold,$C23=1),1,0)</f>
        <v/>
      </c>
      <c r="K23" s="5">
        <f>IF(AND(F23&lt;cfg_oc_i_ratio_threshold,$C23=1),1,0)</f>
        <v/>
      </c>
      <c r="L23" s="5">
        <f>IF(AND(G23&lt;cfg_oc_i_ratio_threshold,$C23=1),1,0)</f>
        <v/>
      </c>
      <c r="M23" s="5">
        <f>IF(AND(H23&lt;cfg_oc_i_ratio_threshold,$C23=1),1,0)</f>
        <v/>
      </c>
      <c r="N23" s="5">
        <f>IF(AND(I23&lt;cfg_oc_i_ratio_threshold,$C23=1),1,0)</f>
        <v/>
      </c>
      <c r="O23" s="5">
        <f>IF(J23=1,O22+1,0)</f>
        <v/>
      </c>
      <c r="P23" s="5">
        <f>IF(K23=1,P22+1,0)</f>
        <v/>
      </c>
      <c r="Q23" s="5">
        <f>IF(L23=1,Q22+1,0)</f>
        <v/>
      </c>
      <c r="R23" s="5">
        <f>IF(M23=1,R22+1,0)</f>
        <v/>
      </c>
      <c r="S23" s="5">
        <f>IF(N23=1,S22+1,0)</f>
        <v/>
      </c>
    </row>
    <row r="24">
      <c r="A24" s="16">
        <f>Raw_Data_OC!A24</f>
        <v/>
      </c>
      <c r="B24" s="27">
        <f>Raw_Data_OC!B24</f>
        <v/>
      </c>
      <c r="C24" s="5">
        <f>IF(AND(B24&gt;cfg_oc_poa_threshold_wm2,B24&gt;cfg_oc_poa_floor_wm2),1,0)</f>
        <v/>
      </c>
      <c r="D24" s="17">
        <f>PERCENTILE(Raw_Data_OC!C24:G24,0.95)</f>
        <v/>
      </c>
      <c r="E24" s="31">
        <f>Raw_Data_OC!C24/MAX($D24,cfg_oc_iq95_clip)</f>
        <v/>
      </c>
      <c r="F24" s="31">
        <f>Raw_Data_OC!D24/MAX($D24,cfg_oc_iq95_clip)</f>
        <v/>
      </c>
      <c r="G24" s="31">
        <f>Raw_Data_OC!E24/MAX($D24,cfg_oc_iq95_clip)</f>
        <v/>
      </c>
      <c r="H24" s="31">
        <f>Raw_Data_OC!F24/MAX($D24,cfg_oc_iq95_clip)</f>
        <v/>
      </c>
      <c r="I24" s="31">
        <f>Raw_Data_OC!G24/MAX($D24,cfg_oc_iq95_clip)</f>
        <v/>
      </c>
      <c r="J24" s="5">
        <f>IF(AND(E24&lt;cfg_oc_i_ratio_threshold,$C24=1),1,0)</f>
        <v/>
      </c>
      <c r="K24" s="5">
        <f>IF(AND(F24&lt;cfg_oc_i_ratio_threshold,$C24=1),1,0)</f>
        <v/>
      </c>
      <c r="L24" s="5">
        <f>IF(AND(G24&lt;cfg_oc_i_ratio_threshold,$C24=1),1,0)</f>
        <v/>
      </c>
      <c r="M24" s="5">
        <f>IF(AND(H24&lt;cfg_oc_i_ratio_threshold,$C24=1),1,0)</f>
        <v/>
      </c>
      <c r="N24" s="5">
        <f>IF(AND(I24&lt;cfg_oc_i_ratio_threshold,$C24=1),1,0)</f>
        <v/>
      </c>
      <c r="O24" s="5">
        <f>IF(J24=1,O23+1,0)</f>
        <v/>
      </c>
      <c r="P24" s="5">
        <f>IF(K24=1,P23+1,0)</f>
        <v/>
      </c>
      <c r="Q24" s="5">
        <f>IF(L24=1,Q23+1,0)</f>
        <v/>
      </c>
      <c r="R24" s="5">
        <f>IF(M24=1,R23+1,0)</f>
        <v/>
      </c>
      <c r="S24" s="5">
        <f>IF(N24=1,S23+1,0)</f>
        <v/>
      </c>
    </row>
    <row r="25">
      <c r="A25" s="16">
        <f>Raw_Data_OC!A25</f>
        <v/>
      </c>
      <c r="B25" s="27">
        <f>Raw_Data_OC!B25</f>
        <v/>
      </c>
      <c r="C25" s="5">
        <f>IF(AND(B25&gt;cfg_oc_poa_threshold_wm2,B25&gt;cfg_oc_poa_floor_wm2),1,0)</f>
        <v/>
      </c>
      <c r="D25" s="17">
        <f>PERCENTILE(Raw_Data_OC!C25:G25,0.95)</f>
        <v/>
      </c>
      <c r="E25" s="31">
        <f>Raw_Data_OC!C25/MAX($D25,cfg_oc_iq95_clip)</f>
        <v/>
      </c>
      <c r="F25" s="31">
        <f>Raw_Data_OC!D25/MAX($D25,cfg_oc_iq95_clip)</f>
        <v/>
      </c>
      <c r="G25" s="31">
        <f>Raw_Data_OC!E25/MAX($D25,cfg_oc_iq95_clip)</f>
        <v/>
      </c>
      <c r="H25" s="31">
        <f>Raw_Data_OC!F25/MAX($D25,cfg_oc_iq95_clip)</f>
        <v/>
      </c>
      <c r="I25" s="31">
        <f>Raw_Data_OC!G25/MAX($D25,cfg_oc_iq95_clip)</f>
        <v/>
      </c>
      <c r="J25" s="5">
        <f>IF(AND(E25&lt;cfg_oc_i_ratio_threshold,$C25=1),1,0)</f>
        <v/>
      </c>
      <c r="K25" s="5">
        <f>IF(AND(F25&lt;cfg_oc_i_ratio_threshold,$C25=1),1,0)</f>
        <v/>
      </c>
      <c r="L25" s="5">
        <f>IF(AND(G25&lt;cfg_oc_i_ratio_threshold,$C25=1),1,0)</f>
        <v/>
      </c>
      <c r="M25" s="5">
        <f>IF(AND(H25&lt;cfg_oc_i_ratio_threshold,$C25=1),1,0)</f>
        <v/>
      </c>
      <c r="N25" s="5">
        <f>IF(AND(I25&lt;cfg_oc_i_ratio_threshold,$C25=1),1,0)</f>
        <v/>
      </c>
      <c r="O25" s="5">
        <f>IF(J25=1,O24+1,0)</f>
        <v/>
      </c>
      <c r="P25" s="5">
        <f>IF(K25=1,P24+1,0)</f>
        <v/>
      </c>
      <c r="Q25" s="5">
        <f>IF(L25=1,Q24+1,0)</f>
        <v/>
      </c>
      <c r="R25" s="5">
        <f>IF(M25=1,R24+1,0)</f>
        <v/>
      </c>
      <c r="S25" s="5">
        <f>IF(N25=1,S24+1,0)</f>
        <v/>
      </c>
    </row>
    <row r="26">
      <c r="A26" s="16">
        <f>Raw_Data_OC!A26</f>
        <v/>
      </c>
      <c r="B26" s="27">
        <f>Raw_Data_OC!B26</f>
        <v/>
      </c>
      <c r="C26" s="5">
        <f>IF(AND(B26&gt;cfg_oc_poa_threshold_wm2,B26&gt;cfg_oc_poa_floor_wm2),1,0)</f>
        <v/>
      </c>
      <c r="D26" s="17">
        <f>PERCENTILE(Raw_Data_OC!C26:G26,0.95)</f>
        <v/>
      </c>
      <c r="E26" s="31">
        <f>Raw_Data_OC!C26/MAX($D26,cfg_oc_iq95_clip)</f>
        <v/>
      </c>
      <c r="F26" s="31">
        <f>Raw_Data_OC!D26/MAX($D26,cfg_oc_iq95_clip)</f>
        <v/>
      </c>
      <c r="G26" s="31">
        <f>Raw_Data_OC!E26/MAX($D26,cfg_oc_iq95_clip)</f>
        <v/>
      </c>
      <c r="H26" s="31">
        <f>Raw_Data_OC!F26/MAX($D26,cfg_oc_iq95_clip)</f>
        <v/>
      </c>
      <c r="I26" s="31">
        <f>Raw_Data_OC!G26/MAX($D26,cfg_oc_iq95_clip)</f>
        <v/>
      </c>
      <c r="J26" s="5">
        <f>IF(AND(E26&lt;cfg_oc_i_ratio_threshold,$C26=1),1,0)</f>
        <v/>
      </c>
      <c r="K26" s="5">
        <f>IF(AND(F26&lt;cfg_oc_i_ratio_threshold,$C26=1),1,0)</f>
        <v/>
      </c>
      <c r="L26" s="5">
        <f>IF(AND(G26&lt;cfg_oc_i_ratio_threshold,$C26=1),1,0)</f>
        <v/>
      </c>
      <c r="M26" s="5">
        <f>IF(AND(H26&lt;cfg_oc_i_ratio_threshold,$C26=1),1,0)</f>
        <v/>
      </c>
      <c r="N26" s="5">
        <f>IF(AND(I26&lt;cfg_oc_i_ratio_threshold,$C26=1),1,0)</f>
        <v/>
      </c>
      <c r="O26" s="5">
        <f>IF(J26=1,O25+1,0)</f>
        <v/>
      </c>
      <c r="P26" s="5">
        <f>IF(K26=1,P25+1,0)</f>
        <v/>
      </c>
      <c r="Q26" s="5">
        <f>IF(L26=1,Q25+1,0)</f>
        <v/>
      </c>
      <c r="R26" s="5">
        <f>IF(M26=1,R25+1,0)</f>
        <v/>
      </c>
      <c r="S26" s="5">
        <f>IF(N26=1,S25+1,0)</f>
        <v/>
      </c>
    </row>
    <row r="27">
      <c r="A27" s="16">
        <f>Raw_Data_OC!A27</f>
        <v/>
      </c>
      <c r="B27" s="27">
        <f>Raw_Data_OC!B27</f>
        <v/>
      </c>
      <c r="C27" s="5">
        <f>IF(AND(B27&gt;cfg_oc_poa_threshold_wm2,B27&gt;cfg_oc_poa_floor_wm2),1,0)</f>
        <v/>
      </c>
      <c r="D27" s="17">
        <f>PERCENTILE(Raw_Data_OC!C27:G27,0.95)</f>
        <v/>
      </c>
      <c r="E27" s="31">
        <f>Raw_Data_OC!C27/MAX($D27,cfg_oc_iq95_clip)</f>
        <v/>
      </c>
      <c r="F27" s="31">
        <f>Raw_Data_OC!D27/MAX($D27,cfg_oc_iq95_clip)</f>
        <v/>
      </c>
      <c r="G27" s="31">
        <f>Raw_Data_OC!E27/MAX($D27,cfg_oc_iq95_clip)</f>
        <v/>
      </c>
      <c r="H27" s="31">
        <f>Raw_Data_OC!F27/MAX($D27,cfg_oc_iq95_clip)</f>
        <v/>
      </c>
      <c r="I27" s="31">
        <f>Raw_Data_OC!G27/MAX($D27,cfg_oc_iq95_clip)</f>
        <v/>
      </c>
      <c r="J27" s="5">
        <f>IF(AND(E27&lt;cfg_oc_i_ratio_threshold,$C27=1),1,0)</f>
        <v/>
      </c>
      <c r="K27" s="5">
        <f>IF(AND(F27&lt;cfg_oc_i_ratio_threshold,$C27=1),1,0)</f>
        <v/>
      </c>
      <c r="L27" s="5">
        <f>IF(AND(G27&lt;cfg_oc_i_ratio_threshold,$C27=1),1,0)</f>
        <v/>
      </c>
      <c r="M27" s="5">
        <f>IF(AND(H27&lt;cfg_oc_i_ratio_threshold,$C27=1),1,0)</f>
        <v/>
      </c>
      <c r="N27" s="5">
        <f>IF(AND(I27&lt;cfg_oc_i_ratio_threshold,$C27=1),1,0)</f>
        <v/>
      </c>
      <c r="O27" s="5">
        <f>IF(J27=1,O26+1,0)</f>
        <v/>
      </c>
      <c r="P27" s="5">
        <f>IF(K27=1,P26+1,0)</f>
        <v/>
      </c>
      <c r="Q27" s="5">
        <f>IF(L27=1,Q26+1,0)</f>
        <v/>
      </c>
      <c r="R27" s="5">
        <f>IF(M27=1,R26+1,0)</f>
        <v/>
      </c>
      <c r="S27" s="5">
        <f>IF(N27=1,S26+1,0)</f>
        <v/>
      </c>
    </row>
    <row r="28">
      <c r="A28" s="16">
        <f>Raw_Data_OC!A28</f>
        <v/>
      </c>
      <c r="B28" s="27">
        <f>Raw_Data_OC!B28</f>
        <v/>
      </c>
      <c r="C28" s="5">
        <f>IF(AND(B28&gt;cfg_oc_poa_threshold_wm2,B28&gt;cfg_oc_poa_floor_wm2),1,0)</f>
        <v/>
      </c>
      <c r="D28" s="17">
        <f>PERCENTILE(Raw_Data_OC!C28:G28,0.95)</f>
        <v/>
      </c>
      <c r="E28" s="31">
        <f>Raw_Data_OC!C28/MAX($D28,cfg_oc_iq95_clip)</f>
        <v/>
      </c>
      <c r="F28" s="31">
        <f>Raw_Data_OC!D28/MAX($D28,cfg_oc_iq95_clip)</f>
        <v/>
      </c>
      <c r="G28" s="31">
        <f>Raw_Data_OC!E28/MAX($D28,cfg_oc_iq95_clip)</f>
        <v/>
      </c>
      <c r="H28" s="31">
        <f>Raw_Data_OC!F28/MAX($D28,cfg_oc_iq95_clip)</f>
        <v/>
      </c>
      <c r="I28" s="31">
        <f>Raw_Data_OC!G28/MAX($D28,cfg_oc_iq95_clip)</f>
        <v/>
      </c>
      <c r="J28" s="5">
        <f>IF(AND(E28&lt;cfg_oc_i_ratio_threshold,$C28=1),1,0)</f>
        <v/>
      </c>
      <c r="K28" s="5">
        <f>IF(AND(F28&lt;cfg_oc_i_ratio_threshold,$C28=1),1,0)</f>
        <v/>
      </c>
      <c r="L28" s="5">
        <f>IF(AND(G28&lt;cfg_oc_i_ratio_threshold,$C28=1),1,0)</f>
        <v/>
      </c>
      <c r="M28" s="5">
        <f>IF(AND(H28&lt;cfg_oc_i_ratio_threshold,$C28=1),1,0)</f>
        <v/>
      </c>
      <c r="N28" s="5">
        <f>IF(AND(I28&lt;cfg_oc_i_ratio_threshold,$C28=1),1,0)</f>
        <v/>
      </c>
      <c r="O28" s="5">
        <f>IF(J28=1,O27+1,0)</f>
        <v/>
      </c>
      <c r="P28" s="5">
        <f>IF(K28=1,P27+1,0)</f>
        <v/>
      </c>
      <c r="Q28" s="5">
        <f>IF(L28=1,Q27+1,0)</f>
        <v/>
      </c>
      <c r="R28" s="5">
        <f>IF(M28=1,R27+1,0)</f>
        <v/>
      </c>
      <c r="S28" s="5">
        <f>IF(N28=1,S27+1,0)</f>
        <v/>
      </c>
    </row>
    <row r="29">
      <c r="A29" s="16">
        <f>Raw_Data_OC!A29</f>
        <v/>
      </c>
      <c r="B29" s="27">
        <f>Raw_Data_OC!B29</f>
        <v/>
      </c>
      <c r="C29" s="5">
        <f>IF(AND(B29&gt;cfg_oc_poa_threshold_wm2,B29&gt;cfg_oc_poa_floor_wm2),1,0)</f>
        <v/>
      </c>
      <c r="D29" s="17">
        <f>PERCENTILE(Raw_Data_OC!C29:G29,0.95)</f>
        <v/>
      </c>
      <c r="E29" s="31">
        <f>Raw_Data_OC!C29/MAX($D29,cfg_oc_iq95_clip)</f>
        <v/>
      </c>
      <c r="F29" s="31">
        <f>Raw_Data_OC!D29/MAX($D29,cfg_oc_iq95_clip)</f>
        <v/>
      </c>
      <c r="G29" s="31">
        <f>Raw_Data_OC!E29/MAX($D29,cfg_oc_iq95_clip)</f>
        <v/>
      </c>
      <c r="H29" s="31">
        <f>Raw_Data_OC!F29/MAX($D29,cfg_oc_iq95_clip)</f>
        <v/>
      </c>
      <c r="I29" s="31">
        <f>Raw_Data_OC!G29/MAX($D29,cfg_oc_iq95_clip)</f>
        <v/>
      </c>
      <c r="J29" s="5">
        <f>IF(AND(E29&lt;cfg_oc_i_ratio_threshold,$C29=1),1,0)</f>
        <v/>
      </c>
      <c r="K29" s="5">
        <f>IF(AND(F29&lt;cfg_oc_i_ratio_threshold,$C29=1),1,0)</f>
        <v/>
      </c>
      <c r="L29" s="5">
        <f>IF(AND(G29&lt;cfg_oc_i_ratio_threshold,$C29=1),1,0)</f>
        <v/>
      </c>
      <c r="M29" s="5">
        <f>IF(AND(H29&lt;cfg_oc_i_ratio_threshold,$C29=1),1,0)</f>
        <v/>
      </c>
      <c r="N29" s="5">
        <f>IF(AND(I29&lt;cfg_oc_i_ratio_threshold,$C29=1),1,0)</f>
        <v/>
      </c>
      <c r="O29" s="5">
        <f>IF(J29=1,O28+1,0)</f>
        <v/>
      </c>
      <c r="P29" s="5">
        <f>IF(K29=1,P28+1,0)</f>
        <v/>
      </c>
      <c r="Q29" s="5">
        <f>IF(L29=1,Q28+1,0)</f>
        <v/>
      </c>
      <c r="R29" s="5">
        <f>IF(M29=1,R28+1,0)</f>
        <v/>
      </c>
      <c r="S29" s="5">
        <f>IF(N29=1,S28+1,0)</f>
        <v/>
      </c>
    </row>
    <row r="30">
      <c r="A30" s="16">
        <f>Raw_Data_OC!A30</f>
        <v/>
      </c>
      <c r="B30" s="27">
        <f>Raw_Data_OC!B30</f>
        <v/>
      </c>
      <c r="C30" s="5">
        <f>IF(AND(B30&gt;cfg_oc_poa_threshold_wm2,B30&gt;cfg_oc_poa_floor_wm2),1,0)</f>
        <v/>
      </c>
      <c r="D30" s="17">
        <f>PERCENTILE(Raw_Data_OC!C30:G30,0.95)</f>
        <v/>
      </c>
      <c r="E30" s="31">
        <f>Raw_Data_OC!C30/MAX($D30,cfg_oc_iq95_clip)</f>
        <v/>
      </c>
      <c r="F30" s="31">
        <f>Raw_Data_OC!D30/MAX($D30,cfg_oc_iq95_clip)</f>
        <v/>
      </c>
      <c r="G30" s="31">
        <f>Raw_Data_OC!E30/MAX($D30,cfg_oc_iq95_clip)</f>
        <v/>
      </c>
      <c r="H30" s="31">
        <f>Raw_Data_OC!F30/MAX($D30,cfg_oc_iq95_clip)</f>
        <v/>
      </c>
      <c r="I30" s="31">
        <f>Raw_Data_OC!G30/MAX($D30,cfg_oc_iq95_clip)</f>
        <v/>
      </c>
      <c r="J30" s="5">
        <f>IF(AND(E30&lt;cfg_oc_i_ratio_threshold,$C30=1),1,0)</f>
        <v/>
      </c>
      <c r="K30" s="5">
        <f>IF(AND(F30&lt;cfg_oc_i_ratio_threshold,$C30=1),1,0)</f>
        <v/>
      </c>
      <c r="L30" s="5">
        <f>IF(AND(G30&lt;cfg_oc_i_ratio_threshold,$C30=1),1,0)</f>
        <v/>
      </c>
      <c r="M30" s="5">
        <f>IF(AND(H30&lt;cfg_oc_i_ratio_threshold,$C30=1),1,0)</f>
        <v/>
      </c>
      <c r="N30" s="5">
        <f>IF(AND(I30&lt;cfg_oc_i_ratio_threshold,$C30=1),1,0)</f>
        <v/>
      </c>
      <c r="O30" s="5">
        <f>IF(J30=1,O29+1,0)</f>
        <v/>
      </c>
      <c r="P30" s="5">
        <f>IF(K30=1,P29+1,0)</f>
        <v/>
      </c>
      <c r="Q30" s="5">
        <f>IF(L30=1,Q29+1,0)</f>
        <v/>
      </c>
      <c r="R30" s="5">
        <f>IF(M30=1,R29+1,0)</f>
        <v/>
      </c>
      <c r="S30" s="5">
        <f>IF(N30=1,S29+1,0)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52" customWidth="1" min="11" max="11"/>
  </cols>
  <sheetData>
    <row r="1">
      <c r="A1" s="23" t="inlineStr">
        <is>
          <t>M2b_OpenCircuit — keputusan per-PV (open_circuit.py run())</t>
        </is>
      </c>
    </row>
    <row r="2">
      <c r="A2" s="24" t="inlineStr">
        <is>
          <t>emit = (MAX consec ≥ debounce) DAN bukan EMPTY. ratio_median/I_median = MEDIAN over baris daylight (rows 5..28, blok kontigu).</t>
        </is>
      </c>
    </row>
    <row r="3">
      <c r="A3" s="24" t="inlineStr">
        <is>
          <t>PV3 sustained → run=24 ≥ 20 → CRITICAL conf 95%. PV4 glitch run=3 &lt; 20 → suppressed. PV5 EMPTY → skip (q95 ikut 0-nya, harmless).</t>
        </is>
      </c>
    </row>
    <row r="4">
      <c r="A4" s="10" t="inlineStr">
        <is>
          <t>PV</t>
        </is>
      </c>
      <c r="B4" s="10" t="inlineStr">
        <is>
          <t>I_median (daylight)</t>
        </is>
      </c>
      <c r="C4" s="10" t="inlineStr">
        <is>
          <t>I_q95_median (daylight)</t>
        </is>
      </c>
      <c r="D4" s="10" t="inlineStr">
        <is>
          <t>ratio_median (daylight)</t>
        </is>
      </c>
      <c r="E4" s="10" t="inlineStr">
        <is>
          <t>MAX consec</t>
        </is>
      </c>
      <c r="F4" s="10" t="inlineStr">
        <is>
          <t>empty_by_design</t>
        </is>
      </c>
      <c r="G4" s="10" t="inlineStr">
        <is>
          <t>emit</t>
        </is>
      </c>
      <c r="H4" s="10" t="inlineStr">
        <is>
          <t>status</t>
        </is>
      </c>
      <c r="I4" s="10" t="inlineStr">
        <is>
          <t>severity</t>
        </is>
      </c>
      <c r="J4" s="10" t="inlineStr">
        <is>
          <t>confidence</t>
        </is>
      </c>
      <c r="K4" s="10" t="inlineStr">
        <is>
          <t>message</t>
        </is>
      </c>
    </row>
    <row r="5">
      <c r="A5" s="5" t="inlineStr">
        <is>
          <t>PV1</t>
        </is>
      </c>
      <c r="B5" s="17">
        <f>MEDIAN(Raw_Data_OC!C5:C28)</f>
        <v/>
      </c>
      <c r="C5" s="17">
        <f>MEDIAN(Helpers_OC!D5:D28)</f>
        <v/>
      </c>
      <c r="D5" s="31">
        <f>MEDIAN(Helpers_OC!E5:E28)</f>
        <v/>
      </c>
      <c r="E5" s="5">
        <f>MAX(Helpers_OC!O5:O30)</f>
        <v/>
      </c>
      <c r="F5" s="5" t="n">
        <v>0</v>
      </c>
      <c r="G5" s="5">
        <f>IF(AND(E5&gt;=cfg_oc_debounce_steps,F5=0),1,0)</f>
        <v/>
      </c>
      <c r="H5" s="5">
        <f>IF(F5=1,"EMPTY",IF(G5=1,"open_circuit","NORMAL"))</f>
        <v/>
      </c>
      <c r="I5" s="5">
        <f>IF(G5=1,"CRITICAL","")</f>
        <v/>
      </c>
      <c r="J5" s="27">
        <f>IF(G5=1,cfg_oc_confidence_pct,"")</f>
        <v/>
      </c>
      <c r="K5" s="5">
        <f>IF(G5=1,"Open-circuit suspect "&amp;A5&amp;": I/I_q95 median="&amp;TEXT(D5,"0.000")&amp;" (run "&amp;E5&amp;" &gt;= debounce "&amp;cfg_oc_debounce_steps&amp;")",IF(F5=1,"EMPTY slot — skip per EmptyPVMap",""))</f>
        <v/>
      </c>
    </row>
    <row r="6">
      <c r="A6" s="5" t="inlineStr">
        <is>
          <t>PV2</t>
        </is>
      </c>
      <c r="B6" s="17">
        <f>MEDIAN(Raw_Data_OC!D5:D28)</f>
        <v/>
      </c>
      <c r="C6" s="17">
        <f>MEDIAN(Helpers_OC!D5:D28)</f>
        <v/>
      </c>
      <c r="D6" s="31">
        <f>MEDIAN(Helpers_OC!F5:F28)</f>
        <v/>
      </c>
      <c r="E6" s="5">
        <f>MAX(Helpers_OC!P5:P30)</f>
        <v/>
      </c>
      <c r="F6" s="5" t="n">
        <v>0</v>
      </c>
      <c r="G6" s="5">
        <f>IF(AND(E6&gt;=cfg_oc_debounce_steps,F6=0),1,0)</f>
        <v/>
      </c>
      <c r="H6" s="5">
        <f>IF(F6=1,"EMPTY",IF(G6=1,"open_circuit","NORMAL"))</f>
        <v/>
      </c>
      <c r="I6" s="5">
        <f>IF(G6=1,"CRITICAL","")</f>
        <v/>
      </c>
      <c r="J6" s="27">
        <f>IF(G6=1,cfg_oc_confidence_pct,"")</f>
        <v/>
      </c>
      <c r="K6" s="5">
        <f>IF(G6=1,"Open-circuit suspect "&amp;A6&amp;": I/I_q95 median="&amp;TEXT(D6,"0.000")&amp;" (run "&amp;E6&amp;" &gt;= debounce "&amp;cfg_oc_debounce_steps&amp;")",IF(F6=1,"EMPTY slot — skip per EmptyPVMap",""))</f>
        <v/>
      </c>
    </row>
    <row r="7">
      <c r="A7" s="5" t="inlineStr">
        <is>
          <t>PV3</t>
        </is>
      </c>
      <c r="B7" s="17">
        <f>MEDIAN(Raw_Data_OC!E5:E28)</f>
        <v/>
      </c>
      <c r="C7" s="17">
        <f>MEDIAN(Helpers_OC!D5:D28)</f>
        <v/>
      </c>
      <c r="D7" s="31">
        <f>MEDIAN(Helpers_OC!G5:G28)</f>
        <v/>
      </c>
      <c r="E7" s="5">
        <f>MAX(Helpers_OC!Q5:Q30)</f>
        <v/>
      </c>
      <c r="F7" s="5" t="n">
        <v>0</v>
      </c>
      <c r="G7" s="5">
        <f>IF(AND(E7&gt;=cfg_oc_debounce_steps,F7=0),1,0)</f>
        <v/>
      </c>
      <c r="H7" s="5">
        <f>IF(F7=1,"EMPTY",IF(G7=1,"open_circuit","NORMAL"))</f>
        <v/>
      </c>
      <c r="I7" s="5">
        <f>IF(G7=1,"CRITICAL","")</f>
        <v/>
      </c>
      <c r="J7" s="27">
        <f>IF(G7=1,cfg_oc_confidence_pct,"")</f>
        <v/>
      </c>
      <c r="K7" s="5">
        <f>IF(G7=1,"Open-circuit suspect "&amp;A7&amp;": I/I_q95 median="&amp;TEXT(D7,"0.000")&amp;" (run "&amp;E7&amp;" &gt;= debounce "&amp;cfg_oc_debounce_steps&amp;")",IF(F7=1,"EMPTY slot — skip per EmptyPVMap",""))</f>
        <v/>
      </c>
    </row>
    <row r="8">
      <c r="A8" s="5" t="inlineStr">
        <is>
          <t>PV4</t>
        </is>
      </c>
      <c r="B8" s="17">
        <f>MEDIAN(Raw_Data_OC!F5:F28)</f>
        <v/>
      </c>
      <c r="C8" s="17">
        <f>MEDIAN(Helpers_OC!D5:D28)</f>
        <v/>
      </c>
      <c r="D8" s="31">
        <f>MEDIAN(Helpers_OC!H5:H28)</f>
        <v/>
      </c>
      <c r="E8" s="5">
        <f>MAX(Helpers_OC!R5:R30)</f>
        <v/>
      </c>
      <c r="F8" s="5" t="n">
        <v>0</v>
      </c>
      <c r="G8" s="5">
        <f>IF(AND(E8&gt;=cfg_oc_debounce_steps,F8=0),1,0)</f>
        <v/>
      </c>
      <c r="H8" s="5">
        <f>IF(F8=1,"EMPTY",IF(G8=1,"open_circuit","NORMAL"))</f>
        <v/>
      </c>
      <c r="I8" s="5">
        <f>IF(G8=1,"CRITICAL","")</f>
        <v/>
      </c>
      <c r="J8" s="27">
        <f>IF(G8=1,cfg_oc_confidence_pct,"")</f>
        <v/>
      </c>
      <c r="K8" s="5">
        <f>IF(G8=1,"Open-circuit suspect "&amp;A8&amp;": I/I_q95 median="&amp;TEXT(D8,"0.000")&amp;" (run "&amp;E8&amp;" &gt;= debounce "&amp;cfg_oc_debounce_steps&amp;")",IF(F8=1,"EMPTY slot — skip per EmptyPVMap",""))</f>
        <v/>
      </c>
    </row>
    <row r="9">
      <c r="A9" s="5" t="inlineStr">
        <is>
          <t>PV5</t>
        </is>
      </c>
      <c r="B9" s="17">
        <f>MEDIAN(Raw_Data_OC!G5:G28)</f>
        <v/>
      </c>
      <c r="C9" s="17">
        <f>MEDIAN(Helpers_OC!D5:D28)</f>
        <v/>
      </c>
      <c r="D9" s="31">
        <f>MEDIAN(Helpers_OC!I5:I28)</f>
        <v/>
      </c>
      <c r="E9" s="5">
        <f>MAX(Helpers_OC!S5:S30)</f>
        <v/>
      </c>
      <c r="F9" s="5" t="n">
        <v>1</v>
      </c>
      <c r="G9" s="5">
        <f>IF(AND(E9&gt;=cfg_oc_debounce_steps,F9=0),1,0)</f>
        <v/>
      </c>
      <c r="H9" s="5">
        <f>IF(F9=1,"EMPTY",IF(G9=1,"open_circuit","NORMAL"))</f>
        <v/>
      </c>
      <c r="I9" s="5">
        <f>IF(G9=1,"CRITICAL","")</f>
        <v/>
      </c>
      <c r="J9" s="27">
        <f>IF(G9=1,cfg_oc_confidence_pct,"")</f>
        <v/>
      </c>
      <c r="K9" s="5">
        <f>IF(G9=1,"Open-circuit suspect "&amp;A9&amp;": I/I_q95 median="&amp;TEXT(D9,"0.000")&amp;" (run "&amp;E9&amp;" &gt;= debounce "&amp;cfg_oc_debounce_steps&amp;")",IF(F9=1,"EMPTY slot — skip per EmptyPVMap",""))</f>
        <v/>
      </c>
    </row>
  </sheetData>
  <conditionalFormatting sqref="H5:H9">
    <cfRule type="cellIs" priority="1" operator="equal" dxfId="0">
      <formula>"open_circuit"</formula>
    </cfRule>
    <cfRule type="cellIs" priority="2" operator="equal" dxfId="4">
      <formula>"NORMAL"</formula>
    </cfRule>
    <cfRule type="cellIs" priority="3" operator="equal" dxfId="5">
      <formula>"EMPTY"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6" max="6"/>
    <col width="14" customWidth="1" min="7" max="7"/>
    <col width="14" customWidth="1" min="8" max="8"/>
  </cols>
  <sheetData>
    <row r="1">
      <c r="A1" s="23" t="inlineStr">
        <is>
          <t>M2b_OC_StringStatus — replika artifact StringStatus (open_circuit.py)</t>
        </is>
      </c>
    </row>
    <row r="2">
      <c r="A2" s="24" t="inlineStr">
        <is>
          <t>Mirror self.artifacts['StringStatus']: per-PV status + median stats + debounce counts. EMPTY rows dari top-up EmptyPVMap.</t>
        </is>
      </c>
    </row>
    <row r="4">
      <c r="A4" s="10" t="inlineStr">
        <is>
          <t>poa_source</t>
        </is>
      </c>
      <c r="B4" s="10" t="inlineStr">
        <is>
          <t>inverter_id</t>
        </is>
      </c>
      <c r="C4" s="10" t="inlineStr">
        <is>
          <t>wb_id</t>
        </is>
      </c>
      <c r="D4" s="10" t="inlineStr">
        <is>
          <t>pv_string</t>
        </is>
      </c>
      <c r="E4" s="10" t="inlineStr">
        <is>
          <t>status</t>
        </is>
      </c>
      <c r="F4" s="10" t="inlineStr">
        <is>
          <t>i_string_median_daylight</t>
        </is>
      </c>
      <c r="G4" s="10" t="inlineStr">
        <is>
          <t>i_q95_median_daylight</t>
        </is>
      </c>
      <c r="H4" s="10" t="inlineStr">
        <is>
          <t>ratio_median_daylight</t>
        </is>
      </c>
      <c r="I4" s="10" t="inlineStr">
        <is>
          <t>n_qualifying_steps</t>
        </is>
      </c>
      <c r="J4" s="10" t="inlineStr">
        <is>
          <t>n_debounced_events</t>
        </is>
      </c>
      <c r="K4" s="10" t="inlineStr">
        <is>
          <t>emitted_finding</t>
        </is>
      </c>
      <c r="L4" s="10" t="inlineStr">
        <is>
          <t>daylight_samples</t>
        </is>
      </c>
    </row>
    <row r="5">
      <c r="A5" s="5" t="inlineStr">
        <is>
          <t>dummy_single</t>
        </is>
      </c>
      <c r="B5" s="5" t="inlineStr">
        <is>
          <t>WB05-INV05</t>
        </is>
      </c>
      <c r="C5" s="5" t="inlineStr">
        <is>
          <t>WB05</t>
        </is>
      </c>
      <c r="D5" s="5" t="inlineStr">
        <is>
          <t>PV1</t>
        </is>
      </c>
      <c r="E5" s="5">
        <f>M2b_OpenCircuit!H5</f>
        <v/>
      </c>
      <c r="F5" s="17">
        <f>M2b_OpenCircuit!B5</f>
        <v/>
      </c>
      <c r="G5" s="17">
        <f>M2b_OpenCircuit!C5</f>
        <v/>
      </c>
      <c r="H5" s="31">
        <f>M2b_OpenCircuit!D5</f>
        <v/>
      </c>
      <c r="I5" s="5">
        <f>SUM(Helpers_OC!J5:J30)</f>
        <v/>
      </c>
      <c r="J5" s="5">
        <f>M2b_OpenCircuit!G5</f>
        <v/>
      </c>
      <c r="K5" s="5">
        <f>IF(M2b_OpenCircuit!G5=1,TRUE,FALSE)</f>
        <v/>
      </c>
      <c r="L5" s="5">
        <f>SUM(Helpers_OC!$C$5:$C$30)</f>
        <v/>
      </c>
    </row>
    <row r="6">
      <c r="A6" s="5" t="inlineStr">
        <is>
          <t>dummy_single</t>
        </is>
      </c>
      <c r="B6" s="5" t="inlineStr">
        <is>
          <t>WB05-INV05</t>
        </is>
      </c>
      <c r="C6" s="5" t="inlineStr">
        <is>
          <t>WB05</t>
        </is>
      </c>
      <c r="D6" s="5" t="inlineStr">
        <is>
          <t>PV2</t>
        </is>
      </c>
      <c r="E6" s="5">
        <f>M2b_OpenCircuit!H6</f>
        <v/>
      </c>
      <c r="F6" s="17">
        <f>M2b_OpenCircuit!B6</f>
        <v/>
      </c>
      <c r="G6" s="17">
        <f>M2b_OpenCircuit!C6</f>
        <v/>
      </c>
      <c r="H6" s="31">
        <f>M2b_OpenCircuit!D6</f>
        <v/>
      </c>
      <c r="I6" s="5">
        <f>SUM(Helpers_OC!K5:K30)</f>
        <v/>
      </c>
      <c r="J6" s="5">
        <f>M2b_OpenCircuit!G6</f>
        <v/>
      </c>
      <c r="K6" s="5">
        <f>IF(M2b_OpenCircuit!G6=1,TRUE,FALSE)</f>
        <v/>
      </c>
      <c r="L6" s="5">
        <f>SUM(Helpers_OC!$C$5:$C$30)</f>
        <v/>
      </c>
    </row>
    <row r="7">
      <c r="A7" s="5" t="inlineStr">
        <is>
          <t>dummy_single</t>
        </is>
      </c>
      <c r="B7" s="5" t="inlineStr">
        <is>
          <t>WB05-INV05</t>
        </is>
      </c>
      <c r="C7" s="5" t="inlineStr">
        <is>
          <t>WB05</t>
        </is>
      </c>
      <c r="D7" s="5" t="inlineStr">
        <is>
          <t>PV3</t>
        </is>
      </c>
      <c r="E7" s="5">
        <f>M2b_OpenCircuit!H7</f>
        <v/>
      </c>
      <c r="F7" s="17">
        <f>M2b_OpenCircuit!B7</f>
        <v/>
      </c>
      <c r="G7" s="17">
        <f>M2b_OpenCircuit!C7</f>
        <v/>
      </c>
      <c r="H7" s="31">
        <f>M2b_OpenCircuit!D7</f>
        <v/>
      </c>
      <c r="I7" s="5">
        <f>SUM(Helpers_OC!L5:L30)</f>
        <v/>
      </c>
      <c r="J7" s="5">
        <f>M2b_OpenCircuit!G7</f>
        <v/>
      </c>
      <c r="K7" s="5">
        <f>IF(M2b_OpenCircuit!G7=1,TRUE,FALSE)</f>
        <v/>
      </c>
      <c r="L7" s="5">
        <f>SUM(Helpers_OC!$C$5:$C$30)</f>
        <v/>
      </c>
    </row>
    <row r="8">
      <c r="A8" s="5" t="inlineStr">
        <is>
          <t>dummy_single</t>
        </is>
      </c>
      <c r="B8" s="5" t="inlineStr">
        <is>
          <t>WB05-INV05</t>
        </is>
      </c>
      <c r="C8" s="5" t="inlineStr">
        <is>
          <t>WB05</t>
        </is>
      </c>
      <c r="D8" s="5" t="inlineStr">
        <is>
          <t>PV4</t>
        </is>
      </c>
      <c r="E8" s="5">
        <f>M2b_OpenCircuit!H8</f>
        <v/>
      </c>
      <c r="F8" s="17">
        <f>M2b_OpenCircuit!B8</f>
        <v/>
      </c>
      <c r="G8" s="17">
        <f>M2b_OpenCircuit!C8</f>
        <v/>
      </c>
      <c r="H8" s="31">
        <f>M2b_OpenCircuit!D8</f>
        <v/>
      </c>
      <c r="I8" s="5">
        <f>SUM(Helpers_OC!M5:M30)</f>
        <v/>
      </c>
      <c r="J8" s="5">
        <f>M2b_OpenCircuit!G8</f>
        <v/>
      </c>
      <c r="K8" s="5">
        <f>IF(M2b_OpenCircuit!G8=1,TRUE,FALSE)</f>
        <v/>
      </c>
      <c r="L8" s="5">
        <f>SUM(Helpers_OC!$C$5:$C$30)</f>
        <v/>
      </c>
    </row>
    <row r="9">
      <c r="A9" s="5" t="inlineStr">
        <is>
          <t>dummy_single</t>
        </is>
      </c>
      <c r="B9" s="5" t="inlineStr">
        <is>
          <t>WB05-INV05</t>
        </is>
      </c>
      <c r="C9" s="5" t="inlineStr">
        <is>
          <t>WB05</t>
        </is>
      </c>
      <c r="D9" s="5" t="inlineStr">
        <is>
          <t>PV5</t>
        </is>
      </c>
      <c r="E9" s="5">
        <f>M2b_OpenCircuit!H9</f>
        <v/>
      </c>
      <c r="F9" s="17">
        <f>M2b_OpenCircuit!B9</f>
        <v/>
      </c>
      <c r="G9" s="17">
        <f>M2b_OpenCircuit!C9</f>
        <v/>
      </c>
      <c r="H9" s="31">
        <f>M2b_OpenCircuit!D9</f>
        <v/>
      </c>
      <c r="I9" s="5">
        <f>SUM(Helpers_OC!N5:N30)</f>
        <v/>
      </c>
      <c r="J9" s="5">
        <f>M2b_OpenCircuit!G9</f>
        <v/>
      </c>
      <c r="K9" s="5">
        <f>IF(M2b_OpenCircuit!G9=1,TRUE,FALSE)</f>
        <v/>
      </c>
      <c r="L9" s="5">
        <f>SUM(Helpers_OC!$C$5:$C$30)</f>
        <v/>
      </c>
    </row>
  </sheetData>
  <conditionalFormatting sqref="E5:E9">
    <cfRule type="cellIs" priority="1" operator="equal" dxfId="0">
      <formula>"open_circuit"</formula>
    </cfRule>
    <cfRule type="cellIs" priority="2" operator="equal" dxfId="4">
      <formula>"NORMAL"</formula>
    </cfRule>
    <cfRule type="cellIs" priority="3" operator="equal" dxfId="5">
      <formula>"EMPTY"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cols>
    <col width="19" customWidth="1" min="1" max="1"/>
    <col width="13" customWidth="1" min="2" max="2"/>
  </cols>
  <sheetData>
    <row r="1">
      <c r="A1" s="23" t="inlineStr">
        <is>
          <t>Raw_Data_GF — V/I per PV string + V_to_ground (4 inverter WB05)</t>
        </is>
      </c>
    </row>
    <row r="2">
      <c r="A2" s="24" t="inlineStr">
        <is>
          <t>INV01 NORMAL · INV02 V_to_ground tinggi (abs+adaptive) · INV03 PV3 ground-fault (spec: Voc↓ + I↑) · INV04 V_gnd tinggi + PV3 spec.</t>
        </is>
      </c>
    </row>
    <row r="3">
      <c r="A3" s="24" t="inlineStr">
        <is>
          <t>Tiap inverter: 3 baris dawn (06:00-06:10, I≈0 → Voc estimate) + 6 baris noon (12:00-12:25, POA=900 daylight). Empty slot PV5 (INV01/02) = 0.</t>
        </is>
      </c>
    </row>
    <row r="4">
      <c r="A4" s="10" t="inlineStr">
        <is>
          <t>Start Time</t>
        </is>
      </c>
      <c r="B4" s="10" t="inlineStr">
        <is>
          <t>Inverter_ID</t>
        </is>
      </c>
      <c r="C4" s="10" t="inlineStr">
        <is>
          <t>POA (W/m²)</t>
        </is>
      </c>
      <c r="D4" s="10" t="inlineStr">
        <is>
          <t>V_to_ground (V)</t>
        </is>
      </c>
      <c r="E4" s="10" t="inlineStr">
        <is>
          <t>PV1 input voltage(V)</t>
        </is>
      </c>
      <c r="F4" s="10" t="inlineStr">
        <is>
          <t>PV2 input voltage(V)</t>
        </is>
      </c>
      <c r="G4" s="10" t="inlineStr">
        <is>
          <t>PV3 input voltage(V)</t>
        </is>
      </c>
      <c r="H4" s="10" t="inlineStr">
        <is>
          <t>PV4 input voltage(V)</t>
        </is>
      </c>
      <c r="I4" s="10" t="inlineStr">
        <is>
          <t>PV5 input voltage(V)</t>
        </is>
      </c>
      <c r="J4" s="10" t="inlineStr">
        <is>
          <t>PV6 input voltage(V)</t>
        </is>
      </c>
      <c r="K4" s="10" t="inlineStr">
        <is>
          <t>PV1 input current(A)</t>
        </is>
      </c>
      <c r="L4" s="10" t="inlineStr">
        <is>
          <t>PV2 input current(A)</t>
        </is>
      </c>
      <c r="M4" s="10" t="inlineStr">
        <is>
          <t>PV3 input current(A)</t>
        </is>
      </c>
      <c r="N4" s="10" t="inlineStr">
        <is>
          <t>PV4 input current(A)</t>
        </is>
      </c>
      <c r="O4" s="10" t="inlineStr">
        <is>
          <t>PV5 input current(A)</t>
        </is>
      </c>
      <c r="P4" s="10" t="inlineStr">
        <is>
          <t>PV6 input current(A)</t>
        </is>
      </c>
    </row>
    <row r="5">
      <c r="A5" s="16" t="n">
        <v>46156.25</v>
      </c>
      <c r="B5" s="5" t="inlineStr">
        <is>
          <t>WB05-INV01</t>
        </is>
      </c>
      <c r="C5" s="5" t="n">
        <v>100</v>
      </c>
      <c r="D5" s="18" t="n">
        <v>2</v>
      </c>
      <c r="E5" s="18" t="n">
        <v>1430</v>
      </c>
      <c r="F5" s="18" t="n">
        <v>1430</v>
      </c>
      <c r="G5" s="18" t="n">
        <v>1430</v>
      </c>
      <c r="H5" s="18" t="n">
        <v>1430</v>
      </c>
      <c r="I5" s="32" t="n">
        <v>0</v>
      </c>
      <c r="J5" s="18" t="n">
        <v>1430</v>
      </c>
      <c r="K5" s="17" t="n">
        <v>0.2</v>
      </c>
      <c r="L5" s="17" t="n">
        <v>0.2</v>
      </c>
      <c r="M5" s="17" t="n">
        <v>0.2</v>
      </c>
      <c r="N5" s="17" t="n">
        <v>0.2</v>
      </c>
      <c r="O5" s="33" t="n">
        <v>0</v>
      </c>
      <c r="P5" s="17" t="n">
        <v>0.2</v>
      </c>
    </row>
    <row r="6">
      <c r="A6" s="16" t="n">
        <v>46156.25347222222</v>
      </c>
      <c r="B6" s="5" t="inlineStr">
        <is>
          <t>WB05-INV01</t>
        </is>
      </c>
      <c r="C6" s="5" t="n">
        <v>100</v>
      </c>
      <c r="D6" s="18" t="n">
        <v>2</v>
      </c>
      <c r="E6" s="18" t="n">
        <v>1430</v>
      </c>
      <c r="F6" s="18" t="n">
        <v>1430</v>
      </c>
      <c r="G6" s="18" t="n">
        <v>1430</v>
      </c>
      <c r="H6" s="18" t="n">
        <v>1430</v>
      </c>
      <c r="I6" s="32" t="n">
        <v>0</v>
      </c>
      <c r="J6" s="18" t="n">
        <v>1430</v>
      </c>
      <c r="K6" s="17" t="n">
        <v>0.2</v>
      </c>
      <c r="L6" s="17" t="n">
        <v>0.2</v>
      </c>
      <c r="M6" s="17" t="n">
        <v>0.2</v>
      </c>
      <c r="N6" s="17" t="n">
        <v>0.2</v>
      </c>
      <c r="O6" s="33" t="n">
        <v>0</v>
      </c>
      <c r="P6" s="17" t="n">
        <v>0.2</v>
      </c>
    </row>
    <row r="7">
      <c r="A7" s="16" t="n">
        <v>46156.25694444445</v>
      </c>
      <c r="B7" s="5" t="inlineStr">
        <is>
          <t>WB05-INV01</t>
        </is>
      </c>
      <c r="C7" s="5" t="n">
        <v>100</v>
      </c>
      <c r="D7" s="18" t="n">
        <v>2</v>
      </c>
      <c r="E7" s="18" t="n">
        <v>1430</v>
      </c>
      <c r="F7" s="18" t="n">
        <v>1430</v>
      </c>
      <c r="G7" s="18" t="n">
        <v>1430</v>
      </c>
      <c r="H7" s="18" t="n">
        <v>1430</v>
      </c>
      <c r="I7" s="32" t="n">
        <v>0</v>
      </c>
      <c r="J7" s="18" t="n">
        <v>1430</v>
      </c>
      <c r="K7" s="17" t="n">
        <v>0.2</v>
      </c>
      <c r="L7" s="17" t="n">
        <v>0.2</v>
      </c>
      <c r="M7" s="17" t="n">
        <v>0.2</v>
      </c>
      <c r="N7" s="17" t="n">
        <v>0.2</v>
      </c>
      <c r="O7" s="33" t="n">
        <v>0</v>
      </c>
      <c r="P7" s="17" t="n">
        <v>0.2</v>
      </c>
    </row>
    <row r="8">
      <c r="A8" s="16" t="n">
        <v>46156.5</v>
      </c>
      <c r="B8" s="5" t="inlineStr">
        <is>
          <t>WB05-INV01</t>
        </is>
      </c>
      <c r="C8" s="5" t="n">
        <v>900</v>
      </c>
      <c r="D8" s="18" t="n">
        <v>2</v>
      </c>
      <c r="E8" s="18" t="n">
        <v>1180</v>
      </c>
      <c r="F8" s="18" t="n">
        <v>1180</v>
      </c>
      <c r="G8" s="18" t="n">
        <v>1180</v>
      </c>
      <c r="H8" s="18" t="n">
        <v>1180</v>
      </c>
      <c r="I8" s="32" t="n">
        <v>0</v>
      </c>
      <c r="J8" s="18" t="n">
        <v>1180</v>
      </c>
      <c r="K8" s="17" t="n">
        <v>13.1</v>
      </c>
      <c r="L8" s="17" t="n">
        <v>13.1</v>
      </c>
      <c r="M8" s="17" t="n">
        <v>13.1</v>
      </c>
      <c r="N8" s="17" t="n">
        <v>13.1</v>
      </c>
      <c r="O8" s="33" t="n">
        <v>0</v>
      </c>
      <c r="P8" s="17" t="n">
        <v>13.1</v>
      </c>
    </row>
    <row r="9">
      <c r="A9" s="16" t="n">
        <v>46156.50347222222</v>
      </c>
      <c r="B9" s="5" t="inlineStr">
        <is>
          <t>WB05-INV01</t>
        </is>
      </c>
      <c r="C9" s="5" t="n">
        <v>900</v>
      </c>
      <c r="D9" s="18" t="n">
        <v>2</v>
      </c>
      <c r="E9" s="18" t="n">
        <v>1180</v>
      </c>
      <c r="F9" s="18" t="n">
        <v>1180</v>
      </c>
      <c r="G9" s="18" t="n">
        <v>1180</v>
      </c>
      <c r="H9" s="18" t="n">
        <v>1180</v>
      </c>
      <c r="I9" s="32" t="n">
        <v>0</v>
      </c>
      <c r="J9" s="18" t="n">
        <v>1180</v>
      </c>
      <c r="K9" s="17" t="n">
        <v>12.9</v>
      </c>
      <c r="L9" s="17" t="n">
        <v>12.9</v>
      </c>
      <c r="M9" s="17" t="n">
        <v>12.9</v>
      </c>
      <c r="N9" s="17" t="n">
        <v>12.9</v>
      </c>
      <c r="O9" s="33" t="n">
        <v>0</v>
      </c>
      <c r="P9" s="17" t="n">
        <v>12.9</v>
      </c>
    </row>
    <row r="10">
      <c r="A10" s="16" t="n">
        <v>46156.50694444445</v>
      </c>
      <c r="B10" s="5" t="inlineStr">
        <is>
          <t>WB05-INV01</t>
        </is>
      </c>
      <c r="C10" s="5" t="n">
        <v>900</v>
      </c>
      <c r="D10" s="18" t="n">
        <v>2</v>
      </c>
      <c r="E10" s="18" t="n">
        <v>1180</v>
      </c>
      <c r="F10" s="18" t="n">
        <v>1180</v>
      </c>
      <c r="G10" s="18" t="n">
        <v>1180</v>
      </c>
      <c r="H10" s="18" t="n">
        <v>1180</v>
      </c>
      <c r="I10" s="32" t="n">
        <v>0</v>
      </c>
      <c r="J10" s="18" t="n">
        <v>1180</v>
      </c>
      <c r="K10" s="17" t="n">
        <v>13.1</v>
      </c>
      <c r="L10" s="17" t="n">
        <v>13.1</v>
      </c>
      <c r="M10" s="17" t="n">
        <v>13.1</v>
      </c>
      <c r="N10" s="17" t="n">
        <v>13.1</v>
      </c>
      <c r="O10" s="33" t="n">
        <v>0</v>
      </c>
      <c r="P10" s="17" t="n">
        <v>13.1</v>
      </c>
    </row>
    <row r="11">
      <c r="A11" s="16" t="n">
        <v>46156.51041666666</v>
      </c>
      <c r="B11" s="5" t="inlineStr">
        <is>
          <t>WB05-INV01</t>
        </is>
      </c>
      <c r="C11" s="5" t="n">
        <v>900</v>
      </c>
      <c r="D11" s="18" t="n">
        <v>2</v>
      </c>
      <c r="E11" s="18" t="n">
        <v>1180</v>
      </c>
      <c r="F11" s="18" t="n">
        <v>1180</v>
      </c>
      <c r="G11" s="18" t="n">
        <v>1180</v>
      </c>
      <c r="H11" s="18" t="n">
        <v>1180</v>
      </c>
      <c r="I11" s="32" t="n">
        <v>0</v>
      </c>
      <c r="J11" s="18" t="n">
        <v>1180</v>
      </c>
      <c r="K11" s="17" t="n">
        <v>12.9</v>
      </c>
      <c r="L11" s="17" t="n">
        <v>12.9</v>
      </c>
      <c r="M11" s="17" t="n">
        <v>12.9</v>
      </c>
      <c r="N11" s="17" t="n">
        <v>12.9</v>
      </c>
      <c r="O11" s="33" t="n">
        <v>0</v>
      </c>
      <c r="P11" s="17" t="n">
        <v>12.9</v>
      </c>
    </row>
    <row r="12">
      <c r="A12" s="16" t="n">
        <v>46156.51388888889</v>
      </c>
      <c r="B12" s="5" t="inlineStr">
        <is>
          <t>WB05-INV01</t>
        </is>
      </c>
      <c r="C12" s="5" t="n">
        <v>900</v>
      </c>
      <c r="D12" s="18" t="n">
        <v>2</v>
      </c>
      <c r="E12" s="18" t="n">
        <v>1180</v>
      </c>
      <c r="F12" s="18" t="n">
        <v>1180</v>
      </c>
      <c r="G12" s="18" t="n">
        <v>1180</v>
      </c>
      <c r="H12" s="18" t="n">
        <v>1180</v>
      </c>
      <c r="I12" s="32" t="n">
        <v>0</v>
      </c>
      <c r="J12" s="18" t="n">
        <v>1180</v>
      </c>
      <c r="K12" s="17" t="n">
        <v>13.1</v>
      </c>
      <c r="L12" s="17" t="n">
        <v>13.1</v>
      </c>
      <c r="M12" s="17" t="n">
        <v>13.1</v>
      </c>
      <c r="N12" s="17" t="n">
        <v>13.1</v>
      </c>
      <c r="O12" s="33" t="n">
        <v>0</v>
      </c>
      <c r="P12" s="17" t="n">
        <v>13.1</v>
      </c>
    </row>
    <row r="13">
      <c r="A13" s="16" t="n">
        <v>46156.51736111111</v>
      </c>
      <c r="B13" s="5" t="inlineStr">
        <is>
          <t>WB05-INV01</t>
        </is>
      </c>
      <c r="C13" s="5" t="n">
        <v>900</v>
      </c>
      <c r="D13" s="18" t="n">
        <v>2</v>
      </c>
      <c r="E13" s="18" t="n">
        <v>1180</v>
      </c>
      <c r="F13" s="18" t="n">
        <v>1180</v>
      </c>
      <c r="G13" s="18" t="n">
        <v>1180</v>
      </c>
      <c r="H13" s="18" t="n">
        <v>1180</v>
      </c>
      <c r="I13" s="32" t="n">
        <v>0</v>
      </c>
      <c r="J13" s="18" t="n">
        <v>1180</v>
      </c>
      <c r="K13" s="17" t="n">
        <v>12.9</v>
      </c>
      <c r="L13" s="17" t="n">
        <v>12.9</v>
      </c>
      <c r="M13" s="17" t="n">
        <v>12.9</v>
      </c>
      <c r="N13" s="17" t="n">
        <v>12.9</v>
      </c>
      <c r="O13" s="33" t="n">
        <v>0</v>
      </c>
      <c r="P13" s="17" t="n">
        <v>12.9</v>
      </c>
    </row>
    <row r="14">
      <c r="A14" s="16" t="n">
        <v>46156.25</v>
      </c>
      <c r="B14" s="5" t="inlineStr">
        <is>
          <t>WB05-INV02</t>
        </is>
      </c>
      <c r="C14" s="5" t="n">
        <v>100</v>
      </c>
      <c r="D14" s="34" t="n">
        <v>-80</v>
      </c>
      <c r="E14" s="18" t="n">
        <v>1430</v>
      </c>
      <c r="F14" s="18" t="n">
        <v>1430</v>
      </c>
      <c r="G14" s="18" t="n">
        <v>1430</v>
      </c>
      <c r="H14" s="18" t="n">
        <v>1430</v>
      </c>
      <c r="I14" s="32" t="n">
        <v>0</v>
      </c>
      <c r="J14" s="18" t="n">
        <v>1430</v>
      </c>
      <c r="K14" s="17" t="n">
        <v>0.2</v>
      </c>
      <c r="L14" s="17" t="n">
        <v>0.2</v>
      </c>
      <c r="M14" s="17" t="n">
        <v>0.2</v>
      </c>
      <c r="N14" s="17" t="n">
        <v>0.2</v>
      </c>
      <c r="O14" s="33" t="n">
        <v>0</v>
      </c>
      <c r="P14" s="17" t="n">
        <v>0.2</v>
      </c>
    </row>
    <row r="15">
      <c r="A15" s="16" t="n">
        <v>46156.25347222222</v>
      </c>
      <c r="B15" s="5" t="inlineStr">
        <is>
          <t>WB05-INV02</t>
        </is>
      </c>
      <c r="C15" s="5" t="n">
        <v>100</v>
      </c>
      <c r="D15" s="34" t="n">
        <v>-80</v>
      </c>
      <c r="E15" s="18" t="n">
        <v>1430</v>
      </c>
      <c r="F15" s="18" t="n">
        <v>1430</v>
      </c>
      <c r="G15" s="18" t="n">
        <v>1430</v>
      </c>
      <c r="H15" s="18" t="n">
        <v>1430</v>
      </c>
      <c r="I15" s="32" t="n">
        <v>0</v>
      </c>
      <c r="J15" s="18" t="n">
        <v>1430</v>
      </c>
      <c r="K15" s="17" t="n">
        <v>0.2</v>
      </c>
      <c r="L15" s="17" t="n">
        <v>0.2</v>
      </c>
      <c r="M15" s="17" t="n">
        <v>0.2</v>
      </c>
      <c r="N15" s="17" t="n">
        <v>0.2</v>
      </c>
      <c r="O15" s="33" t="n">
        <v>0</v>
      </c>
      <c r="P15" s="17" t="n">
        <v>0.2</v>
      </c>
    </row>
    <row r="16">
      <c r="A16" s="16" t="n">
        <v>46156.25694444445</v>
      </c>
      <c r="B16" s="5" t="inlineStr">
        <is>
          <t>WB05-INV02</t>
        </is>
      </c>
      <c r="C16" s="5" t="n">
        <v>100</v>
      </c>
      <c r="D16" s="34" t="n">
        <v>-80</v>
      </c>
      <c r="E16" s="18" t="n">
        <v>1430</v>
      </c>
      <c r="F16" s="18" t="n">
        <v>1430</v>
      </c>
      <c r="G16" s="18" t="n">
        <v>1430</v>
      </c>
      <c r="H16" s="18" t="n">
        <v>1430</v>
      </c>
      <c r="I16" s="32" t="n">
        <v>0</v>
      </c>
      <c r="J16" s="18" t="n">
        <v>1430</v>
      </c>
      <c r="K16" s="17" t="n">
        <v>0.2</v>
      </c>
      <c r="L16" s="17" t="n">
        <v>0.2</v>
      </c>
      <c r="M16" s="17" t="n">
        <v>0.2</v>
      </c>
      <c r="N16" s="17" t="n">
        <v>0.2</v>
      </c>
      <c r="O16" s="33" t="n">
        <v>0</v>
      </c>
      <c r="P16" s="17" t="n">
        <v>0.2</v>
      </c>
    </row>
    <row r="17">
      <c r="A17" s="16" t="n">
        <v>46156.5</v>
      </c>
      <c r="B17" s="5" t="inlineStr">
        <is>
          <t>WB05-INV02</t>
        </is>
      </c>
      <c r="C17" s="5" t="n">
        <v>900</v>
      </c>
      <c r="D17" s="34" t="n">
        <v>-80</v>
      </c>
      <c r="E17" s="18" t="n">
        <v>1180</v>
      </c>
      <c r="F17" s="18" t="n">
        <v>1180</v>
      </c>
      <c r="G17" s="18" t="n">
        <v>1180</v>
      </c>
      <c r="H17" s="18" t="n">
        <v>1180</v>
      </c>
      <c r="I17" s="32" t="n">
        <v>0</v>
      </c>
      <c r="J17" s="18" t="n">
        <v>1180</v>
      </c>
      <c r="K17" s="17" t="n">
        <v>13.1</v>
      </c>
      <c r="L17" s="17" t="n">
        <v>13.1</v>
      </c>
      <c r="M17" s="17" t="n">
        <v>13.1</v>
      </c>
      <c r="N17" s="17" t="n">
        <v>13.1</v>
      </c>
      <c r="O17" s="33" t="n">
        <v>0</v>
      </c>
      <c r="P17" s="17" t="n">
        <v>13.1</v>
      </c>
    </row>
    <row r="18">
      <c r="A18" s="16" t="n">
        <v>46156.50347222222</v>
      </c>
      <c r="B18" s="5" t="inlineStr">
        <is>
          <t>WB05-INV02</t>
        </is>
      </c>
      <c r="C18" s="5" t="n">
        <v>900</v>
      </c>
      <c r="D18" s="34" t="n">
        <v>-80</v>
      </c>
      <c r="E18" s="18" t="n">
        <v>1180</v>
      </c>
      <c r="F18" s="18" t="n">
        <v>1180</v>
      </c>
      <c r="G18" s="18" t="n">
        <v>1180</v>
      </c>
      <c r="H18" s="18" t="n">
        <v>1180</v>
      </c>
      <c r="I18" s="32" t="n">
        <v>0</v>
      </c>
      <c r="J18" s="18" t="n">
        <v>1180</v>
      </c>
      <c r="K18" s="17" t="n">
        <v>12.9</v>
      </c>
      <c r="L18" s="17" t="n">
        <v>12.9</v>
      </c>
      <c r="M18" s="17" t="n">
        <v>12.9</v>
      </c>
      <c r="N18" s="17" t="n">
        <v>12.9</v>
      </c>
      <c r="O18" s="33" t="n">
        <v>0</v>
      </c>
      <c r="P18" s="17" t="n">
        <v>12.9</v>
      </c>
    </row>
    <row r="19">
      <c r="A19" s="16" t="n">
        <v>46156.50694444445</v>
      </c>
      <c r="B19" s="5" t="inlineStr">
        <is>
          <t>WB05-INV02</t>
        </is>
      </c>
      <c r="C19" s="5" t="n">
        <v>900</v>
      </c>
      <c r="D19" s="34" t="n">
        <v>-80</v>
      </c>
      <c r="E19" s="18" t="n">
        <v>1180</v>
      </c>
      <c r="F19" s="18" t="n">
        <v>1180</v>
      </c>
      <c r="G19" s="18" t="n">
        <v>1180</v>
      </c>
      <c r="H19" s="18" t="n">
        <v>1180</v>
      </c>
      <c r="I19" s="32" t="n">
        <v>0</v>
      </c>
      <c r="J19" s="18" t="n">
        <v>1180</v>
      </c>
      <c r="K19" s="17" t="n">
        <v>13.1</v>
      </c>
      <c r="L19" s="17" t="n">
        <v>13.1</v>
      </c>
      <c r="M19" s="17" t="n">
        <v>13.1</v>
      </c>
      <c r="N19" s="17" t="n">
        <v>13.1</v>
      </c>
      <c r="O19" s="33" t="n">
        <v>0</v>
      </c>
      <c r="P19" s="17" t="n">
        <v>13.1</v>
      </c>
    </row>
    <row r="20">
      <c r="A20" s="16" t="n">
        <v>46156.51041666666</v>
      </c>
      <c r="B20" s="5" t="inlineStr">
        <is>
          <t>WB05-INV02</t>
        </is>
      </c>
      <c r="C20" s="5" t="n">
        <v>900</v>
      </c>
      <c r="D20" s="34" t="n">
        <v>-80</v>
      </c>
      <c r="E20" s="18" t="n">
        <v>1180</v>
      </c>
      <c r="F20" s="18" t="n">
        <v>1180</v>
      </c>
      <c r="G20" s="18" t="n">
        <v>1180</v>
      </c>
      <c r="H20" s="18" t="n">
        <v>1180</v>
      </c>
      <c r="I20" s="32" t="n">
        <v>0</v>
      </c>
      <c r="J20" s="18" t="n">
        <v>1180</v>
      </c>
      <c r="K20" s="17" t="n">
        <v>12.9</v>
      </c>
      <c r="L20" s="17" t="n">
        <v>12.9</v>
      </c>
      <c r="M20" s="17" t="n">
        <v>12.9</v>
      </c>
      <c r="N20" s="17" t="n">
        <v>12.9</v>
      </c>
      <c r="O20" s="33" t="n">
        <v>0</v>
      </c>
      <c r="P20" s="17" t="n">
        <v>12.9</v>
      </c>
    </row>
    <row r="21">
      <c r="A21" s="16" t="n">
        <v>46156.51388888889</v>
      </c>
      <c r="B21" s="5" t="inlineStr">
        <is>
          <t>WB05-INV02</t>
        </is>
      </c>
      <c r="C21" s="5" t="n">
        <v>900</v>
      </c>
      <c r="D21" s="34" t="n">
        <v>-80</v>
      </c>
      <c r="E21" s="18" t="n">
        <v>1180</v>
      </c>
      <c r="F21" s="18" t="n">
        <v>1180</v>
      </c>
      <c r="G21" s="18" t="n">
        <v>1180</v>
      </c>
      <c r="H21" s="18" t="n">
        <v>1180</v>
      </c>
      <c r="I21" s="32" t="n">
        <v>0</v>
      </c>
      <c r="J21" s="18" t="n">
        <v>1180</v>
      </c>
      <c r="K21" s="17" t="n">
        <v>13.1</v>
      </c>
      <c r="L21" s="17" t="n">
        <v>13.1</v>
      </c>
      <c r="M21" s="17" t="n">
        <v>13.1</v>
      </c>
      <c r="N21" s="17" t="n">
        <v>13.1</v>
      </c>
      <c r="O21" s="33" t="n">
        <v>0</v>
      </c>
      <c r="P21" s="17" t="n">
        <v>13.1</v>
      </c>
    </row>
    <row r="22">
      <c r="A22" s="16" t="n">
        <v>46156.51736111111</v>
      </c>
      <c r="B22" s="5" t="inlineStr">
        <is>
          <t>WB05-INV02</t>
        </is>
      </c>
      <c r="C22" s="5" t="n">
        <v>900</v>
      </c>
      <c r="D22" s="34" t="n">
        <v>-80</v>
      </c>
      <c r="E22" s="18" t="n">
        <v>1180</v>
      </c>
      <c r="F22" s="18" t="n">
        <v>1180</v>
      </c>
      <c r="G22" s="18" t="n">
        <v>1180</v>
      </c>
      <c r="H22" s="18" t="n">
        <v>1180</v>
      </c>
      <c r="I22" s="32" t="n">
        <v>0</v>
      </c>
      <c r="J22" s="18" t="n">
        <v>1180</v>
      </c>
      <c r="K22" s="17" t="n">
        <v>12.9</v>
      </c>
      <c r="L22" s="17" t="n">
        <v>12.9</v>
      </c>
      <c r="M22" s="17" t="n">
        <v>12.9</v>
      </c>
      <c r="N22" s="17" t="n">
        <v>12.9</v>
      </c>
      <c r="O22" s="33" t="n">
        <v>0</v>
      </c>
      <c r="P22" s="17" t="n">
        <v>12.9</v>
      </c>
    </row>
    <row r="23">
      <c r="A23" s="16" t="n">
        <v>46156.25</v>
      </c>
      <c r="B23" s="5" t="inlineStr">
        <is>
          <t>WB05-INV03</t>
        </is>
      </c>
      <c r="C23" s="5" t="n">
        <v>100</v>
      </c>
      <c r="D23" s="18" t="n">
        <v>1</v>
      </c>
      <c r="E23" s="18" t="n">
        <v>1430</v>
      </c>
      <c r="F23" s="18" t="n">
        <v>1430</v>
      </c>
      <c r="G23" s="35" t="n">
        <v>1100</v>
      </c>
      <c r="H23" s="18" t="n">
        <v>1430</v>
      </c>
      <c r="I23" s="18" t="n">
        <v>1430</v>
      </c>
      <c r="J23" s="18" t="n">
        <v>1430</v>
      </c>
      <c r="K23" s="17" t="n">
        <v>0.2</v>
      </c>
      <c r="L23" s="17" t="n">
        <v>0.2</v>
      </c>
      <c r="M23" s="25" t="n">
        <v>0.2</v>
      </c>
      <c r="N23" s="17" t="n">
        <v>0.2</v>
      </c>
      <c r="O23" s="17" t="n">
        <v>0.2</v>
      </c>
      <c r="P23" s="17" t="n">
        <v>0.2</v>
      </c>
    </row>
    <row r="24">
      <c r="A24" s="16" t="n">
        <v>46156.25347222222</v>
      </c>
      <c r="B24" s="5" t="inlineStr">
        <is>
          <t>WB05-INV03</t>
        </is>
      </c>
      <c r="C24" s="5" t="n">
        <v>100</v>
      </c>
      <c r="D24" s="18" t="n">
        <v>1</v>
      </c>
      <c r="E24" s="18" t="n">
        <v>1430</v>
      </c>
      <c r="F24" s="18" t="n">
        <v>1430</v>
      </c>
      <c r="G24" s="35" t="n">
        <v>1100</v>
      </c>
      <c r="H24" s="18" t="n">
        <v>1430</v>
      </c>
      <c r="I24" s="18" t="n">
        <v>1430</v>
      </c>
      <c r="J24" s="18" t="n">
        <v>1430</v>
      </c>
      <c r="K24" s="17" t="n">
        <v>0.2</v>
      </c>
      <c r="L24" s="17" t="n">
        <v>0.2</v>
      </c>
      <c r="M24" s="25" t="n">
        <v>0.2</v>
      </c>
      <c r="N24" s="17" t="n">
        <v>0.2</v>
      </c>
      <c r="O24" s="17" t="n">
        <v>0.2</v>
      </c>
      <c r="P24" s="17" t="n">
        <v>0.2</v>
      </c>
    </row>
    <row r="25">
      <c r="A25" s="16" t="n">
        <v>46156.25694444445</v>
      </c>
      <c r="B25" s="5" t="inlineStr">
        <is>
          <t>WB05-INV03</t>
        </is>
      </c>
      <c r="C25" s="5" t="n">
        <v>100</v>
      </c>
      <c r="D25" s="18" t="n">
        <v>1</v>
      </c>
      <c r="E25" s="18" t="n">
        <v>1430</v>
      </c>
      <c r="F25" s="18" t="n">
        <v>1430</v>
      </c>
      <c r="G25" s="35" t="n">
        <v>1100</v>
      </c>
      <c r="H25" s="18" t="n">
        <v>1430</v>
      </c>
      <c r="I25" s="18" t="n">
        <v>1430</v>
      </c>
      <c r="J25" s="18" t="n">
        <v>1430</v>
      </c>
      <c r="K25" s="17" t="n">
        <v>0.2</v>
      </c>
      <c r="L25" s="17" t="n">
        <v>0.2</v>
      </c>
      <c r="M25" s="25" t="n">
        <v>0.2</v>
      </c>
      <c r="N25" s="17" t="n">
        <v>0.2</v>
      </c>
      <c r="O25" s="17" t="n">
        <v>0.2</v>
      </c>
      <c r="P25" s="17" t="n">
        <v>0.2</v>
      </c>
    </row>
    <row r="26">
      <c r="A26" s="16" t="n">
        <v>46156.5</v>
      </c>
      <c r="B26" s="5" t="inlineStr">
        <is>
          <t>WB05-INV03</t>
        </is>
      </c>
      <c r="C26" s="5" t="n">
        <v>900</v>
      </c>
      <c r="D26" s="18" t="n">
        <v>1</v>
      </c>
      <c r="E26" s="18" t="n">
        <v>1180</v>
      </c>
      <c r="F26" s="18" t="n">
        <v>1180</v>
      </c>
      <c r="G26" s="35" t="n">
        <v>1100</v>
      </c>
      <c r="H26" s="18" t="n">
        <v>1180</v>
      </c>
      <c r="I26" s="18" t="n">
        <v>1180</v>
      </c>
      <c r="J26" s="18" t="n">
        <v>1180</v>
      </c>
      <c r="K26" s="17" t="n">
        <v>13.1</v>
      </c>
      <c r="L26" s="17" t="n">
        <v>13.1</v>
      </c>
      <c r="M26" s="25" t="n">
        <v>14.3</v>
      </c>
      <c r="N26" s="17" t="n">
        <v>13.1</v>
      </c>
      <c r="O26" s="17" t="n">
        <v>13.1</v>
      </c>
      <c r="P26" s="17" t="n">
        <v>13.1</v>
      </c>
    </row>
    <row r="27">
      <c r="A27" s="16" t="n">
        <v>46156.50347222222</v>
      </c>
      <c r="B27" s="5" t="inlineStr">
        <is>
          <t>WB05-INV03</t>
        </is>
      </c>
      <c r="C27" s="5" t="n">
        <v>900</v>
      </c>
      <c r="D27" s="18" t="n">
        <v>1</v>
      </c>
      <c r="E27" s="18" t="n">
        <v>1180</v>
      </c>
      <c r="F27" s="18" t="n">
        <v>1180</v>
      </c>
      <c r="G27" s="35" t="n">
        <v>1100</v>
      </c>
      <c r="H27" s="18" t="n">
        <v>1180</v>
      </c>
      <c r="I27" s="18" t="n">
        <v>1180</v>
      </c>
      <c r="J27" s="18" t="n">
        <v>1180</v>
      </c>
      <c r="K27" s="17" t="n">
        <v>12.9</v>
      </c>
      <c r="L27" s="17" t="n">
        <v>12.9</v>
      </c>
      <c r="M27" s="25" t="n">
        <v>14.1</v>
      </c>
      <c r="N27" s="17" t="n">
        <v>12.9</v>
      </c>
      <c r="O27" s="17" t="n">
        <v>12.9</v>
      </c>
      <c r="P27" s="17" t="n">
        <v>12.9</v>
      </c>
    </row>
    <row r="28">
      <c r="A28" s="16" t="n">
        <v>46156.50694444445</v>
      </c>
      <c r="B28" s="5" t="inlineStr">
        <is>
          <t>WB05-INV03</t>
        </is>
      </c>
      <c r="C28" s="5" t="n">
        <v>900</v>
      </c>
      <c r="D28" s="18" t="n">
        <v>1</v>
      </c>
      <c r="E28" s="18" t="n">
        <v>1180</v>
      </c>
      <c r="F28" s="18" t="n">
        <v>1180</v>
      </c>
      <c r="G28" s="35" t="n">
        <v>1100</v>
      </c>
      <c r="H28" s="18" t="n">
        <v>1180</v>
      </c>
      <c r="I28" s="18" t="n">
        <v>1180</v>
      </c>
      <c r="J28" s="18" t="n">
        <v>1180</v>
      </c>
      <c r="K28" s="17" t="n">
        <v>13.1</v>
      </c>
      <c r="L28" s="17" t="n">
        <v>13.1</v>
      </c>
      <c r="M28" s="25" t="n">
        <v>14.3</v>
      </c>
      <c r="N28" s="17" t="n">
        <v>13.1</v>
      </c>
      <c r="O28" s="17" t="n">
        <v>13.1</v>
      </c>
      <c r="P28" s="17" t="n">
        <v>13.1</v>
      </c>
    </row>
    <row r="29">
      <c r="A29" s="16" t="n">
        <v>46156.51041666666</v>
      </c>
      <c r="B29" s="5" t="inlineStr">
        <is>
          <t>WB05-INV03</t>
        </is>
      </c>
      <c r="C29" s="5" t="n">
        <v>900</v>
      </c>
      <c r="D29" s="18" t="n">
        <v>1</v>
      </c>
      <c r="E29" s="18" t="n">
        <v>1180</v>
      </c>
      <c r="F29" s="18" t="n">
        <v>1180</v>
      </c>
      <c r="G29" s="35" t="n">
        <v>1100</v>
      </c>
      <c r="H29" s="18" t="n">
        <v>1180</v>
      </c>
      <c r="I29" s="18" t="n">
        <v>1180</v>
      </c>
      <c r="J29" s="18" t="n">
        <v>1180</v>
      </c>
      <c r="K29" s="17" t="n">
        <v>12.9</v>
      </c>
      <c r="L29" s="17" t="n">
        <v>12.9</v>
      </c>
      <c r="M29" s="25" t="n">
        <v>14.1</v>
      </c>
      <c r="N29" s="17" t="n">
        <v>12.9</v>
      </c>
      <c r="O29" s="17" t="n">
        <v>12.9</v>
      </c>
      <c r="P29" s="17" t="n">
        <v>12.9</v>
      </c>
    </row>
    <row r="30">
      <c r="A30" s="16" t="n">
        <v>46156.51388888889</v>
      </c>
      <c r="B30" s="5" t="inlineStr">
        <is>
          <t>WB05-INV03</t>
        </is>
      </c>
      <c r="C30" s="5" t="n">
        <v>900</v>
      </c>
      <c r="D30" s="18" t="n">
        <v>1</v>
      </c>
      <c r="E30" s="18" t="n">
        <v>1180</v>
      </c>
      <c r="F30" s="18" t="n">
        <v>1180</v>
      </c>
      <c r="G30" s="35" t="n">
        <v>1100</v>
      </c>
      <c r="H30" s="18" t="n">
        <v>1180</v>
      </c>
      <c r="I30" s="18" t="n">
        <v>1180</v>
      </c>
      <c r="J30" s="18" t="n">
        <v>1180</v>
      </c>
      <c r="K30" s="17" t="n">
        <v>13.1</v>
      </c>
      <c r="L30" s="17" t="n">
        <v>13.1</v>
      </c>
      <c r="M30" s="25" t="n">
        <v>14.3</v>
      </c>
      <c r="N30" s="17" t="n">
        <v>13.1</v>
      </c>
      <c r="O30" s="17" t="n">
        <v>13.1</v>
      </c>
      <c r="P30" s="17" t="n">
        <v>13.1</v>
      </c>
    </row>
    <row r="31">
      <c r="A31" s="16" t="n">
        <v>46156.51736111111</v>
      </c>
      <c r="B31" s="5" t="inlineStr">
        <is>
          <t>WB05-INV03</t>
        </is>
      </c>
      <c r="C31" s="5" t="n">
        <v>900</v>
      </c>
      <c r="D31" s="18" t="n">
        <v>1</v>
      </c>
      <c r="E31" s="18" t="n">
        <v>1180</v>
      </c>
      <c r="F31" s="18" t="n">
        <v>1180</v>
      </c>
      <c r="G31" s="35" t="n">
        <v>1100</v>
      </c>
      <c r="H31" s="18" t="n">
        <v>1180</v>
      </c>
      <c r="I31" s="18" t="n">
        <v>1180</v>
      </c>
      <c r="J31" s="18" t="n">
        <v>1180</v>
      </c>
      <c r="K31" s="17" t="n">
        <v>12.9</v>
      </c>
      <c r="L31" s="17" t="n">
        <v>12.9</v>
      </c>
      <c r="M31" s="25" t="n">
        <v>14.1</v>
      </c>
      <c r="N31" s="17" t="n">
        <v>12.9</v>
      </c>
      <c r="O31" s="17" t="n">
        <v>12.9</v>
      </c>
      <c r="P31" s="17" t="n">
        <v>12.9</v>
      </c>
    </row>
    <row r="32">
      <c r="A32" s="16" t="n">
        <v>46156.25</v>
      </c>
      <c r="B32" s="5" t="inlineStr">
        <is>
          <t>WB05-INV04</t>
        </is>
      </c>
      <c r="C32" s="5" t="n">
        <v>100</v>
      </c>
      <c r="D32" s="34" t="n">
        <v>-90</v>
      </c>
      <c r="E32" s="18" t="n">
        <v>1430</v>
      </c>
      <c r="F32" s="18" t="n">
        <v>1430</v>
      </c>
      <c r="G32" s="35" t="n">
        <v>1100</v>
      </c>
      <c r="H32" s="18" t="n">
        <v>1430</v>
      </c>
      <c r="I32" s="18" t="n">
        <v>1430</v>
      </c>
      <c r="J32" s="18" t="n">
        <v>1430</v>
      </c>
      <c r="K32" s="17" t="n">
        <v>0.2</v>
      </c>
      <c r="L32" s="17" t="n">
        <v>0.2</v>
      </c>
      <c r="M32" s="25" t="n">
        <v>0.2</v>
      </c>
      <c r="N32" s="17" t="n">
        <v>0.2</v>
      </c>
      <c r="O32" s="17" t="n">
        <v>0.2</v>
      </c>
      <c r="P32" s="17" t="n">
        <v>0.2</v>
      </c>
    </row>
    <row r="33">
      <c r="A33" s="16" t="n">
        <v>46156.25347222222</v>
      </c>
      <c r="B33" s="5" t="inlineStr">
        <is>
          <t>WB05-INV04</t>
        </is>
      </c>
      <c r="C33" s="5" t="n">
        <v>100</v>
      </c>
      <c r="D33" s="34" t="n">
        <v>-90</v>
      </c>
      <c r="E33" s="18" t="n">
        <v>1430</v>
      </c>
      <c r="F33" s="18" t="n">
        <v>1430</v>
      </c>
      <c r="G33" s="35" t="n">
        <v>1100</v>
      </c>
      <c r="H33" s="18" t="n">
        <v>1430</v>
      </c>
      <c r="I33" s="18" t="n">
        <v>1430</v>
      </c>
      <c r="J33" s="18" t="n">
        <v>1430</v>
      </c>
      <c r="K33" s="17" t="n">
        <v>0.2</v>
      </c>
      <c r="L33" s="17" t="n">
        <v>0.2</v>
      </c>
      <c r="M33" s="25" t="n">
        <v>0.2</v>
      </c>
      <c r="N33" s="17" t="n">
        <v>0.2</v>
      </c>
      <c r="O33" s="17" t="n">
        <v>0.2</v>
      </c>
      <c r="P33" s="17" t="n">
        <v>0.2</v>
      </c>
    </row>
    <row r="34">
      <c r="A34" s="16" t="n">
        <v>46156.25694444445</v>
      </c>
      <c r="B34" s="5" t="inlineStr">
        <is>
          <t>WB05-INV04</t>
        </is>
      </c>
      <c r="C34" s="5" t="n">
        <v>100</v>
      </c>
      <c r="D34" s="34" t="n">
        <v>-90</v>
      </c>
      <c r="E34" s="18" t="n">
        <v>1430</v>
      </c>
      <c r="F34" s="18" t="n">
        <v>1430</v>
      </c>
      <c r="G34" s="35" t="n">
        <v>1100</v>
      </c>
      <c r="H34" s="18" t="n">
        <v>1430</v>
      </c>
      <c r="I34" s="18" t="n">
        <v>1430</v>
      </c>
      <c r="J34" s="18" t="n">
        <v>1430</v>
      </c>
      <c r="K34" s="17" t="n">
        <v>0.2</v>
      </c>
      <c r="L34" s="17" t="n">
        <v>0.2</v>
      </c>
      <c r="M34" s="25" t="n">
        <v>0.2</v>
      </c>
      <c r="N34" s="17" t="n">
        <v>0.2</v>
      </c>
      <c r="O34" s="17" t="n">
        <v>0.2</v>
      </c>
      <c r="P34" s="17" t="n">
        <v>0.2</v>
      </c>
    </row>
    <row r="35">
      <c r="A35" s="16" t="n">
        <v>46156.5</v>
      </c>
      <c r="B35" s="5" t="inlineStr">
        <is>
          <t>WB05-INV04</t>
        </is>
      </c>
      <c r="C35" s="5" t="n">
        <v>900</v>
      </c>
      <c r="D35" s="34" t="n">
        <v>-90</v>
      </c>
      <c r="E35" s="18" t="n">
        <v>1180</v>
      </c>
      <c r="F35" s="18" t="n">
        <v>1180</v>
      </c>
      <c r="G35" s="35" t="n">
        <v>1100</v>
      </c>
      <c r="H35" s="18" t="n">
        <v>1180</v>
      </c>
      <c r="I35" s="18" t="n">
        <v>1180</v>
      </c>
      <c r="J35" s="18" t="n">
        <v>1180</v>
      </c>
      <c r="K35" s="17" t="n">
        <v>13.1</v>
      </c>
      <c r="L35" s="17" t="n">
        <v>13.1</v>
      </c>
      <c r="M35" s="25" t="n">
        <v>14.3</v>
      </c>
      <c r="N35" s="17" t="n">
        <v>13.1</v>
      </c>
      <c r="O35" s="17" t="n">
        <v>13.1</v>
      </c>
      <c r="P35" s="17" t="n">
        <v>13.1</v>
      </c>
    </row>
    <row r="36">
      <c r="A36" s="16" t="n">
        <v>46156.50347222222</v>
      </c>
      <c r="B36" s="5" t="inlineStr">
        <is>
          <t>WB05-INV04</t>
        </is>
      </c>
      <c r="C36" s="5" t="n">
        <v>900</v>
      </c>
      <c r="D36" s="34" t="n">
        <v>-90</v>
      </c>
      <c r="E36" s="18" t="n">
        <v>1180</v>
      </c>
      <c r="F36" s="18" t="n">
        <v>1180</v>
      </c>
      <c r="G36" s="35" t="n">
        <v>1100</v>
      </c>
      <c r="H36" s="18" t="n">
        <v>1180</v>
      </c>
      <c r="I36" s="18" t="n">
        <v>1180</v>
      </c>
      <c r="J36" s="18" t="n">
        <v>1180</v>
      </c>
      <c r="K36" s="17" t="n">
        <v>12.9</v>
      </c>
      <c r="L36" s="17" t="n">
        <v>12.9</v>
      </c>
      <c r="M36" s="25" t="n">
        <v>14.1</v>
      </c>
      <c r="N36" s="17" t="n">
        <v>12.9</v>
      </c>
      <c r="O36" s="17" t="n">
        <v>12.9</v>
      </c>
      <c r="P36" s="17" t="n">
        <v>12.9</v>
      </c>
    </row>
    <row r="37">
      <c r="A37" s="16" t="n">
        <v>46156.50694444445</v>
      </c>
      <c r="B37" s="5" t="inlineStr">
        <is>
          <t>WB05-INV04</t>
        </is>
      </c>
      <c r="C37" s="5" t="n">
        <v>900</v>
      </c>
      <c r="D37" s="34" t="n">
        <v>-90</v>
      </c>
      <c r="E37" s="18" t="n">
        <v>1180</v>
      </c>
      <c r="F37" s="18" t="n">
        <v>1180</v>
      </c>
      <c r="G37" s="35" t="n">
        <v>1100</v>
      </c>
      <c r="H37" s="18" t="n">
        <v>1180</v>
      </c>
      <c r="I37" s="18" t="n">
        <v>1180</v>
      </c>
      <c r="J37" s="18" t="n">
        <v>1180</v>
      </c>
      <c r="K37" s="17" t="n">
        <v>13.1</v>
      </c>
      <c r="L37" s="17" t="n">
        <v>13.1</v>
      </c>
      <c r="M37" s="25" t="n">
        <v>14.3</v>
      </c>
      <c r="N37" s="17" t="n">
        <v>13.1</v>
      </c>
      <c r="O37" s="17" t="n">
        <v>13.1</v>
      </c>
      <c r="P37" s="17" t="n">
        <v>13.1</v>
      </c>
    </row>
    <row r="38">
      <c r="A38" s="16" t="n">
        <v>46156.51041666666</v>
      </c>
      <c r="B38" s="5" t="inlineStr">
        <is>
          <t>WB05-INV04</t>
        </is>
      </c>
      <c r="C38" s="5" t="n">
        <v>900</v>
      </c>
      <c r="D38" s="34" t="n">
        <v>-90</v>
      </c>
      <c r="E38" s="18" t="n">
        <v>1180</v>
      </c>
      <c r="F38" s="18" t="n">
        <v>1180</v>
      </c>
      <c r="G38" s="35" t="n">
        <v>1100</v>
      </c>
      <c r="H38" s="18" t="n">
        <v>1180</v>
      </c>
      <c r="I38" s="18" t="n">
        <v>1180</v>
      </c>
      <c r="J38" s="18" t="n">
        <v>1180</v>
      </c>
      <c r="K38" s="17" t="n">
        <v>12.9</v>
      </c>
      <c r="L38" s="17" t="n">
        <v>12.9</v>
      </c>
      <c r="M38" s="25" t="n">
        <v>14.1</v>
      </c>
      <c r="N38" s="17" t="n">
        <v>12.9</v>
      </c>
      <c r="O38" s="17" t="n">
        <v>12.9</v>
      </c>
      <c r="P38" s="17" t="n">
        <v>12.9</v>
      </c>
    </row>
    <row r="39">
      <c r="A39" s="16" t="n">
        <v>46156.51388888889</v>
      </c>
      <c r="B39" s="5" t="inlineStr">
        <is>
          <t>WB05-INV04</t>
        </is>
      </c>
      <c r="C39" s="5" t="n">
        <v>900</v>
      </c>
      <c r="D39" s="34" t="n">
        <v>-90</v>
      </c>
      <c r="E39" s="18" t="n">
        <v>1180</v>
      </c>
      <c r="F39" s="18" t="n">
        <v>1180</v>
      </c>
      <c r="G39" s="35" t="n">
        <v>1100</v>
      </c>
      <c r="H39" s="18" t="n">
        <v>1180</v>
      </c>
      <c r="I39" s="18" t="n">
        <v>1180</v>
      </c>
      <c r="J39" s="18" t="n">
        <v>1180</v>
      </c>
      <c r="K39" s="17" t="n">
        <v>13.1</v>
      </c>
      <c r="L39" s="17" t="n">
        <v>13.1</v>
      </c>
      <c r="M39" s="25" t="n">
        <v>14.3</v>
      </c>
      <c r="N39" s="17" t="n">
        <v>13.1</v>
      </c>
      <c r="O39" s="17" t="n">
        <v>13.1</v>
      </c>
      <c r="P39" s="17" t="n">
        <v>13.1</v>
      </c>
    </row>
    <row r="40">
      <c r="A40" s="16" t="n">
        <v>46156.51736111111</v>
      </c>
      <c r="B40" s="5" t="inlineStr">
        <is>
          <t>WB05-INV04</t>
        </is>
      </c>
      <c r="C40" s="5" t="n">
        <v>900</v>
      </c>
      <c r="D40" s="34" t="n">
        <v>-90</v>
      </c>
      <c r="E40" s="18" t="n">
        <v>1180</v>
      </c>
      <c r="F40" s="18" t="n">
        <v>1180</v>
      </c>
      <c r="G40" s="35" t="n">
        <v>1100</v>
      </c>
      <c r="H40" s="18" t="n">
        <v>1180</v>
      </c>
      <c r="I40" s="18" t="n">
        <v>1180</v>
      </c>
      <c r="J40" s="18" t="n">
        <v>1180</v>
      </c>
      <c r="K40" s="17" t="n">
        <v>12.9</v>
      </c>
      <c r="L40" s="17" t="n">
        <v>12.9</v>
      </c>
      <c r="M40" s="25" t="n">
        <v>14.1</v>
      </c>
      <c r="N40" s="17" t="n">
        <v>12.9</v>
      </c>
      <c r="O40" s="17" t="n">
        <v>12.9</v>
      </c>
      <c r="P40" s="17" t="n">
        <v>12.9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RowHeight="15"/>
  <cols>
    <col width="13" customWidth="1" min="1" max="1"/>
    <col width="19" customWidth="1" min="2" max="2"/>
  </cols>
  <sheetData>
    <row r="1">
      <c r="A1" s="23" t="inlineStr">
        <is>
          <t>Helpers_GF — jembatan ground_fault.py (per-row)</t>
        </is>
      </c>
    </row>
    <row r="2">
      <c r="A2" s="24" t="inlineStr">
        <is>
          <t>daylight = (POA&gt;thr &amp; POA&gt;floor). voc_cand = IF(|I|&lt;0.5 &amp; V&gt;10, V, '') → Voc estimator (median nanti). peer_med_I PVk = MEDIAN arus 5 string LAIN (per baris). abs_Vgnd = |V_to_ground|.</t>
        </is>
      </c>
    </row>
    <row r="3">
      <c r="A3" s="24" t="inlineStr">
        <is>
          <t>Production AND solar_elev&gt;5° &amp; inverter-shutdown (ephemeris, tak direplika statis); di sini daylight = baris noon.</t>
        </is>
      </c>
    </row>
    <row r="4">
      <c r="A4" s="10" t="inlineStr">
        <is>
          <t>Inverter_ID</t>
        </is>
      </c>
      <c r="B4" s="10" t="inlineStr">
        <is>
          <t>Start Time</t>
        </is>
      </c>
      <c r="C4" s="10" t="inlineStr">
        <is>
          <t>POA</t>
        </is>
      </c>
      <c r="D4" s="10" t="inlineStr">
        <is>
          <t>daylight</t>
        </is>
      </c>
      <c r="E4" s="10" t="inlineStr">
        <is>
          <t>V_gnd</t>
        </is>
      </c>
      <c r="F4" s="10" t="inlineStr">
        <is>
          <t>voc_cand PV1</t>
        </is>
      </c>
      <c r="G4" s="10" t="inlineStr">
        <is>
          <t>voc_cand PV2</t>
        </is>
      </c>
      <c r="H4" s="10" t="inlineStr">
        <is>
          <t>voc_cand PV3</t>
        </is>
      </c>
      <c r="I4" s="10" t="inlineStr">
        <is>
          <t>voc_cand PV4</t>
        </is>
      </c>
      <c r="J4" s="10" t="inlineStr">
        <is>
          <t>voc_cand PV5</t>
        </is>
      </c>
      <c r="K4" s="10" t="inlineStr">
        <is>
          <t>voc_cand PV6</t>
        </is>
      </c>
      <c r="L4" s="10" t="inlineStr">
        <is>
          <t>peer_med_I PV1</t>
        </is>
      </c>
      <c r="M4" s="10" t="inlineStr">
        <is>
          <t>peer_med_I PV2</t>
        </is>
      </c>
      <c r="N4" s="10" t="inlineStr">
        <is>
          <t>peer_med_I PV3</t>
        </is>
      </c>
      <c r="O4" s="10" t="inlineStr">
        <is>
          <t>peer_med_I PV4</t>
        </is>
      </c>
      <c r="P4" s="10" t="inlineStr">
        <is>
          <t>peer_med_I PV5</t>
        </is>
      </c>
      <c r="Q4" s="10" t="inlineStr">
        <is>
          <t>peer_med_I PV6</t>
        </is>
      </c>
      <c r="R4" s="10" t="inlineStr">
        <is>
          <t>abs_Vgnd</t>
        </is>
      </c>
    </row>
    <row r="5">
      <c r="A5" s="5">
        <f>Raw_Data_GF!B5</f>
        <v/>
      </c>
      <c r="B5" s="16">
        <f>Raw_Data_GF!A5</f>
        <v/>
      </c>
      <c r="C5" s="27">
        <f>Raw_Data_GF!C5</f>
        <v/>
      </c>
      <c r="D5" s="5">
        <f>IF(AND(C5&gt;cfg_gf_poa_threshold_wm2,C5&gt;cfg_gf_poa_floor_wm2),1,0)</f>
        <v/>
      </c>
      <c r="E5" s="18">
        <f>Raw_Data_GF!D5</f>
        <v/>
      </c>
      <c r="F5" s="18">
        <f>IF(AND(ABS(Raw_Data_GF!K5)&lt;cfg_i_threshold_a,Raw_Data_GF!E5&gt;cfg_min_voc_v),Raw_Data_GF!E5,"")</f>
        <v/>
      </c>
      <c r="G5" s="18">
        <f>IF(AND(ABS(Raw_Data_GF!L5)&lt;cfg_i_threshold_a,Raw_Data_GF!F5&gt;cfg_min_voc_v),Raw_Data_GF!F5,"")</f>
        <v/>
      </c>
      <c r="H5" s="18">
        <f>IF(AND(ABS(Raw_Data_GF!M5)&lt;cfg_i_threshold_a,Raw_Data_GF!G5&gt;cfg_min_voc_v),Raw_Data_GF!G5,"")</f>
        <v/>
      </c>
      <c r="I5" s="18">
        <f>IF(AND(ABS(Raw_Data_GF!N5)&lt;cfg_i_threshold_a,Raw_Data_GF!H5&gt;cfg_min_voc_v),Raw_Data_GF!H5,"")</f>
        <v/>
      </c>
      <c r="J5" s="18">
        <f>IF(AND(ABS(Raw_Data_GF!O5)&lt;cfg_i_threshold_a,Raw_Data_GF!I5&gt;cfg_min_voc_v),Raw_Data_GF!I5,"")</f>
        <v/>
      </c>
      <c r="K5" s="18">
        <f>IF(AND(ABS(Raw_Data_GF!P5)&lt;cfg_i_threshold_a,Raw_Data_GF!J5&gt;cfg_min_voc_v),Raw_Data_GF!J5,"")</f>
        <v/>
      </c>
      <c r="L5" s="17">
        <f>MEDIAN(Raw_Data_GF!L5,Raw_Data_GF!M5,Raw_Data_GF!N5,Raw_Data_GF!O5,Raw_Data_GF!P5)</f>
        <v/>
      </c>
      <c r="M5" s="17">
        <f>MEDIAN(Raw_Data_GF!K5,Raw_Data_GF!M5,Raw_Data_GF!N5,Raw_Data_GF!O5,Raw_Data_GF!P5)</f>
        <v/>
      </c>
      <c r="N5" s="17">
        <f>MEDIAN(Raw_Data_GF!K5,Raw_Data_GF!L5,Raw_Data_GF!N5,Raw_Data_GF!O5,Raw_Data_GF!P5)</f>
        <v/>
      </c>
      <c r="O5" s="17">
        <f>MEDIAN(Raw_Data_GF!K5,Raw_Data_GF!L5,Raw_Data_GF!M5,Raw_Data_GF!O5,Raw_Data_GF!P5)</f>
        <v/>
      </c>
      <c r="P5" s="17">
        <f>MEDIAN(Raw_Data_GF!K5,Raw_Data_GF!L5,Raw_Data_GF!M5,Raw_Data_GF!N5,Raw_Data_GF!P5)</f>
        <v/>
      </c>
      <c r="Q5" s="17">
        <f>MEDIAN(Raw_Data_GF!K5,Raw_Data_GF!L5,Raw_Data_GF!M5,Raw_Data_GF!N5,Raw_Data_GF!O5)</f>
        <v/>
      </c>
      <c r="R5" s="18">
        <f>ABS(E5)</f>
        <v/>
      </c>
    </row>
    <row r="6">
      <c r="A6" s="5">
        <f>Raw_Data_GF!B6</f>
        <v/>
      </c>
      <c r="B6" s="16">
        <f>Raw_Data_GF!A6</f>
        <v/>
      </c>
      <c r="C6" s="27">
        <f>Raw_Data_GF!C6</f>
        <v/>
      </c>
      <c r="D6" s="5">
        <f>IF(AND(C6&gt;cfg_gf_poa_threshold_wm2,C6&gt;cfg_gf_poa_floor_wm2),1,0)</f>
        <v/>
      </c>
      <c r="E6" s="18">
        <f>Raw_Data_GF!D6</f>
        <v/>
      </c>
      <c r="F6" s="18">
        <f>IF(AND(ABS(Raw_Data_GF!K6)&lt;cfg_i_threshold_a,Raw_Data_GF!E6&gt;cfg_min_voc_v),Raw_Data_GF!E6,"")</f>
        <v/>
      </c>
      <c r="G6" s="18">
        <f>IF(AND(ABS(Raw_Data_GF!L6)&lt;cfg_i_threshold_a,Raw_Data_GF!F6&gt;cfg_min_voc_v),Raw_Data_GF!F6,"")</f>
        <v/>
      </c>
      <c r="H6" s="18">
        <f>IF(AND(ABS(Raw_Data_GF!M6)&lt;cfg_i_threshold_a,Raw_Data_GF!G6&gt;cfg_min_voc_v),Raw_Data_GF!G6,"")</f>
        <v/>
      </c>
      <c r="I6" s="18">
        <f>IF(AND(ABS(Raw_Data_GF!N6)&lt;cfg_i_threshold_a,Raw_Data_GF!H6&gt;cfg_min_voc_v),Raw_Data_GF!H6,"")</f>
        <v/>
      </c>
      <c r="J6" s="18">
        <f>IF(AND(ABS(Raw_Data_GF!O6)&lt;cfg_i_threshold_a,Raw_Data_GF!I6&gt;cfg_min_voc_v),Raw_Data_GF!I6,"")</f>
        <v/>
      </c>
      <c r="K6" s="18">
        <f>IF(AND(ABS(Raw_Data_GF!P6)&lt;cfg_i_threshold_a,Raw_Data_GF!J6&gt;cfg_min_voc_v),Raw_Data_GF!J6,"")</f>
        <v/>
      </c>
      <c r="L6" s="17">
        <f>MEDIAN(Raw_Data_GF!L6,Raw_Data_GF!M6,Raw_Data_GF!N6,Raw_Data_GF!O6,Raw_Data_GF!P6)</f>
        <v/>
      </c>
      <c r="M6" s="17">
        <f>MEDIAN(Raw_Data_GF!K6,Raw_Data_GF!M6,Raw_Data_GF!N6,Raw_Data_GF!O6,Raw_Data_GF!P6)</f>
        <v/>
      </c>
      <c r="N6" s="17">
        <f>MEDIAN(Raw_Data_GF!K6,Raw_Data_GF!L6,Raw_Data_GF!N6,Raw_Data_GF!O6,Raw_Data_GF!P6)</f>
        <v/>
      </c>
      <c r="O6" s="17">
        <f>MEDIAN(Raw_Data_GF!K6,Raw_Data_GF!L6,Raw_Data_GF!M6,Raw_Data_GF!O6,Raw_Data_GF!P6)</f>
        <v/>
      </c>
      <c r="P6" s="17">
        <f>MEDIAN(Raw_Data_GF!K6,Raw_Data_GF!L6,Raw_Data_GF!M6,Raw_Data_GF!N6,Raw_Data_GF!P6)</f>
        <v/>
      </c>
      <c r="Q6" s="17">
        <f>MEDIAN(Raw_Data_GF!K6,Raw_Data_GF!L6,Raw_Data_GF!M6,Raw_Data_GF!N6,Raw_Data_GF!O6)</f>
        <v/>
      </c>
      <c r="R6" s="18">
        <f>ABS(E6)</f>
        <v/>
      </c>
    </row>
    <row r="7">
      <c r="A7" s="5">
        <f>Raw_Data_GF!B7</f>
        <v/>
      </c>
      <c r="B7" s="16">
        <f>Raw_Data_GF!A7</f>
        <v/>
      </c>
      <c r="C7" s="27">
        <f>Raw_Data_GF!C7</f>
        <v/>
      </c>
      <c r="D7" s="5">
        <f>IF(AND(C7&gt;cfg_gf_poa_threshold_wm2,C7&gt;cfg_gf_poa_floor_wm2),1,0)</f>
        <v/>
      </c>
      <c r="E7" s="18">
        <f>Raw_Data_GF!D7</f>
        <v/>
      </c>
      <c r="F7" s="18">
        <f>IF(AND(ABS(Raw_Data_GF!K7)&lt;cfg_i_threshold_a,Raw_Data_GF!E7&gt;cfg_min_voc_v),Raw_Data_GF!E7,"")</f>
        <v/>
      </c>
      <c r="G7" s="18">
        <f>IF(AND(ABS(Raw_Data_GF!L7)&lt;cfg_i_threshold_a,Raw_Data_GF!F7&gt;cfg_min_voc_v),Raw_Data_GF!F7,"")</f>
        <v/>
      </c>
      <c r="H7" s="18">
        <f>IF(AND(ABS(Raw_Data_GF!M7)&lt;cfg_i_threshold_a,Raw_Data_GF!G7&gt;cfg_min_voc_v),Raw_Data_GF!G7,"")</f>
        <v/>
      </c>
      <c r="I7" s="18">
        <f>IF(AND(ABS(Raw_Data_GF!N7)&lt;cfg_i_threshold_a,Raw_Data_GF!H7&gt;cfg_min_voc_v),Raw_Data_GF!H7,"")</f>
        <v/>
      </c>
      <c r="J7" s="18">
        <f>IF(AND(ABS(Raw_Data_GF!O7)&lt;cfg_i_threshold_a,Raw_Data_GF!I7&gt;cfg_min_voc_v),Raw_Data_GF!I7,"")</f>
        <v/>
      </c>
      <c r="K7" s="18">
        <f>IF(AND(ABS(Raw_Data_GF!P7)&lt;cfg_i_threshold_a,Raw_Data_GF!J7&gt;cfg_min_voc_v),Raw_Data_GF!J7,"")</f>
        <v/>
      </c>
      <c r="L7" s="17">
        <f>MEDIAN(Raw_Data_GF!L7,Raw_Data_GF!M7,Raw_Data_GF!N7,Raw_Data_GF!O7,Raw_Data_GF!P7)</f>
        <v/>
      </c>
      <c r="M7" s="17">
        <f>MEDIAN(Raw_Data_GF!K7,Raw_Data_GF!M7,Raw_Data_GF!N7,Raw_Data_GF!O7,Raw_Data_GF!P7)</f>
        <v/>
      </c>
      <c r="N7" s="17">
        <f>MEDIAN(Raw_Data_GF!K7,Raw_Data_GF!L7,Raw_Data_GF!N7,Raw_Data_GF!O7,Raw_Data_GF!P7)</f>
        <v/>
      </c>
      <c r="O7" s="17">
        <f>MEDIAN(Raw_Data_GF!K7,Raw_Data_GF!L7,Raw_Data_GF!M7,Raw_Data_GF!O7,Raw_Data_GF!P7)</f>
        <v/>
      </c>
      <c r="P7" s="17">
        <f>MEDIAN(Raw_Data_GF!K7,Raw_Data_GF!L7,Raw_Data_GF!M7,Raw_Data_GF!N7,Raw_Data_GF!P7)</f>
        <v/>
      </c>
      <c r="Q7" s="17">
        <f>MEDIAN(Raw_Data_GF!K7,Raw_Data_GF!L7,Raw_Data_GF!M7,Raw_Data_GF!N7,Raw_Data_GF!O7)</f>
        <v/>
      </c>
      <c r="R7" s="18">
        <f>ABS(E7)</f>
        <v/>
      </c>
    </row>
    <row r="8">
      <c r="A8" s="5">
        <f>Raw_Data_GF!B8</f>
        <v/>
      </c>
      <c r="B8" s="16">
        <f>Raw_Data_GF!A8</f>
        <v/>
      </c>
      <c r="C8" s="27">
        <f>Raw_Data_GF!C8</f>
        <v/>
      </c>
      <c r="D8" s="5">
        <f>IF(AND(C8&gt;cfg_gf_poa_threshold_wm2,C8&gt;cfg_gf_poa_floor_wm2),1,0)</f>
        <v/>
      </c>
      <c r="E8" s="18">
        <f>Raw_Data_GF!D8</f>
        <v/>
      </c>
      <c r="F8" s="18">
        <f>IF(AND(ABS(Raw_Data_GF!K8)&lt;cfg_i_threshold_a,Raw_Data_GF!E8&gt;cfg_min_voc_v),Raw_Data_GF!E8,"")</f>
        <v/>
      </c>
      <c r="G8" s="18">
        <f>IF(AND(ABS(Raw_Data_GF!L8)&lt;cfg_i_threshold_a,Raw_Data_GF!F8&gt;cfg_min_voc_v),Raw_Data_GF!F8,"")</f>
        <v/>
      </c>
      <c r="H8" s="18">
        <f>IF(AND(ABS(Raw_Data_GF!M8)&lt;cfg_i_threshold_a,Raw_Data_GF!G8&gt;cfg_min_voc_v),Raw_Data_GF!G8,"")</f>
        <v/>
      </c>
      <c r="I8" s="18">
        <f>IF(AND(ABS(Raw_Data_GF!N8)&lt;cfg_i_threshold_a,Raw_Data_GF!H8&gt;cfg_min_voc_v),Raw_Data_GF!H8,"")</f>
        <v/>
      </c>
      <c r="J8" s="18">
        <f>IF(AND(ABS(Raw_Data_GF!O8)&lt;cfg_i_threshold_a,Raw_Data_GF!I8&gt;cfg_min_voc_v),Raw_Data_GF!I8,"")</f>
        <v/>
      </c>
      <c r="K8" s="18">
        <f>IF(AND(ABS(Raw_Data_GF!P8)&lt;cfg_i_threshold_a,Raw_Data_GF!J8&gt;cfg_min_voc_v),Raw_Data_GF!J8,"")</f>
        <v/>
      </c>
      <c r="L8" s="17">
        <f>MEDIAN(Raw_Data_GF!L8,Raw_Data_GF!M8,Raw_Data_GF!N8,Raw_Data_GF!O8,Raw_Data_GF!P8)</f>
        <v/>
      </c>
      <c r="M8" s="17">
        <f>MEDIAN(Raw_Data_GF!K8,Raw_Data_GF!M8,Raw_Data_GF!N8,Raw_Data_GF!O8,Raw_Data_GF!P8)</f>
        <v/>
      </c>
      <c r="N8" s="17">
        <f>MEDIAN(Raw_Data_GF!K8,Raw_Data_GF!L8,Raw_Data_GF!N8,Raw_Data_GF!O8,Raw_Data_GF!P8)</f>
        <v/>
      </c>
      <c r="O8" s="17">
        <f>MEDIAN(Raw_Data_GF!K8,Raw_Data_GF!L8,Raw_Data_GF!M8,Raw_Data_GF!O8,Raw_Data_GF!P8)</f>
        <v/>
      </c>
      <c r="P8" s="17">
        <f>MEDIAN(Raw_Data_GF!K8,Raw_Data_GF!L8,Raw_Data_GF!M8,Raw_Data_GF!N8,Raw_Data_GF!P8)</f>
        <v/>
      </c>
      <c r="Q8" s="17">
        <f>MEDIAN(Raw_Data_GF!K8,Raw_Data_GF!L8,Raw_Data_GF!M8,Raw_Data_GF!N8,Raw_Data_GF!O8)</f>
        <v/>
      </c>
      <c r="R8" s="18">
        <f>ABS(E8)</f>
        <v/>
      </c>
    </row>
    <row r="9">
      <c r="A9" s="5">
        <f>Raw_Data_GF!B9</f>
        <v/>
      </c>
      <c r="B9" s="16">
        <f>Raw_Data_GF!A9</f>
        <v/>
      </c>
      <c r="C9" s="27">
        <f>Raw_Data_GF!C9</f>
        <v/>
      </c>
      <c r="D9" s="5">
        <f>IF(AND(C9&gt;cfg_gf_poa_threshold_wm2,C9&gt;cfg_gf_poa_floor_wm2),1,0)</f>
        <v/>
      </c>
      <c r="E9" s="18">
        <f>Raw_Data_GF!D9</f>
        <v/>
      </c>
      <c r="F9" s="18">
        <f>IF(AND(ABS(Raw_Data_GF!K9)&lt;cfg_i_threshold_a,Raw_Data_GF!E9&gt;cfg_min_voc_v),Raw_Data_GF!E9,"")</f>
        <v/>
      </c>
      <c r="G9" s="18">
        <f>IF(AND(ABS(Raw_Data_GF!L9)&lt;cfg_i_threshold_a,Raw_Data_GF!F9&gt;cfg_min_voc_v),Raw_Data_GF!F9,"")</f>
        <v/>
      </c>
      <c r="H9" s="18">
        <f>IF(AND(ABS(Raw_Data_GF!M9)&lt;cfg_i_threshold_a,Raw_Data_GF!G9&gt;cfg_min_voc_v),Raw_Data_GF!G9,"")</f>
        <v/>
      </c>
      <c r="I9" s="18">
        <f>IF(AND(ABS(Raw_Data_GF!N9)&lt;cfg_i_threshold_a,Raw_Data_GF!H9&gt;cfg_min_voc_v),Raw_Data_GF!H9,"")</f>
        <v/>
      </c>
      <c r="J9" s="18">
        <f>IF(AND(ABS(Raw_Data_GF!O9)&lt;cfg_i_threshold_a,Raw_Data_GF!I9&gt;cfg_min_voc_v),Raw_Data_GF!I9,"")</f>
        <v/>
      </c>
      <c r="K9" s="18">
        <f>IF(AND(ABS(Raw_Data_GF!P9)&lt;cfg_i_threshold_a,Raw_Data_GF!J9&gt;cfg_min_voc_v),Raw_Data_GF!J9,"")</f>
        <v/>
      </c>
      <c r="L9" s="17">
        <f>MEDIAN(Raw_Data_GF!L9,Raw_Data_GF!M9,Raw_Data_GF!N9,Raw_Data_GF!O9,Raw_Data_GF!P9)</f>
        <v/>
      </c>
      <c r="M9" s="17">
        <f>MEDIAN(Raw_Data_GF!K9,Raw_Data_GF!M9,Raw_Data_GF!N9,Raw_Data_GF!O9,Raw_Data_GF!P9)</f>
        <v/>
      </c>
      <c r="N9" s="17">
        <f>MEDIAN(Raw_Data_GF!K9,Raw_Data_GF!L9,Raw_Data_GF!N9,Raw_Data_GF!O9,Raw_Data_GF!P9)</f>
        <v/>
      </c>
      <c r="O9" s="17">
        <f>MEDIAN(Raw_Data_GF!K9,Raw_Data_GF!L9,Raw_Data_GF!M9,Raw_Data_GF!O9,Raw_Data_GF!P9)</f>
        <v/>
      </c>
      <c r="P9" s="17">
        <f>MEDIAN(Raw_Data_GF!K9,Raw_Data_GF!L9,Raw_Data_GF!M9,Raw_Data_GF!N9,Raw_Data_GF!P9)</f>
        <v/>
      </c>
      <c r="Q9" s="17">
        <f>MEDIAN(Raw_Data_GF!K9,Raw_Data_GF!L9,Raw_Data_GF!M9,Raw_Data_GF!N9,Raw_Data_GF!O9)</f>
        <v/>
      </c>
      <c r="R9" s="18">
        <f>ABS(E9)</f>
        <v/>
      </c>
    </row>
    <row r="10">
      <c r="A10" s="5">
        <f>Raw_Data_GF!B10</f>
        <v/>
      </c>
      <c r="B10" s="16">
        <f>Raw_Data_GF!A10</f>
        <v/>
      </c>
      <c r="C10" s="27">
        <f>Raw_Data_GF!C10</f>
        <v/>
      </c>
      <c r="D10" s="5">
        <f>IF(AND(C10&gt;cfg_gf_poa_threshold_wm2,C10&gt;cfg_gf_poa_floor_wm2),1,0)</f>
        <v/>
      </c>
      <c r="E10" s="18">
        <f>Raw_Data_GF!D10</f>
        <v/>
      </c>
      <c r="F10" s="18">
        <f>IF(AND(ABS(Raw_Data_GF!K10)&lt;cfg_i_threshold_a,Raw_Data_GF!E10&gt;cfg_min_voc_v),Raw_Data_GF!E10,"")</f>
        <v/>
      </c>
      <c r="G10" s="18">
        <f>IF(AND(ABS(Raw_Data_GF!L10)&lt;cfg_i_threshold_a,Raw_Data_GF!F10&gt;cfg_min_voc_v),Raw_Data_GF!F10,"")</f>
        <v/>
      </c>
      <c r="H10" s="18">
        <f>IF(AND(ABS(Raw_Data_GF!M10)&lt;cfg_i_threshold_a,Raw_Data_GF!G10&gt;cfg_min_voc_v),Raw_Data_GF!G10,"")</f>
        <v/>
      </c>
      <c r="I10" s="18">
        <f>IF(AND(ABS(Raw_Data_GF!N10)&lt;cfg_i_threshold_a,Raw_Data_GF!H10&gt;cfg_min_voc_v),Raw_Data_GF!H10,"")</f>
        <v/>
      </c>
      <c r="J10" s="18">
        <f>IF(AND(ABS(Raw_Data_GF!O10)&lt;cfg_i_threshold_a,Raw_Data_GF!I10&gt;cfg_min_voc_v),Raw_Data_GF!I10,"")</f>
        <v/>
      </c>
      <c r="K10" s="18">
        <f>IF(AND(ABS(Raw_Data_GF!P10)&lt;cfg_i_threshold_a,Raw_Data_GF!J10&gt;cfg_min_voc_v),Raw_Data_GF!J10,"")</f>
        <v/>
      </c>
      <c r="L10" s="17">
        <f>MEDIAN(Raw_Data_GF!L10,Raw_Data_GF!M10,Raw_Data_GF!N10,Raw_Data_GF!O10,Raw_Data_GF!P10)</f>
        <v/>
      </c>
      <c r="M10" s="17">
        <f>MEDIAN(Raw_Data_GF!K10,Raw_Data_GF!M10,Raw_Data_GF!N10,Raw_Data_GF!O10,Raw_Data_GF!P10)</f>
        <v/>
      </c>
      <c r="N10" s="17">
        <f>MEDIAN(Raw_Data_GF!K10,Raw_Data_GF!L10,Raw_Data_GF!N10,Raw_Data_GF!O10,Raw_Data_GF!P10)</f>
        <v/>
      </c>
      <c r="O10" s="17">
        <f>MEDIAN(Raw_Data_GF!K10,Raw_Data_GF!L10,Raw_Data_GF!M10,Raw_Data_GF!O10,Raw_Data_GF!P10)</f>
        <v/>
      </c>
      <c r="P10" s="17">
        <f>MEDIAN(Raw_Data_GF!K10,Raw_Data_GF!L10,Raw_Data_GF!M10,Raw_Data_GF!N10,Raw_Data_GF!P10)</f>
        <v/>
      </c>
      <c r="Q10" s="17">
        <f>MEDIAN(Raw_Data_GF!K10,Raw_Data_GF!L10,Raw_Data_GF!M10,Raw_Data_GF!N10,Raw_Data_GF!O10)</f>
        <v/>
      </c>
      <c r="R10" s="18">
        <f>ABS(E10)</f>
        <v/>
      </c>
    </row>
    <row r="11">
      <c r="A11" s="5">
        <f>Raw_Data_GF!B11</f>
        <v/>
      </c>
      <c r="B11" s="16">
        <f>Raw_Data_GF!A11</f>
        <v/>
      </c>
      <c r="C11" s="27">
        <f>Raw_Data_GF!C11</f>
        <v/>
      </c>
      <c r="D11" s="5">
        <f>IF(AND(C11&gt;cfg_gf_poa_threshold_wm2,C11&gt;cfg_gf_poa_floor_wm2),1,0)</f>
        <v/>
      </c>
      <c r="E11" s="18">
        <f>Raw_Data_GF!D11</f>
        <v/>
      </c>
      <c r="F11" s="18">
        <f>IF(AND(ABS(Raw_Data_GF!K11)&lt;cfg_i_threshold_a,Raw_Data_GF!E11&gt;cfg_min_voc_v),Raw_Data_GF!E11,"")</f>
        <v/>
      </c>
      <c r="G11" s="18">
        <f>IF(AND(ABS(Raw_Data_GF!L11)&lt;cfg_i_threshold_a,Raw_Data_GF!F11&gt;cfg_min_voc_v),Raw_Data_GF!F11,"")</f>
        <v/>
      </c>
      <c r="H11" s="18">
        <f>IF(AND(ABS(Raw_Data_GF!M11)&lt;cfg_i_threshold_a,Raw_Data_GF!G11&gt;cfg_min_voc_v),Raw_Data_GF!G11,"")</f>
        <v/>
      </c>
      <c r="I11" s="18">
        <f>IF(AND(ABS(Raw_Data_GF!N11)&lt;cfg_i_threshold_a,Raw_Data_GF!H11&gt;cfg_min_voc_v),Raw_Data_GF!H11,"")</f>
        <v/>
      </c>
      <c r="J11" s="18">
        <f>IF(AND(ABS(Raw_Data_GF!O11)&lt;cfg_i_threshold_a,Raw_Data_GF!I11&gt;cfg_min_voc_v),Raw_Data_GF!I11,"")</f>
        <v/>
      </c>
      <c r="K11" s="18">
        <f>IF(AND(ABS(Raw_Data_GF!P11)&lt;cfg_i_threshold_a,Raw_Data_GF!J11&gt;cfg_min_voc_v),Raw_Data_GF!J11,"")</f>
        <v/>
      </c>
      <c r="L11" s="17">
        <f>MEDIAN(Raw_Data_GF!L11,Raw_Data_GF!M11,Raw_Data_GF!N11,Raw_Data_GF!O11,Raw_Data_GF!P11)</f>
        <v/>
      </c>
      <c r="M11" s="17">
        <f>MEDIAN(Raw_Data_GF!K11,Raw_Data_GF!M11,Raw_Data_GF!N11,Raw_Data_GF!O11,Raw_Data_GF!P11)</f>
        <v/>
      </c>
      <c r="N11" s="17">
        <f>MEDIAN(Raw_Data_GF!K11,Raw_Data_GF!L11,Raw_Data_GF!N11,Raw_Data_GF!O11,Raw_Data_GF!P11)</f>
        <v/>
      </c>
      <c r="O11" s="17">
        <f>MEDIAN(Raw_Data_GF!K11,Raw_Data_GF!L11,Raw_Data_GF!M11,Raw_Data_GF!O11,Raw_Data_GF!P11)</f>
        <v/>
      </c>
      <c r="P11" s="17">
        <f>MEDIAN(Raw_Data_GF!K11,Raw_Data_GF!L11,Raw_Data_GF!M11,Raw_Data_GF!N11,Raw_Data_GF!P11)</f>
        <v/>
      </c>
      <c r="Q11" s="17">
        <f>MEDIAN(Raw_Data_GF!K11,Raw_Data_GF!L11,Raw_Data_GF!M11,Raw_Data_GF!N11,Raw_Data_GF!O11)</f>
        <v/>
      </c>
      <c r="R11" s="18">
        <f>ABS(E11)</f>
        <v/>
      </c>
    </row>
    <row r="12">
      <c r="A12" s="5">
        <f>Raw_Data_GF!B12</f>
        <v/>
      </c>
      <c r="B12" s="16">
        <f>Raw_Data_GF!A12</f>
        <v/>
      </c>
      <c r="C12" s="27">
        <f>Raw_Data_GF!C12</f>
        <v/>
      </c>
      <c r="D12" s="5">
        <f>IF(AND(C12&gt;cfg_gf_poa_threshold_wm2,C12&gt;cfg_gf_poa_floor_wm2),1,0)</f>
        <v/>
      </c>
      <c r="E12" s="18">
        <f>Raw_Data_GF!D12</f>
        <v/>
      </c>
      <c r="F12" s="18">
        <f>IF(AND(ABS(Raw_Data_GF!K12)&lt;cfg_i_threshold_a,Raw_Data_GF!E12&gt;cfg_min_voc_v),Raw_Data_GF!E12,"")</f>
        <v/>
      </c>
      <c r="G12" s="18">
        <f>IF(AND(ABS(Raw_Data_GF!L12)&lt;cfg_i_threshold_a,Raw_Data_GF!F12&gt;cfg_min_voc_v),Raw_Data_GF!F12,"")</f>
        <v/>
      </c>
      <c r="H12" s="18">
        <f>IF(AND(ABS(Raw_Data_GF!M12)&lt;cfg_i_threshold_a,Raw_Data_GF!G12&gt;cfg_min_voc_v),Raw_Data_GF!G12,"")</f>
        <v/>
      </c>
      <c r="I12" s="18">
        <f>IF(AND(ABS(Raw_Data_GF!N12)&lt;cfg_i_threshold_a,Raw_Data_GF!H12&gt;cfg_min_voc_v),Raw_Data_GF!H12,"")</f>
        <v/>
      </c>
      <c r="J12" s="18">
        <f>IF(AND(ABS(Raw_Data_GF!O12)&lt;cfg_i_threshold_a,Raw_Data_GF!I12&gt;cfg_min_voc_v),Raw_Data_GF!I12,"")</f>
        <v/>
      </c>
      <c r="K12" s="18">
        <f>IF(AND(ABS(Raw_Data_GF!P12)&lt;cfg_i_threshold_a,Raw_Data_GF!J12&gt;cfg_min_voc_v),Raw_Data_GF!J12,"")</f>
        <v/>
      </c>
      <c r="L12" s="17">
        <f>MEDIAN(Raw_Data_GF!L12,Raw_Data_GF!M12,Raw_Data_GF!N12,Raw_Data_GF!O12,Raw_Data_GF!P12)</f>
        <v/>
      </c>
      <c r="M12" s="17">
        <f>MEDIAN(Raw_Data_GF!K12,Raw_Data_GF!M12,Raw_Data_GF!N12,Raw_Data_GF!O12,Raw_Data_GF!P12)</f>
        <v/>
      </c>
      <c r="N12" s="17">
        <f>MEDIAN(Raw_Data_GF!K12,Raw_Data_GF!L12,Raw_Data_GF!N12,Raw_Data_GF!O12,Raw_Data_GF!P12)</f>
        <v/>
      </c>
      <c r="O12" s="17">
        <f>MEDIAN(Raw_Data_GF!K12,Raw_Data_GF!L12,Raw_Data_GF!M12,Raw_Data_GF!O12,Raw_Data_GF!P12)</f>
        <v/>
      </c>
      <c r="P12" s="17">
        <f>MEDIAN(Raw_Data_GF!K12,Raw_Data_GF!L12,Raw_Data_GF!M12,Raw_Data_GF!N12,Raw_Data_GF!P12)</f>
        <v/>
      </c>
      <c r="Q12" s="17">
        <f>MEDIAN(Raw_Data_GF!K12,Raw_Data_GF!L12,Raw_Data_GF!M12,Raw_Data_GF!N12,Raw_Data_GF!O12)</f>
        <v/>
      </c>
      <c r="R12" s="18">
        <f>ABS(E12)</f>
        <v/>
      </c>
    </row>
    <row r="13">
      <c r="A13" s="5">
        <f>Raw_Data_GF!B13</f>
        <v/>
      </c>
      <c r="B13" s="16">
        <f>Raw_Data_GF!A13</f>
        <v/>
      </c>
      <c r="C13" s="27">
        <f>Raw_Data_GF!C13</f>
        <v/>
      </c>
      <c r="D13" s="5">
        <f>IF(AND(C13&gt;cfg_gf_poa_threshold_wm2,C13&gt;cfg_gf_poa_floor_wm2),1,0)</f>
        <v/>
      </c>
      <c r="E13" s="18">
        <f>Raw_Data_GF!D13</f>
        <v/>
      </c>
      <c r="F13" s="18">
        <f>IF(AND(ABS(Raw_Data_GF!K13)&lt;cfg_i_threshold_a,Raw_Data_GF!E13&gt;cfg_min_voc_v),Raw_Data_GF!E13,"")</f>
        <v/>
      </c>
      <c r="G13" s="18">
        <f>IF(AND(ABS(Raw_Data_GF!L13)&lt;cfg_i_threshold_a,Raw_Data_GF!F13&gt;cfg_min_voc_v),Raw_Data_GF!F13,"")</f>
        <v/>
      </c>
      <c r="H13" s="18">
        <f>IF(AND(ABS(Raw_Data_GF!M13)&lt;cfg_i_threshold_a,Raw_Data_GF!G13&gt;cfg_min_voc_v),Raw_Data_GF!G13,"")</f>
        <v/>
      </c>
      <c r="I13" s="18">
        <f>IF(AND(ABS(Raw_Data_GF!N13)&lt;cfg_i_threshold_a,Raw_Data_GF!H13&gt;cfg_min_voc_v),Raw_Data_GF!H13,"")</f>
        <v/>
      </c>
      <c r="J13" s="18">
        <f>IF(AND(ABS(Raw_Data_GF!O13)&lt;cfg_i_threshold_a,Raw_Data_GF!I13&gt;cfg_min_voc_v),Raw_Data_GF!I13,"")</f>
        <v/>
      </c>
      <c r="K13" s="18">
        <f>IF(AND(ABS(Raw_Data_GF!P13)&lt;cfg_i_threshold_a,Raw_Data_GF!J13&gt;cfg_min_voc_v),Raw_Data_GF!J13,"")</f>
        <v/>
      </c>
      <c r="L13" s="17">
        <f>MEDIAN(Raw_Data_GF!L13,Raw_Data_GF!M13,Raw_Data_GF!N13,Raw_Data_GF!O13,Raw_Data_GF!P13)</f>
        <v/>
      </c>
      <c r="M13" s="17">
        <f>MEDIAN(Raw_Data_GF!K13,Raw_Data_GF!M13,Raw_Data_GF!N13,Raw_Data_GF!O13,Raw_Data_GF!P13)</f>
        <v/>
      </c>
      <c r="N13" s="17">
        <f>MEDIAN(Raw_Data_GF!K13,Raw_Data_GF!L13,Raw_Data_GF!N13,Raw_Data_GF!O13,Raw_Data_GF!P13)</f>
        <v/>
      </c>
      <c r="O13" s="17">
        <f>MEDIAN(Raw_Data_GF!K13,Raw_Data_GF!L13,Raw_Data_GF!M13,Raw_Data_GF!O13,Raw_Data_GF!P13)</f>
        <v/>
      </c>
      <c r="P13" s="17">
        <f>MEDIAN(Raw_Data_GF!K13,Raw_Data_GF!L13,Raw_Data_GF!M13,Raw_Data_GF!N13,Raw_Data_GF!P13)</f>
        <v/>
      </c>
      <c r="Q13" s="17">
        <f>MEDIAN(Raw_Data_GF!K13,Raw_Data_GF!L13,Raw_Data_GF!M13,Raw_Data_GF!N13,Raw_Data_GF!O13)</f>
        <v/>
      </c>
      <c r="R13" s="18">
        <f>ABS(E13)</f>
        <v/>
      </c>
    </row>
    <row r="14">
      <c r="A14" s="5">
        <f>Raw_Data_GF!B14</f>
        <v/>
      </c>
      <c r="B14" s="16">
        <f>Raw_Data_GF!A14</f>
        <v/>
      </c>
      <c r="C14" s="27">
        <f>Raw_Data_GF!C14</f>
        <v/>
      </c>
      <c r="D14" s="5">
        <f>IF(AND(C14&gt;cfg_gf_poa_threshold_wm2,C14&gt;cfg_gf_poa_floor_wm2),1,0)</f>
        <v/>
      </c>
      <c r="E14" s="18">
        <f>Raw_Data_GF!D14</f>
        <v/>
      </c>
      <c r="F14" s="18">
        <f>IF(AND(ABS(Raw_Data_GF!K14)&lt;cfg_i_threshold_a,Raw_Data_GF!E14&gt;cfg_min_voc_v),Raw_Data_GF!E14,"")</f>
        <v/>
      </c>
      <c r="G14" s="18">
        <f>IF(AND(ABS(Raw_Data_GF!L14)&lt;cfg_i_threshold_a,Raw_Data_GF!F14&gt;cfg_min_voc_v),Raw_Data_GF!F14,"")</f>
        <v/>
      </c>
      <c r="H14" s="18">
        <f>IF(AND(ABS(Raw_Data_GF!M14)&lt;cfg_i_threshold_a,Raw_Data_GF!G14&gt;cfg_min_voc_v),Raw_Data_GF!G14,"")</f>
        <v/>
      </c>
      <c r="I14" s="18">
        <f>IF(AND(ABS(Raw_Data_GF!N14)&lt;cfg_i_threshold_a,Raw_Data_GF!H14&gt;cfg_min_voc_v),Raw_Data_GF!H14,"")</f>
        <v/>
      </c>
      <c r="J14" s="18">
        <f>IF(AND(ABS(Raw_Data_GF!O14)&lt;cfg_i_threshold_a,Raw_Data_GF!I14&gt;cfg_min_voc_v),Raw_Data_GF!I14,"")</f>
        <v/>
      </c>
      <c r="K14" s="18">
        <f>IF(AND(ABS(Raw_Data_GF!P14)&lt;cfg_i_threshold_a,Raw_Data_GF!J14&gt;cfg_min_voc_v),Raw_Data_GF!J14,"")</f>
        <v/>
      </c>
      <c r="L14" s="17">
        <f>MEDIAN(Raw_Data_GF!L14,Raw_Data_GF!M14,Raw_Data_GF!N14,Raw_Data_GF!O14,Raw_Data_GF!P14)</f>
        <v/>
      </c>
      <c r="M14" s="17">
        <f>MEDIAN(Raw_Data_GF!K14,Raw_Data_GF!M14,Raw_Data_GF!N14,Raw_Data_GF!O14,Raw_Data_GF!P14)</f>
        <v/>
      </c>
      <c r="N14" s="17">
        <f>MEDIAN(Raw_Data_GF!K14,Raw_Data_GF!L14,Raw_Data_GF!N14,Raw_Data_GF!O14,Raw_Data_GF!P14)</f>
        <v/>
      </c>
      <c r="O14" s="17">
        <f>MEDIAN(Raw_Data_GF!K14,Raw_Data_GF!L14,Raw_Data_GF!M14,Raw_Data_GF!O14,Raw_Data_GF!P14)</f>
        <v/>
      </c>
      <c r="P14" s="17">
        <f>MEDIAN(Raw_Data_GF!K14,Raw_Data_GF!L14,Raw_Data_GF!M14,Raw_Data_GF!N14,Raw_Data_GF!P14)</f>
        <v/>
      </c>
      <c r="Q14" s="17">
        <f>MEDIAN(Raw_Data_GF!K14,Raw_Data_GF!L14,Raw_Data_GF!M14,Raw_Data_GF!N14,Raw_Data_GF!O14)</f>
        <v/>
      </c>
      <c r="R14" s="18">
        <f>ABS(E14)</f>
        <v/>
      </c>
    </row>
    <row r="15">
      <c r="A15" s="5">
        <f>Raw_Data_GF!B15</f>
        <v/>
      </c>
      <c r="B15" s="16">
        <f>Raw_Data_GF!A15</f>
        <v/>
      </c>
      <c r="C15" s="27">
        <f>Raw_Data_GF!C15</f>
        <v/>
      </c>
      <c r="D15" s="5">
        <f>IF(AND(C15&gt;cfg_gf_poa_threshold_wm2,C15&gt;cfg_gf_poa_floor_wm2),1,0)</f>
        <v/>
      </c>
      <c r="E15" s="18">
        <f>Raw_Data_GF!D15</f>
        <v/>
      </c>
      <c r="F15" s="18">
        <f>IF(AND(ABS(Raw_Data_GF!K15)&lt;cfg_i_threshold_a,Raw_Data_GF!E15&gt;cfg_min_voc_v),Raw_Data_GF!E15,"")</f>
        <v/>
      </c>
      <c r="G15" s="18">
        <f>IF(AND(ABS(Raw_Data_GF!L15)&lt;cfg_i_threshold_a,Raw_Data_GF!F15&gt;cfg_min_voc_v),Raw_Data_GF!F15,"")</f>
        <v/>
      </c>
      <c r="H15" s="18">
        <f>IF(AND(ABS(Raw_Data_GF!M15)&lt;cfg_i_threshold_a,Raw_Data_GF!G15&gt;cfg_min_voc_v),Raw_Data_GF!G15,"")</f>
        <v/>
      </c>
      <c r="I15" s="18">
        <f>IF(AND(ABS(Raw_Data_GF!N15)&lt;cfg_i_threshold_a,Raw_Data_GF!H15&gt;cfg_min_voc_v),Raw_Data_GF!H15,"")</f>
        <v/>
      </c>
      <c r="J15" s="18">
        <f>IF(AND(ABS(Raw_Data_GF!O15)&lt;cfg_i_threshold_a,Raw_Data_GF!I15&gt;cfg_min_voc_v),Raw_Data_GF!I15,"")</f>
        <v/>
      </c>
      <c r="K15" s="18">
        <f>IF(AND(ABS(Raw_Data_GF!P15)&lt;cfg_i_threshold_a,Raw_Data_GF!J15&gt;cfg_min_voc_v),Raw_Data_GF!J15,"")</f>
        <v/>
      </c>
      <c r="L15" s="17">
        <f>MEDIAN(Raw_Data_GF!L15,Raw_Data_GF!M15,Raw_Data_GF!N15,Raw_Data_GF!O15,Raw_Data_GF!P15)</f>
        <v/>
      </c>
      <c r="M15" s="17">
        <f>MEDIAN(Raw_Data_GF!K15,Raw_Data_GF!M15,Raw_Data_GF!N15,Raw_Data_GF!O15,Raw_Data_GF!P15)</f>
        <v/>
      </c>
      <c r="N15" s="17">
        <f>MEDIAN(Raw_Data_GF!K15,Raw_Data_GF!L15,Raw_Data_GF!N15,Raw_Data_GF!O15,Raw_Data_GF!P15)</f>
        <v/>
      </c>
      <c r="O15" s="17">
        <f>MEDIAN(Raw_Data_GF!K15,Raw_Data_GF!L15,Raw_Data_GF!M15,Raw_Data_GF!O15,Raw_Data_GF!P15)</f>
        <v/>
      </c>
      <c r="P15" s="17">
        <f>MEDIAN(Raw_Data_GF!K15,Raw_Data_GF!L15,Raw_Data_GF!M15,Raw_Data_GF!N15,Raw_Data_GF!P15)</f>
        <v/>
      </c>
      <c r="Q15" s="17">
        <f>MEDIAN(Raw_Data_GF!K15,Raw_Data_GF!L15,Raw_Data_GF!M15,Raw_Data_GF!N15,Raw_Data_GF!O15)</f>
        <v/>
      </c>
      <c r="R15" s="18">
        <f>ABS(E15)</f>
        <v/>
      </c>
    </row>
    <row r="16">
      <c r="A16" s="5">
        <f>Raw_Data_GF!B16</f>
        <v/>
      </c>
      <c r="B16" s="16">
        <f>Raw_Data_GF!A16</f>
        <v/>
      </c>
      <c r="C16" s="27">
        <f>Raw_Data_GF!C16</f>
        <v/>
      </c>
      <c r="D16" s="5">
        <f>IF(AND(C16&gt;cfg_gf_poa_threshold_wm2,C16&gt;cfg_gf_poa_floor_wm2),1,0)</f>
        <v/>
      </c>
      <c r="E16" s="18">
        <f>Raw_Data_GF!D16</f>
        <v/>
      </c>
      <c r="F16" s="18">
        <f>IF(AND(ABS(Raw_Data_GF!K16)&lt;cfg_i_threshold_a,Raw_Data_GF!E16&gt;cfg_min_voc_v),Raw_Data_GF!E16,"")</f>
        <v/>
      </c>
      <c r="G16" s="18">
        <f>IF(AND(ABS(Raw_Data_GF!L16)&lt;cfg_i_threshold_a,Raw_Data_GF!F16&gt;cfg_min_voc_v),Raw_Data_GF!F16,"")</f>
        <v/>
      </c>
      <c r="H16" s="18">
        <f>IF(AND(ABS(Raw_Data_GF!M16)&lt;cfg_i_threshold_a,Raw_Data_GF!G16&gt;cfg_min_voc_v),Raw_Data_GF!G16,"")</f>
        <v/>
      </c>
      <c r="I16" s="18">
        <f>IF(AND(ABS(Raw_Data_GF!N16)&lt;cfg_i_threshold_a,Raw_Data_GF!H16&gt;cfg_min_voc_v),Raw_Data_GF!H16,"")</f>
        <v/>
      </c>
      <c r="J16" s="18">
        <f>IF(AND(ABS(Raw_Data_GF!O16)&lt;cfg_i_threshold_a,Raw_Data_GF!I16&gt;cfg_min_voc_v),Raw_Data_GF!I16,"")</f>
        <v/>
      </c>
      <c r="K16" s="18">
        <f>IF(AND(ABS(Raw_Data_GF!P16)&lt;cfg_i_threshold_a,Raw_Data_GF!J16&gt;cfg_min_voc_v),Raw_Data_GF!J16,"")</f>
        <v/>
      </c>
      <c r="L16" s="17">
        <f>MEDIAN(Raw_Data_GF!L16,Raw_Data_GF!M16,Raw_Data_GF!N16,Raw_Data_GF!O16,Raw_Data_GF!P16)</f>
        <v/>
      </c>
      <c r="M16" s="17">
        <f>MEDIAN(Raw_Data_GF!K16,Raw_Data_GF!M16,Raw_Data_GF!N16,Raw_Data_GF!O16,Raw_Data_GF!P16)</f>
        <v/>
      </c>
      <c r="N16" s="17">
        <f>MEDIAN(Raw_Data_GF!K16,Raw_Data_GF!L16,Raw_Data_GF!N16,Raw_Data_GF!O16,Raw_Data_GF!P16)</f>
        <v/>
      </c>
      <c r="O16" s="17">
        <f>MEDIAN(Raw_Data_GF!K16,Raw_Data_GF!L16,Raw_Data_GF!M16,Raw_Data_GF!O16,Raw_Data_GF!P16)</f>
        <v/>
      </c>
      <c r="P16" s="17">
        <f>MEDIAN(Raw_Data_GF!K16,Raw_Data_GF!L16,Raw_Data_GF!M16,Raw_Data_GF!N16,Raw_Data_GF!P16)</f>
        <v/>
      </c>
      <c r="Q16" s="17">
        <f>MEDIAN(Raw_Data_GF!K16,Raw_Data_GF!L16,Raw_Data_GF!M16,Raw_Data_GF!N16,Raw_Data_GF!O16)</f>
        <v/>
      </c>
      <c r="R16" s="18">
        <f>ABS(E16)</f>
        <v/>
      </c>
    </row>
    <row r="17">
      <c r="A17" s="5">
        <f>Raw_Data_GF!B17</f>
        <v/>
      </c>
      <c r="B17" s="16">
        <f>Raw_Data_GF!A17</f>
        <v/>
      </c>
      <c r="C17" s="27">
        <f>Raw_Data_GF!C17</f>
        <v/>
      </c>
      <c r="D17" s="5">
        <f>IF(AND(C17&gt;cfg_gf_poa_threshold_wm2,C17&gt;cfg_gf_poa_floor_wm2),1,0)</f>
        <v/>
      </c>
      <c r="E17" s="18">
        <f>Raw_Data_GF!D17</f>
        <v/>
      </c>
      <c r="F17" s="18">
        <f>IF(AND(ABS(Raw_Data_GF!K17)&lt;cfg_i_threshold_a,Raw_Data_GF!E17&gt;cfg_min_voc_v),Raw_Data_GF!E17,"")</f>
        <v/>
      </c>
      <c r="G17" s="18">
        <f>IF(AND(ABS(Raw_Data_GF!L17)&lt;cfg_i_threshold_a,Raw_Data_GF!F17&gt;cfg_min_voc_v),Raw_Data_GF!F17,"")</f>
        <v/>
      </c>
      <c r="H17" s="18">
        <f>IF(AND(ABS(Raw_Data_GF!M17)&lt;cfg_i_threshold_a,Raw_Data_GF!G17&gt;cfg_min_voc_v),Raw_Data_GF!G17,"")</f>
        <v/>
      </c>
      <c r="I17" s="18">
        <f>IF(AND(ABS(Raw_Data_GF!N17)&lt;cfg_i_threshold_a,Raw_Data_GF!H17&gt;cfg_min_voc_v),Raw_Data_GF!H17,"")</f>
        <v/>
      </c>
      <c r="J17" s="18">
        <f>IF(AND(ABS(Raw_Data_GF!O17)&lt;cfg_i_threshold_a,Raw_Data_GF!I17&gt;cfg_min_voc_v),Raw_Data_GF!I17,"")</f>
        <v/>
      </c>
      <c r="K17" s="18">
        <f>IF(AND(ABS(Raw_Data_GF!P17)&lt;cfg_i_threshold_a,Raw_Data_GF!J17&gt;cfg_min_voc_v),Raw_Data_GF!J17,"")</f>
        <v/>
      </c>
      <c r="L17" s="17">
        <f>MEDIAN(Raw_Data_GF!L17,Raw_Data_GF!M17,Raw_Data_GF!N17,Raw_Data_GF!O17,Raw_Data_GF!P17)</f>
        <v/>
      </c>
      <c r="M17" s="17">
        <f>MEDIAN(Raw_Data_GF!K17,Raw_Data_GF!M17,Raw_Data_GF!N17,Raw_Data_GF!O17,Raw_Data_GF!P17)</f>
        <v/>
      </c>
      <c r="N17" s="17">
        <f>MEDIAN(Raw_Data_GF!K17,Raw_Data_GF!L17,Raw_Data_GF!N17,Raw_Data_GF!O17,Raw_Data_GF!P17)</f>
        <v/>
      </c>
      <c r="O17" s="17">
        <f>MEDIAN(Raw_Data_GF!K17,Raw_Data_GF!L17,Raw_Data_GF!M17,Raw_Data_GF!O17,Raw_Data_GF!P17)</f>
        <v/>
      </c>
      <c r="P17" s="17">
        <f>MEDIAN(Raw_Data_GF!K17,Raw_Data_GF!L17,Raw_Data_GF!M17,Raw_Data_GF!N17,Raw_Data_GF!P17)</f>
        <v/>
      </c>
      <c r="Q17" s="17">
        <f>MEDIAN(Raw_Data_GF!K17,Raw_Data_GF!L17,Raw_Data_GF!M17,Raw_Data_GF!N17,Raw_Data_GF!O17)</f>
        <v/>
      </c>
      <c r="R17" s="18">
        <f>ABS(E17)</f>
        <v/>
      </c>
    </row>
    <row r="18">
      <c r="A18" s="5">
        <f>Raw_Data_GF!B18</f>
        <v/>
      </c>
      <c r="B18" s="16">
        <f>Raw_Data_GF!A18</f>
        <v/>
      </c>
      <c r="C18" s="27">
        <f>Raw_Data_GF!C18</f>
        <v/>
      </c>
      <c r="D18" s="5">
        <f>IF(AND(C18&gt;cfg_gf_poa_threshold_wm2,C18&gt;cfg_gf_poa_floor_wm2),1,0)</f>
        <v/>
      </c>
      <c r="E18" s="18">
        <f>Raw_Data_GF!D18</f>
        <v/>
      </c>
      <c r="F18" s="18">
        <f>IF(AND(ABS(Raw_Data_GF!K18)&lt;cfg_i_threshold_a,Raw_Data_GF!E18&gt;cfg_min_voc_v),Raw_Data_GF!E18,"")</f>
        <v/>
      </c>
      <c r="G18" s="18">
        <f>IF(AND(ABS(Raw_Data_GF!L18)&lt;cfg_i_threshold_a,Raw_Data_GF!F18&gt;cfg_min_voc_v),Raw_Data_GF!F18,"")</f>
        <v/>
      </c>
      <c r="H18" s="18">
        <f>IF(AND(ABS(Raw_Data_GF!M18)&lt;cfg_i_threshold_a,Raw_Data_GF!G18&gt;cfg_min_voc_v),Raw_Data_GF!G18,"")</f>
        <v/>
      </c>
      <c r="I18" s="18">
        <f>IF(AND(ABS(Raw_Data_GF!N18)&lt;cfg_i_threshold_a,Raw_Data_GF!H18&gt;cfg_min_voc_v),Raw_Data_GF!H18,"")</f>
        <v/>
      </c>
      <c r="J18" s="18">
        <f>IF(AND(ABS(Raw_Data_GF!O18)&lt;cfg_i_threshold_a,Raw_Data_GF!I18&gt;cfg_min_voc_v),Raw_Data_GF!I18,"")</f>
        <v/>
      </c>
      <c r="K18" s="18">
        <f>IF(AND(ABS(Raw_Data_GF!P18)&lt;cfg_i_threshold_a,Raw_Data_GF!J18&gt;cfg_min_voc_v),Raw_Data_GF!J18,"")</f>
        <v/>
      </c>
      <c r="L18" s="17">
        <f>MEDIAN(Raw_Data_GF!L18,Raw_Data_GF!M18,Raw_Data_GF!N18,Raw_Data_GF!O18,Raw_Data_GF!P18)</f>
        <v/>
      </c>
      <c r="M18" s="17">
        <f>MEDIAN(Raw_Data_GF!K18,Raw_Data_GF!M18,Raw_Data_GF!N18,Raw_Data_GF!O18,Raw_Data_GF!P18)</f>
        <v/>
      </c>
      <c r="N18" s="17">
        <f>MEDIAN(Raw_Data_GF!K18,Raw_Data_GF!L18,Raw_Data_GF!N18,Raw_Data_GF!O18,Raw_Data_GF!P18)</f>
        <v/>
      </c>
      <c r="O18" s="17">
        <f>MEDIAN(Raw_Data_GF!K18,Raw_Data_GF!L18,Raw_Data_GF!M18,Raw_Data_GF!O18,Raw_Data_GF!P18)</f>
        <v/>
      </c>
      <c r="P18" s="17">
        <f>MEDIAN(Raw_Data_GF!K18,Raw_Data_GF!L18,Raw_Data_GF!M18,Raw_Data_GF!N18,Raw_Data_GF!P18)</f>
        <v/>
      </c>
      <c r="Q18" s="17">
        <f>MEDIAN(Raw_Data_GF!K18,Raw_Data_GF!L18,Raw_Data_GF!M18,Raw_Data_GF!N18,Raw_Data_GF!O18)</f>
        <v/>
      </c>
      <c r="R18" s="18">
        <f>ABS(E18)</f>
        <v/>
      </c>
    </row>
    <row r="19">
      <c r="A19" s="5">
        <f>Raw_Data_GF!B19</f>
        <v/>
      </c>
      <c r="B19" s="16">
        <f>Raw_Data_GF!A19</f>
        <v/>
      </c>
      <c r="C19" s="27">
        <f>Raw_Data_GF!C19</f>
        <v/>
      </c>
      <c r="D19" s="5">
        <f>IF(AND(C19&gt;cfg_gf_poa_threshold_wm2,C19&gt;cfg_gf_poa_floor_wm2),1,0)</f>
        <v/>
      </c>
      <c r="E19" s="18">
        <f>Raw_Data_GF!D19</f>
        <v/>
      </c>
      <c r="F19" s="18">
        <f>IF(AND(ABS(Raw_Data_GF!K19)&lt;cfg_i_threshold_a,Raw_Data_GF!E19&gt;cfg_min_voc_v),Raw_Data_GF!E19,"")</f>
        <v/>
      </c>
      <c r="G19" s="18">
        <f>IF(AND(ABS(Raw_Data_GF!L19)&lt;cfg_i_threshold_a,Raw_Data_GF!F19&gt;cfg_min_voc_v),Raw_Data_GF!F19,"")</f>
        <v/>
      </c>
      <c r="H19" s="18">
        <f>IF(AND(ABS(Raw_Data_GF!M19)&lt;cfg_i_threshold_a,Raw_Data_GF!G19&gt;cfg_min_voc_v),Raw_Data_GF!G19,"")</f>
        <v/>
      </c>
      <c r="I19" s="18">
        <f>IF(AND(ABS(Raw_Data_GF!N19)&lt;cfg_i_threshold_a,Raw_Data_GF!H19&gt;cfg_min_voc_v),Raw_Data_GF!H19,"")</f>
        <v/>
      </c>
      <c r="J19" s="18">
        <f>IF(AND(ABS(Raw_Data_GF!O19)&lt;cfg_i_threshold_a,Raw_Data_GF!I19&gt;cfg_min_voc_v),Raw_Data_GF!I19,"")</f>
        <v/>
      </c>
      <c r="K19" s="18">
        <f>IF(AND(ABS(Raw_Data_GF!P19)&lt;cfg_i_threshold_a,Raw_Data_GF!J19&gt;cfg_min_voc_v),Raw_Data_GF!J19,"")</f>
        <v/>
      </c>
      <c r="L19" s="17">
        <f>MEDIAN(Raw_Data_GF!L19,Raw_Data_GF!M19,Raw_Data_GF!N19,Raw_Data_GF!O19,Raw_Data_GF!P19)</f>
        <v/>
      </c>
      <c r="M19" s="17">
        <f>MEDIAN(Raw_Data_GF!K19,Raw_Data_GF!M19,Raw_Data_GF!N19,Raw_Data_GF!O19,Raw_Data_GF!P19)</f>
        <v/>
      </c>
      <c r="N19" s="17">
        <f>MEDIAN(Raw_Data_GF!K19,Raw_Data_GF!L19,Raw_Data_GF!N19,Raw_Data_GF!O19,Raw_Data_GF!P19)</f>
        <v/>
      </c>
      <c r="O19" s="17">
        <f>MEDIAN(Raw_Data_GF!K19,Raw_Data_GF!L19,Raw_Data_GF!M19,Raw_Data_GF!O19,Raw_Data_GF!P19)</f>
        <v/>
      </c>
      <c r="P19" s="17">
        <f>MEDIAN(Raw_Data_GF!K19,Raw_Data_GF!L19,Raw_Data_GF!M19,Raw_Data_GF!N19,Raw_Data_GF!P19)</f>
        <v/>
      </c>
      <c r="Q19" s="17">
        <f>MEDIAN(Raw_Data_GF!K19,Raw_Data_GF!L19,Raw_Data_GF!M19,Raw_Data_GF!N19,Raw_Data_GF!O19)</f>
        <v/>
      </c>
      <c r="R19" s="18">
        <f>ABS(E19)</f>
        <v/>
      </c>
    </row>
    <row r="20">
      <c r="A20" s="5">
        <f>Raw_Data_GF!B20</f>
        <v/>
      </c>
      <c r="B20" s="16">
        <f>Raw_Data_GF!A20</f>
        <v/>
      </c>
      <c r="C20" s="27">
        <f>Raw_Data_GF!C20</f>
        <v/>
      </c>
      <c r="D20" s="5">
        <f>IF(AND(C20&gt;cfg_gf_poa_threshold_wm2,C20&gt;cfg_gf_poa_floor_wm2),1,0)</f>
        <v/>
      </c>
      <c r="E20" s="18">
        <f>Raw_Data_GF!D20</f>
        <v/>
      </c>
      <c r="F20" s="18">
        <f>IF(AND(ABS(Raw_Data_GF!K20)&lt;cfg_i_threshold_a,Raw_Data_GF!E20&gt;cfg_min_voc_v),Raw_Data_GF!E20,"")</f>
        <v/>
      </c>
      <c r="G20" s="18">
        <f>IF(AND(ABS(Raw_Data_GF!L20)&lt;cfg_i_threshold_a,Raw_Data_GF!F20&gt;cfg_min_voc_v),Raw_Data_GF!F20,"")</f>
        <v/>
      </c>
      <c r="H20" s="18">
        <f>IF(AND(ABS(Raw_Data_GF!M20)&lt;cfg_i_threshold_a,Raw_Data_GF!G20&gt;cfg_min_voc_v),Raw_Data_GF!G20,"")</f>
        <v/>
      </c>
      <c r="I20" s="18">
        <f>IF(AND(ABS(Raw_Data_GF!N20)&lt;cfg_i_threshold_a,Raw_Data_GF!H20&gt;cfg_min_voc_v),Raw_Data_GF!H20,"")</f>
        <v/>
      </c>
      <c r="J20" s="18">
        <f>IF(AND(ABS(Raw_Data_GF!O20)&lt;cfg_i_threshold_a,Raw_Data_GF!I20&gt;cfg_min_voc_v),Raw_Data_GF!I20,"")</f>
        <v/>
      </c>
      <c r="K20" s="18">
        <f>IF(AND(ABS(Raw_Data_GF!P20)&lt;cfg_i_threshold_a,Raw_Data_GF!J20&gt;cfg_min_voc_v),Raw_Data_GF!J20,"")</f>
        <v/>
      </c>
      <c r="L20" s="17">
        <f>MEDIAN(Raw_Data_GF!L20,Raw_Data_GF!M20,Raw_Data_GF!N20,Raw_Data_GF!O20,Raw_Data_GF!P20)</f>
        <v/>
      </c>
      <c r="M20" s="17">
        <f>MEDIAN(Raw_Data_GF!K20,Raw_Data_GF!M20,Raw_Data_GF!N20,Raw_Data_GF!O20,Raw_Data_GF!P20)</f>
        <v/>
      </c>
      <c r="N20" s="17">
        <f>MEDIAN(Raw_Data_GF!K20,Raw_Data_GF!L20,Raw_Data_GF!N20,Raw_Data_GF!O20,Raw_Data_GF!P20)</f>
        <v/>
      </c>
      <c r="O20" s="17">
        <f>MEDIAN(Raw_Data_GF!K20,Raw_Data_GF!L20,Raw_Data_GF!M20,Raw_Data_GF!O20,Raw_Data_GF!P20)</f>
        <v/>
      </c>
      <c r="P20" s="17">
        <f>MEDIAN(Raw_Data_GF!K20,Raw_Data_GF!L20,Raw_Data_GF!M20,Raw_Data_GF!N20,Raw_Data_GF!P20)</f>
        <v/>
      </c>
      <c r="Q20" s="17">
        <f>MEDIAN(Raw_Data_GF!K20,Raw_Data_GF!L20,Raw_Data_GF!M20,Raw_Data_GF!N20,Raw_Data_GF!O20)</f>
        <v/>
      </c>
      <c r="R20" s="18">
        <f>ABS(E20)</f>
        <v/>
      </c>
    </row>
    <row r="21">
      <c r="A21" s="5">
        <f>Raw_Data_GF!B21</f>
        <v/>
      </c>
      <c r="B21" s="16">
        <f>Raw_Data_GF!A21</f>
        <v/>
      </c>
      <c r="C21" s="27">
        <f>Raw_Data_GF!C21</f>
        <v/>
      </c>
      <c r="D21" s="5">
        <f>IF(AND(C21&gt;cfg_gf_poa_threshold_wm2,C21&gt;cfg_gf_poa_floor_wm2),1,0)</f>
        <v/>
      </c>
      <c r="E21" s="18">
        <f>Raw_Data_GF!D21</f>
        <v/>
      </c>
      <c r="F21" s="18">
        <f>IF(AND(ABS(Raw_Data_GF!K21)&lt;cfg_i_threshold_a,Raw_Data_GF!E21&gt;cfg_min_voc_v),Raw_Data_GF!E21,"")</f>
        <v/>
      </c>
      <c r="G21" s="18">
        <f>IF(AND(ABS(Raw_Data_GF!L21)&lt;cfg_i_threshold_a,Raw_Data_GF!F21&gt;cfg_min_voc_v),Raw_Data_GF!F21,"")</f>
        <v/>
      </c>
      <c r="H21" s="18">
        <f>IF(AND(ABS(Raw_Data_GF!M21)&lt;cfg_i_threshold_a,Raw_Data_GF!G21&gt;cfg_min_voc_v),Raw_Data_GF!G21,"")</f>
        <v/>
      </c>
      <c r="I21" s="18">
        <f>IF(AND(ABS(Raw_Data_GF!N21)&lt;cfg_i_threshold_a,Raw_Data_GF!H21&gt;cfg_min_voc_v),Raw_Data_GF!H21,"")</f>
        <v/>
      </c>
      <c r="J21" s="18">
        <f>IF(AND(ABS(Raw_Data_GF!O21)&lt;cfg_i_threshold_a,Raw_Data_GF!I21&gt;cfg_min_voc_v),Raw_Data_GF!I21,"")</f>
        <v/>
      </c>
      <c r="K21" s="18">
        <f>IF(AND(ABS(Raw_Data_GF!P21)&lt;cfg_i_threshold_a,Raw_Data_GF!J21&gt;cfg_min_voc_v),Raw_Data_GF!J21,"")</f>
        <v/>
      </c>
      <c r="L21" s="17">
        <f>MEDIAN(Raw_Data_GF!L21,Raw_Data_GF!M21,Raw_Data_GF!N21,Raw_Data_GF!O21,Raw_Data_GF!P21)</f>
        <v/>
      </c>
      <c r="M21" s="17">
        <f>MEDIAN(Raw_Data_GF!K21,Raw_Data_GF!M21,Raw_Data_GF!N21,Raw_Data_GF!O21,Raw_Data_GF!P21)</f>
        <v/>
      </c>
      <c r="N21" s="17">
        <f>MEDIAN(Raw_Data_GF!K21,Raw_Data_GF!L21,Raw_Data_GF!N21,Raw_Data_GF!O21,Raw_Data_GF!P21)</f>
        <v/>
      </c>
      <c r="O21" s="17">
        <f>MEDIAN(Raw_Data_GF!K21,Raw_Data_GF!L21,Raw_Data_GF!M21,Raw_Data_GF!O21,Raw_Data_GF!P21)</f>
        <v/>
      </c>
      <c r="P21" s="17">
        <f>MEDIAN(Raw_Data_GF!K21,Raw_Data_GF!L21,Raw_Data_GF!M21,Raw_Data_GF!N21,Raw_Data_GF!P21)</f>
        <v/>
      </c>
      <c r="Q21" s="17">
        <f>MEDIAN(Raw_Data_GF!K21,Raw_Data_GF!L21,Raw_Data_GF!M21,Raw_Data_GF!N21,Raw_Data_GF!O21)</f>
        <v/>
      </c>
      <c r="R21" s="18">
        <f>ABS(E21)</f>
        <v/>
      </c>
    </row>
    <row r="22">
      <c r="A22" s="5">
        <f>Raw_Data_GF!B22</f>
        <v/>
      </c>
      <c r="B22" s="16">
        <f>Raw_Data_GF!A22</f>
        <v/>
      </c>
      <c r="C22" s="27">
        <f>Raw_Data_GF!C22</f>
        <v/>
      </c>
      <c r="D22" s="5">
        <f>IF(AND(C22&gt;cfg_gf_poa_threshold_wm2,C22&gt;cfg_gf_poa_floor_wm2),1,0)</f>
        <v/>
      </c>
      <c r="E22" s="18">
        <f>Raw_Data_GF!D22</f>
        <v/>
      </c>
      <c r="F22" s="18">
        <f>IF(AND(ABS(Raw_Data_GF!K22)&lt;cfg_i_threshold_a,Raw_Data_GF!E22&gt;cfg_min_voc_v),Raw_Data_GF!E22,"")</f>
        <v/>
      </c>
      <c r="G22" s="18">
        <f>IF(AND(ABS(Raw_Data_GF!L22)&lt;cfg_i_threshold_a,Raw_Data_GF!F22&gt;cfg_min_voc_v),Raw_Data_GF!F22,"")</f>
        <v/>
      </c>
      <c r="H22" s="18">
        <f>IF(AND(ABS(Raw_Data_GF!M22)&lt;cfg_i_threshold_a,Raw_Data_GF!G22&gt;cfg_min_voc_v),Raw_Data_GF!G22,"")</f>
        <v/>
      </c>
      <c r="I22" s="18">
        <f>IF(AND(ABS(Raw_Data_GF!N22)&lt;cfg_i_threshold_a,Raw_Data_GF!H22&gt;cfg_min_voc_v),Raw_Data_GF!H22,"")</f>
        <v/>
      </c>
      <c r="J22" s="18">
        <f>IF(AND(ABS(Raw_Data_GF!O22)&lt;cfg_i_threshold_a,Raw_Data_GF!I22&gt;cfg_min_voc_v),Raw_Data_GF!I22,"")</f>
        <v/>
      </c>
      <c r="K22" s="18">
        <f>IF(AND(ABS(Raw_Data_GF!P22)&lt;cfg_i_threshold_a,Raw_Data_GF!J22&gt;cfg_min_voc_v),Raw_Data_GF!J22,"")</f>
        <v/>
      </c>
      <c r="L22" s="17">
        <f>MEDIAN(Raw_Data_GF!L22,Raw_Data_GF!M22,Raw_Data_GF!N22,Raw_Data_GF!O22,Raw_Data_GF!P22)</f>
        <v/>
      </c>
      <c r="M22" s="17">
        <f>MEDIAN(Raw_Data_GF!K22,Raw_Data_GF!M22,Raw_Data_GF!N22,Raw_Data_GF!O22,Raw_Data_GF!P22)</f>
        <v/>
      </c>
      <c r="N22" s="17">
        <f>MEDIAN(Raw_Data_GF!K22,Raw_Data_GF!L22,Raw_Data_GF!N22,Raw_Data_GF!O22,Raw_Data_GF!P22)</f>
        <v/>
      </c>
      <c r="O22" s="17">
        <f>MEDIAN(Raw_Data_GF!K22,Raw_Data_GF!L22,Raw_Data_GF!M22,Raw_Data_GF!O22,Raw_Data_GF!P22)</f>
        <v/>
      </c>
      <c r="P22" s="17">
        <f>MEDIAN(Raw_Data_GF!K22,Raw_Data_GF!L22,Raw_Data_GF!M22,Raw_Data_GF!N22,Raw_Data_GF!P22)</f>
        <v/>
      </c>
      <c r="Q22" s="17">
        <f>MEDIAN(Raw_Data_GF!K22,Raw_Data_GF!L22,Raw_Data_GF!M22,Raw_Data_GF!N22,Raw_Data_GF!O22)</f>
        <v/>
      </c>
      <c r="R22" s="18">
        <f>ABS(E22)</f>
        <v/>
      </c>
    </row>
    <row r="23">
      <c r="A23" s="5">
        <f>Raw_Data_GF!B23</f>
        <v/>
      </c>
      <c r="B23" s="16">
        <f>Raw_Data_GF!A23</f>
        <v/>
      </c>
      <c r="C23" s="27">
        <f>Raw_Data_GF!C23</f>
        <v/>
      </c>
      <c r="D23" s="5">
        <f>IF(AND(C23&gt;cfg_gf_poa_threshold_wm2,C23&gt;cfg_gf_poa_floor_wm2),1,0)</f>
        <v/>
      </c>
      <c r="E23" s="18">
        <f>Raw_Data_GF!D23</f>
        <v/>
      </c>
      <c r="F23" s="18">
        <f>IF(AND(ABS(Raw_Data_GF!K23)&lt;cfg_i_threshold_a,Raw_Data_GF!E23&gt;cfg_min_voc_v),Raw_Data_GF!E23,"")</f>
        <v/>
      </c>
      <c r="G23" s="18">
        <f>IF(AND(ABS(Raw_Data_GF!L23)&lt;cfg_i_threshold_a,Raw_Data_GF!F23&gt;cfg_min_voc_v),Raw_Data_GF!F23,"")</f>
        <v/>
      </c>
      <c r="H23" s="18">
        <f>IF(AND(ABS(Raw_Data_GF!M23)&lt;cfg_i_threshold_a,Raw_Data_GF!G23&gt;cfg_min_voc_v),Raw_Data_GF!G23,"")</f>
        <v/>
      </c>
      <c r="I23" s="18">
        <f>IF(AND(ABS(Raw_Data_GF!N23)&lt;cfg_i_threshold_a,Raw_Data_GF!H23&gt;cfg_min_voc_v),Raw_Data_GF!H23,"")</f>
        <v/>
      </c>
      <c r="J23" s="18">
        <f>IF(AND(ABS(Raw_Data_GF!O23)&lt;cfg_i_threshold_a,Raw_Data_GF!I23&gt;cfg_min_voc_v),Raw_Data_GF!I23,"")</f>
        <v/>
      </c>
      <c r="K23" s="18">
        <f>IF(AND(ABS(Raw_Data_GF!P23)&lt;cfg_i_threshold_a,Raw_Data_GF!J23&gt;cfg_min_voc_v),Raw_Data_GF!J23,"")</f>
        <v/>
      </c>
      <c r="L23" s="17">
        <f>MEDIAN(Raw_Data_GF!L23,Raw_Data_GF!M23,Raw_Data_GF!N23,Raw_Data_GF!O23,Raw_Data_GF!P23)</f>
        <v/>
      </c>
      <c r="M23" s="17">
        <f>MEDIAN(Raw_Data_GF!K23,Raw_Data_GF!M23,Raw_Data_GF!N23,Raw_Data_GF!O23,Raw_Data_GF!P23)</f>
        <v/>
      </c>
      <c r="N23" s="17">
        <f>MEDIAN(Raw_Data_GF!K23,Raw_Data_GF!L23,Raw_Data_GF!N23,Raw_Data_GF!O23,Raw_Data_GF!P23)</f>
        <v/>
      </c>
      <c r="O23" s="17">
        <f>MEDIAN(Raw_Data_GF!K23,Raw_Data_GF!L23,Raw_Data_GF!M23,Raw_Data_GF!O23,Raw_Data_GF!P23)</f>
        <v/>
      </c>
      <c r="P23" s="17">
        <f>MEDIAN(Raw_Data_GF!K23,Raw_Data_GF!L23,Raw_Data_GF!M23,Raw_Data_GF!N23,Raw_Data_GF!P23)</f>
        <v/>
      </c>
      <c r="Q23" s="17">
        <f>MEDIAN(Raw_Data_GF!K23,Raw_Data_GF!L23,Raw_Data_GF!M23,Raw_Data_GF!N23,Raw_Data_GF!O23)</f>
        <v/>
      </c>
      <c r="R23" s="18">
        <f>ABS(E23)</f>
        <v/>
      </c>
    </row>
    <row r="24">
      <c r="A24" s="5">
        <f>Raw_Data_GF!B24</f>
        <v/>
      </c>
      <c r="B24" s="16">
        <f>Raw_Data_GF!A24</f>
        <v/>
      </c>
      <c r="C24" s="27">
        <f>Raw_Data_GF!C24</f>
        <v/>
      </c>
      <c r="D24" s="5">
        <f>IF(AND(C24&gt;cfg_gf_poa_threshold_wm2,C24&gt;cfg_gf_poa_floor_wm2),1,0)</f>
        <v/>
      </c>
      <c r="E24" s="18">
        <f>Raw_Data_GF!D24</f>
        <v/>
      </c>
      <c r="F24" s="18">
        <f>IF(AND(ABS(Raw_Data_GF!K24)&lt;cfg_i_threshold_a,Raw_Data_GF!E24&gt;cfg_min_voc_v),Raw_Data_GF!E24,"")</f>
        <v/>
      </c>
      <c r="G24" s="18">
        <f>IF(AND(ABS(Raw_Data_GF!L24)&lt;cfg_i_threshold_a,Raw_Data_GF!F24&gt;cfg_min_voc_v),Raw_Data_GF!F24,"")</f>
        <v/>
      </c>
      <c r="H24" s="18">
        <f>IF(AND(ABS(Raw_Data_GF!M24)&lt;cfg_i_threshold_a,Raw_Data_GF!G24&gt;cfg_min_voc_v),Raw_Data_GF!G24,"")</f>
        <v/>
      </c>
      <c r="I24" s="18">
        <f>IF(AND(ABS(Raw_Data_GF!N24)&lt;cfg_i_threshold_a,Raw_Data_GF!H24&gt;cfg_min_voc_v),Raw_Data_GF!H24,"")</f>
        <v/>
      </c>
      <c r="J24" s="18">
        <f>IF(AND(ABS(Raw_Data_GF!O24)&lt;cfg_i_threshold_a,Raw_Data_GF!I24&gt;cfg_min_voc_v),Raw_Data_GF!I24,"")</f>
        <v/>
      </c>
      <c r="K24" s="18">
        <f>IF(AND(ABS(Raw_Data_GF!P24)&lt;cfg_i_threshold_a,Raw_Data_GF!J24&gt;cfg_min_voc_v),Raw_Data_GF!J24,"")</f>
        <v/>
      </c>
      <c r="L24" s="17">
        <f>MEDIAN(Raw_Data_GF!L24,Raw_Data_GF!M24,Raw_Data_GF!N24,Raw_Data_GF!O24,Raw_Data_GF!P24)</f>
        <v/>
      </c>
      <c r="M24" s="17">
        <f>MEDIAN(Raw_Data_GF!K24,Raw_Data_GF!M24,Raw_Data_GF!N24,Raw_Data_GF!O24,Raw_Data_GF!P24)</f>
        <v/>
      </c>
      <c r="N24" s="17">
        <f>MEDIAN(Raw_Data_GF!K24,Raw_Data_GF!L24,Raw_Data_GF!N24,Raw_Data_GF!O24,Raw_Data_GF!P24)</f>
        <v/>
      </c>
      <c r="O24" s="17">
        <f>MEDIAN(Raw_Data_GF!K24,Raw_Data_GF!L24,Raw_Data_GF!M24,Raw_Data_GF!O24,Raw_Data_GF!P24)</f>
        <v/>
      </c>
      <c r="P24" s="17">
        <f>MEDIAN(Raw_Data_GF!K24,Raw_Data_GF!L24,Raw_Data_GF!M24,Raw_Data_GF!N24,Raw_Data_GF!P24)</f>
        <v/>
      </c>
      <c r="Q24" s="17">
        <f>MEDIAN(Raw_Data_GF!K24,Raw_Data_GF!L24,Raw_Data_GF!M24,Raw_Data_GF!N24,Raw_Data_GF!O24)</f>
        <v/>
      </c>
      <c r="R24" s="18">
        <f>ABS(E24)</f>
        <v/>
      </c>
    </row>
    <row r="25">
      <c r="A25" s="5">
        <f>Raw_Data_GF!B25</f>
        <v/>
      </c>
      <c r="B25" s="16">
        <f>Raw_Data_GF!A25</f>
        <v/>
      </c>
      <c r="C25" s="27">
        <f>Raw_Data_GF!C25</f>
        <v/>
      </c>
      <c r="D25" s="5">
        <f>IF(AND(C25&gt;cfg_gf_poa_threshold_wm2,C25&gt;cfg_gf_poa_floor_wm2),1,0)</f>
        <v/>
      </c>
      <c r="E25" s="18">
        <f>Raw_Data_GF!D25</f>
        <v/>
      </c>
      <c r="F25" s="18">
        <f>IF(AND(ABS(Raw_Data_GF!K25)&lt;cfg_i_threshold_a,Raw_Data_GF!E25&gt;cfg_min_voc_v),Raw_Data_GF!E25,"")</f>
        <v/>
      </c>
      <c r="G25" s="18">
        <f>IF(AND(ABS(Raw_Data_GF!L25)&lt;cfg_i_threshold_a,Raw_Data_GF!F25&gt;cfg_min_voc_v),Raw_Data_GF!F25,"")</f>
        <v/>
      </c>
      <c r="H25" s="18">
        <f>IF(AND(ABS(Raw_Data_GF!M25)&lt;cfg_i_threshold_a,Raw_Data_GF!G25&gt;cfg_min_voc_v),Raw_Data_GF!G25,"")</f>
        <v/>
      </c>
      <c r="I25" s="18">
        <f>IF(AND(ABS(Raw_Data_GF!N25)&lt;cfg_i_threshold_a,Raw_Data_GF!H25&gt;cfg_min_voc_v),Raw_Data_GF!H25,"")</f>
        <v/>
      </c>
      <c r="J25" s="18">
        <f>IF(AND(ABS(Raw_Data_GF!O25)&lt;cfg_i_threshold_a,Raw_Data_GF!I25&gt;cfg_min_voc_v),Raw_Data_GF!I25,"")</f>
        <v/>
      </c>
      <c r="K25" s="18">
        <f>IF(AND(ABS(Raw_Data_GF!P25)&lt;cfg_i_threshold_a,Raw_Data_GF!J25&gt;cfg_min_voc_v),Raw_Data_GF!J25,"")</f>
        <v/>
      </c>
      <c r="L25" s="17">
        <f>MEDIAN(Raw_Data_GF!L25,Raw_Data_GF!M25,Raw_Data_GF!N25,Raw_Data_GF!O25,Raw_Data_GF!P25)</f>
        <v/>
      </c>
      <c r="M25" s="17">
        <f>MEDIAN(Raw_Data_GF!K25,Raw_Data_GF!M25,Raw_Data_GF!N25,Raw_Data_GF!O25,Raw_Data_GF!P25)</f>
        <v/>
      </c>
      <c r="N25" s="17">
        <f>MEDIAN(Raw_Data_GF!K25,Raw_Data_GF!L25,Raw_Data_GF!N25,Raw_Data_GF!O25,Raw_Data_GF!P25)</f>
        <v/>
      </c>
      <c r="O25" s="17">
        <f>MEDIAN(Raw_Data_GF!K25,Raw_Data_GF!L25,Raw_Data_GF!M25,Raw_Data_GF!O25,Raw_Data_GF!P25)</f>
        <v/>
      </c>
      <c r="P25" s="17">
        <f>MEDIAN(Raw_Data_GF!K25,Raw_Data_GF!L25,Raw_Data_GF!M25,Raw_Data_GF!N25,Raw_Data_GF!P25)</f>
        <v/>
      </c>
      <c r="Q25" s="17">
        <f>MEDIAN(Raw_Data_GF!K25,Raw_Data_GF!L25,Raw_Data_GF!M25,Raw_Data_GF!N25,Raw_Data_GF!O25)</f>
        <v/>
      </c>
      <c r="R25" s="18">
        <f>ABS(E25)</f>
        <v/>
      </c>
    </row>
    <row r="26">
      <c r="A26" s="5">
        <f>Raw_Data_GF!B26</f>
        <v/>
      </c>
      <c r="B26" s="16">
        <f>Raw_Data_GF!A26</f>
        <v/>
      </c>
      <c r="C26" s="27">
        <f>Raw_Data_GF!C26</f>
        <v/>
      </c>
      <c r="D26" s="5">
        <f>IF(AND(C26&gt;cfg_gf_poa_threshold_wm2,C26&gt;cfg_gf_poa_floor_wm2),1,0)</f>
        <v/>
      </c>
      <c r="E26" s="18">
        <f>Raw_Data_GF!D26</f>
        <v/>
      </c>
      <c r="F26" s="18">
        <f>IF(AND(ABS(Raw_Data_GF!K26)&lt;cfg_i_threshold_a,Raw_Data_GF!E26&gt;cfg_min_voc_v),Raw_Data_GF!E26,"")</f>
        <v/>
      </c>
      <c r="G26" s="18">
        <f>IF(AND(ABS(Raw_Data_GF!L26)&lt;cfg_i_threshold_a,Raw_Data_GF!F26&gt;cfg_min_voc_v),Raw_Data_GF!F26,"")</f>
        <v/>
      </c>
      <c r="H26" s="18">
        <f>IF(AND(ABS(Raw_Data_GF!M26)&lt;cfg_i_threshold_a,Raw_Data_GF!G26&gt;cfg_min_voc_v),Raw_Data_GF!G26,"")</f>
        <v/>
      </c>
      <c r="I26" s="18">
        <f>IF(AND(ABS(Raw_Data_GF!N26)&lt;cfg_i_threshold_a,Raw_Data_GF!H26&gt;cfg_min_voc_v),Raw_Data_GF!H26,"")</f>
        <v/>
      </c>
      <c r="J26" s="18">
        <f>IF(AND(ABS(Raw_Data_GF!O26)&lt;cfg_i_threshold_a,Raw_Data_GF!I26&gt;cfg_min_voc_v),Raw_Data_GF!I26,"")</f>
        <v/>
      </c>
      <c r="K26" s="18">
        <f>IF(AND(ABS(Raw_Data_GF!P26)&lt;cfg_i_threshold_a,Raw_Data_GF!J26&gt;cfg_min_voc_v),Raw_Data_GF!J26,"")</f>
        <v/>
      </c>
      <c r="L26" s="17">
        <f>MEDIAN(Raw_Data_GF!L26,Raw_Data_GF!M26,Raw_Data_GF!N26,Raw_Data_GF!O26,Raw_Data_GF!P26)</f>
        <v/>
      </c>
      <c r="M26" s="17">
        <f>MEDIAN(Raw_Data_GF!K26,Raw_Data_GF!M26,Raw_Data_GF!N26,Raw_Data_GF!O26,Raw_Data_GF!P26)</f>
        <v/>
      </c>
      <c r="N26" s="17">
        <f>MEDIAN(Raw_Data_GF!K26,Raw_Data_GF!L26,Raw_Data_GF!N26,Raw_Data_GF!O26,Raw_Data_GF!P26)</f>
        <v/>
      </c>
      <c r="O26" s="17">
        <f>MEDIAN(Raw_Data_GF!K26,Raw_Data_GF!L26,Raw_Data_GF!M26,Raw_Data_GF!O26,Raw_Data_GF!P26)</f>
        <v/>
      </c>
      <c r="P26" s="17">
        <f>MEDIAN(Raw_Data_GF!K26,Raw_Data_GF!L26,Raw_Data_GF!M26,Raw_Data_GF!N26,Raw_Data_GF!P26)</f>
        <v/>
      </c>
      <c r="Q26" s="17">
        <f>MEDIAN(Raw_Data_GF!K26,Raw_Data_GF!L26,Raw_Data_GF!M26,Raw_Data_GF!N26,Raw_Data_GF!O26)</f>
        <v/>
      </c>
      <c r="R26" s="18">
        <f>ABS(E26)</f>
        <v/>
      </c>
    </row>
    <row r="27">
      <c r="A27" s="5">
        <f>Raw_Data_GF!B27</f>
        <v/>
      </c>
      <c r="B27" s="16">
        <f>Raw_Data_GF!A27</f>
        <v/>
      </c>
      <c r="C27" s="27">
        <f>Raw_Data_GF!C27</f>
        <v/>
      </c>
      <c r="D27" s="5">
        <f>IF(AND(C27&gt;cfg_gf_poa_threshold_wm2,C27&gt;cfg_gf_poa_floor_wm2),1,0)</f>
        <v/>
      </c>
      <c r="E27" s="18">
        <f>Raw_Data_GF!D27</f>
        <v/>
      </c>
      <c r="F27" s="18">
        <f>IF(AND(ABS(Raw_Data_GF!K27)&lt;cfg_i_threshold_a,Raw_Data_GF!E27&gt;cfg_min_voc_v),Raw_Data_GF!E27,"")</f>
        <v/>
      </c>
      <c r="G27" s="18">
        <f>IF(AND(ABS(Raw_Data_GF!L27)&lt;cfg_i_threshold_a,Raw_Data_GF!F27&gt;cfg_min_voc_v),Raw_Data_GF!F27,"")</f>
        <v/>
      </c>
      <c r="H27" s="18">
        <f>IF(AND(ABS(Raw_Data_GF!M27)&lt;cfg_i_threshold_a,Raw_Data_GF!G27&gt;cfg_min_voc_v),Raw_Data_GF!G27,"")</f>
        <v/>
      </c>
      <c r="I27" s="18">
        <f>IF(AND(ABS(Raw_Data_GF!N27)&lt;cfg_i_threshold_a,Raw_Data_GF!H27&gt;cfg_min_voc_v),Raw_Data_GF!H27,"")</f>
        <v/>
      </c>
      <c r="J27" s="18">
        <f>IF(AND(ABS(Raw_Data_GF!O27)&lt;cfg_i_threshold_a,Raw_Data_GF!I27&gt;cfg_min_voc_v),Raw_Data_GF!I27,"")</f>
        <v/>
      </c>
      <c r="K27" s="18">
        <f>IF(AND(ABS(Raw_Data_GF!P27)&lt;cfg_i_threshold_a,Raw_Data_GF!J27&gt;cfg_min_voc_v),Raw_Data_GF!J27,"")</f>
        <v/>
      </c>
      <c r="L27" s="17">
        <f>MEDIAN(Raw_Data_GF!L27,Raw_Data_GF!M27,Raw_Data_GF!N27,Raw_Data_GF!O27,Raw_Data_GF!P27)</f>
        <v/>
      </c>
      <c r="M27" s="17">
        <f>MEDIAN(Raw_Data_GF!K27,Raw_Data_GF!M27,Raw_Data_GF!N27,Raw_Data_GF!O27,Raw_Data_GF!P27)</f>
        <v/>
      </c>
      <c r="N27" s="17">
        <f>MEDIAN(Raw_Data_GF!K27,Raw_Data_GF!L27,Raw_Data_GF!N27,Raw_Data_GF!O27,Raw_Data_GF!P27)</f>
        <v/>
      </c>
      <c r="O27" s="17">
        <f>MEDIAN(Raw_Data_GF!K27,Raw_Data_GF!L27,Raw_Data_GF!M27,Raw_Data_GF!O27,Raw_Data_GF!P27)</f>
        <v/>
      </c>
      <c r="P27" s="17">
        <f>MEDIAN(Raw_Data_GF!K27,Raw_Data_GF!L27,Raw_Data_GF!M27,Raw_Data_GF!N27,Raw_Data_GF!P27)</f>
        <v/>
      </c>
      <c r="Q27" s="17">
        <f>MEDIAN(Raw_Data_GF!K27,Raw_Data_GF!L27,Raw_Data_GF!M27,Raw_Data_GF!N27,Raw_Data_GF!O27)</f>
        <v/>
      </c>
      <c r="R27" s="18">
        <f>ABS(E27)</f>
        <v/>
      </c>
    </row>
    <row r="28">
      <c r="A28" s="5">
        <f>Raw_Data_GF!B28</f>
        <v/>
      </c>
      <c r="B28" s="16">
        <f>Raw_Data_GF!A28</f>
        <v/>
      </c>
      <c r="C28" s="27">
        <f>Raw_Data_GF!C28</f>
        <v/>
      </c>
      <c r="D28" s="5">
        <f>IF(AND(C28&gt;cfg_gf_poa_threshold_wm2,C28&gt;cfg_gf_poa_floor_wm2),1,0)</f>
        <v/>
      </c>
      <c r="E28" s="18">
        <f>Raw_Data_GF!D28</f>
        <v/>
      </c>
      <c r="F28" s="18">
        <f>IF(AND(ABS(Raw_Data_GF!K28)&lt;cfg_i_threshold_a,Raw_Data_GF!E28&gt;cfg_min_voc_v),Raw_Data_GF!E28,"")</f>
        <v/>
      </c>
      <c r="G28" s="18">
        <f>IF(AND(ABS(Raw_Data_GF!L28)&lt;cfg_i_threshold_a,Raw_Data_GF!F28&gt;cfg_min_voc_v),Raw_Data_GF!F28,"")</f>
        <v/>
      </c>
      <c r="H28" s="18">
        <f>IF(AND(ABS(Raw_Data_GF!M28)&lt;cfg_i_threshold_a,Raw_Data_GF!G28&gt;cfg_min_voc_v),Raw_Data_GF!G28,"")</f>
        <v/>
      </c>
      <c r="I28" s="18">
        <f>IF(AND(ABS(Raw_Data_GF!N28)&lt;cfg_i_threshold_a,Raw_Data_GF!H28&gt;cfg_min_voc_v),Raw_Data_GF!H28,"")</f>
        <v/>
      </c>
      <c r="J28" s="18">
        <f>IF(AND(ABS(Raw_Data_GF!O28)&lt;cfg_i_threshold_a,Raw_Data_GF!I28&gt;cfg_min_voc_v),Raw_Data_GF!I28,"")</f>
        <v/>
      </c>
      <c r="K28" s="18">
        <f>IF(AND(ABS(Raw_Data_GF!P28)&lt;cfg_i_threshold_a,Raw_Data_GF!J28&gt;cfg_min_voc_v),Raw_Data_GF!J28,"")</f>
        <v/>
      </c>
      <c r="L28" s="17">
        <f>MEDIAN(Raw_Data_GF!L28,Raw_Data_GF!M28,Raw_Data_GF!N28,Raw_Data_GF!O28,Raw_Data_GF!P28)</f>
        <v/>
      </c>
      <c r="M28" s="17">
        <f>MEDIAN(Raw_Data_GF!K28,Raw_Data_GF!M28,Raw_Data_GF!N28,Raw_Data_GF!O28,Raw_Data_GF!P28)</f>
        <v/>
      </c>
      <c r="N28" s="17">
        <f>MEDIAN(Raw_Data_GF!K28,Raw_Data_GF!L28,Raw_Data_GF!N28,Raw_Data_GF!O28,Raw_Data_GF!P28)</f>
        <v/>
      </c>
      <c r="O28" s="17">
        <f>MEDIAN(Raw_Data_GF!K28,Raw_Data_GF!L28,Raw_Data_GF!M28,Raw_Data_GF!O28,Raw_Data_GF!P28)</f>
        <v/>
      </c>
      <c r="P28" s="17">
        <f>MEDIAN(Raw_Data_GF!K28,Raw_Data_GF!L28,Raw_Data_GF!M28,Raw_Data_GF!N28,Raw_Data_GF!P28)</f>
        <v/>
      </c>
      <c r="Q28" s="17">
        <f>MEDIAN(Raw_Data_GF!K28,Raw_Data_GF!L28,Raw_Data_GF!M28,Raw_Data_GF!N28,Raw_Data_GF!O28)</f>
        <v/>
      </c>
      <c r="R28" s="18">
        <f>ABS(E28)</f>
        <v/>
      </c>
    </row>
    <row r="29">
      <c r="A29" s="5">
        <f>Raw_Data_GF!B29</f>
        <v/>
      </c>
      <c r="B29" s="16">
        <f>Raw_Data_GF!A29</f>
        <v/>
      </c>
      <c r="C29" s="27">
        <f>Raw_Data_GF!C29</f>
        <v/>
      </c>
      <c r="D29" s="5">
        <f>IF(AND(C29&gt;cfg_gf_poa_threshold_wm2,C29&gt;cfg_gf_poa_floor_wm2),1,0)</f>
        <v/>
      </c>
      <c r="E29" s="18">
        <f>Raw_Data_GF!D29</f>
        <v/>
      </c>
      <c r="F29" s="18">
        <f>IF(AND(ABS(Raw_Data_GF!K29)&lt;cfg_i_threshold_a,Raw_Data_GF!E29&gt;cfg_min_voc_v),Raw_Data_GF!E29,"")</f>
        <v/>
      </c>
      <c r="G29" s="18">
        <f>IF(AND(ABS(Raw_Data_GF!L29)&lt;cfg_i_threshold_a,Raw_Data_GF!F29&gt;cfg_min_voc_v),Raw_Data_GF!F29,"")</f>
        <v/>
      </c>
      <c r="H29" s="18">
        <f>IF(AND(ABS(Raw_Data_GF!M29)&lt;cfg_i_threshold_a,Raw_Data_GF!G29&gt;cfg_min_voc_v),Raw_Data_GF!G29,"")</f>
        <v/>
      </c>
      <c r="I29" s="18">
        <f>IF(AND(ABS(Raw_Data_GF!N29)&lt;cfg_i_threshold_a,Raw_Data_GF!H29&gt;cfg_min_voc_v),Raw_Data_GF!H29,"")</f>
        <v/>
      </c>
      <c r="J29" s="18">
        <f>IF(AND(ABS(Raw_Data_GF!O29)&lt;cfg_i_threshold_a,Raw_Data_GF!I29&gt;cfg_min_voc_v),Raw_Data_GF!I29,"")</f>
        <v/>
      </c>
      <c r="K29" s="18">
        <f>IF(AND(ABS(Raw_Data_GF!P29)&lt;cfg_i_threshold_a,Raw_Data_GF!J29&gt;cfg_min_voc_v),Raw_Data_GF!J29,"")</f>
        <v/>
      </c>
      <c r="L29" s="17">
        <f>MEDIAN(Raw_Data_GF!L29,Raw_Data_GF!M29,Raw_Data_GF!N29,Raw_Data_GF!O29,Raw_Data_GF!P29)</f>
        <v/>
      </c>
      <c r="M29" s="17">
        <f>MEDIAN(Raw_Data_GF!K29,Raw_Data_GF!M29,Raw_Data_GF!N29,Raw_Data_GF!O29,Raw_Data_GF!P29)</f>
        <v/>
      </c>
      <c r="N29" s="17">
        <f>MEDIAN(Raw_Data_GF!K29,Raw_Data_GF!L29,Raw_Data_GF!N29,Raw_Data_GF!O29,Raw_Data_GF!P29)</f>
        <v/>
      </c>
      <c r="O29" s="17">
        <f>MEDIAN(Raw_Data_GF!K29,Raw_Data_GF!L29,Raw_Data_GF!M29,Raw_Data_GF!O29,Raw_Data_GF!P29)</f>
        <v/>
      </c>
      <c r="P29" s="17">
        <f>MEDIAN(Raw_Data_GF!K29,Raw_Data_GF!L29,Raw_Data_GF!M29,Raw_Data_GF!N29,Raw_Data_GF!P29)</f>
        <v/>
      </c>
      <c r="Q29" s="17">
        <f>MEDIAN(Raw_Data_GF!K29,Raw_Data_GF!L29,Raw_Data_GF!M29,Raw_Data_GF!N29,Raw_Data_GF!O29)</f>
        <v/>
      </c>
      <c r="R29" s="18">
        <f>ABS(E29)</f>
        <v/>
      </c>
    </row>
    <row r="30">
      <c r="A30" s="5">
        <f>Raw_Data_GF!B30</f>
        <v/>
      </c>
      <c r="B30" s="16">
        <f>Raw_Data_GF!A30</f>
        <v/>
      </c>
      <c r="C30" s="27">
        <f>Raw_Data_GF!C30</f>
        <v/>
      </c>
      <c r="D30" s="5">
        <f>IF(AND(C30&gt;cfg_gf_poa_threshold_wm2,C30&gt;cfg_gf_poa_floor_wm2),1,0)</f>
        <v/>
      </c>
      <c r="E30" s="18">
        <f>Raw_Data_GF!D30</f>
        <v/>
      </c>
      <c r="F30" s="18">
        <f>IF(AND(ABS(Raw_Data_GF!K30)&lt;cfg_i_threshold_a,Raw_Data_GF!E30&gt;cfg_min_voc_v),Raw_Data_GF!E30,"")</f>
        <v/>
      </c>
      <c r="G30" s="18">
        <f>IF(AND(ABS(Raw_Data_GF!L30)&lt;cfg_i_threshold_a,Raw_Data_GF!F30&gt;cfg_min_voc_v),Raw_Data_GF!F30,"")</f>
        <v/>
      </c>
      <c r="H30" s="18">
        <f>IF(AND(ABS(Raw_Data_GF!M30)&lt;cfg_i_threshold_a,Raw_Data_GF!G30&gt;cfg_min_voc_v),Raw_Data_GF!G30,"")</f>
        <v/>
      </c>
      <c r="I30" s="18">
        <f>IF(AND(ABS(Raw_Data_GF!N30)&lt;cfg_i_threshold_a,Raw_Data_GF!H30&gt;cfg_min_voc_v),Raw_Data_GF!H30,"")</f>
        <v/>
      </c>
      <c r="J30" s="18">
        <f>IF(AND(ABS(Raw_Data_GF!O30)&lt;cfg_i_threshold_a,Raw_Data_GF!I30&gt;cfg_min_voc_v),Raw_Data_GF!I30,"")</f>
        <v/>
      </c>
      <c r="K30" s="18">
        <f>IF(AND(ABS(Raw_Data_GF!P30)&lt;cfg_i_threshold_a,Raw_Data_GF!J30&gt;cfg_min_voc_v),Raw_Data_GF!J30,"")</f>
        <v/>
      </c>
      <c r="L30" s="17">
        <f>MEDIAN(Raw_Data_GF!L30,Raw_Data_GF!M30,Raw_Data_GF!N30,Raw_Data_GF!O30,Raw_Data_GF!P30)</f>
        <v/>
      </c>
      <c r="M30" s="17">
        <f>MEDIAN(Raw_Data_GF!K30,Raw_Data_GF!M30,Raw_Data_GF!N30,Raw_Data_GF!O30,Raw_Data_GF!P30)</f>
        <v/>
      </c>
      <c r="N30" s="17">
        <f>MEDIAN(Raw_Data_GF!K30,Raw_Data_GF!L30,Raw_Data_GF!N30,Raw_Data_GF!O30,Raw_Data_GF!P30)</f>
        <v/>
      </c>
      <c r="O30" s="17">
        <f>MEDIAN(Raw_Data_GF!K30,Raw_Data_GF!L30,Raw_Data_GF!M30,Raw_Data_GF!O30,Raw_Data_GF!P30)</f>
        <v/>
      </c>
      <c r="P30" s="17">
        <f>MEDIAN(Raw_Data_GF!K30,Raw_Data_GF!L30,Raw_Data_GF!M30,Raw_Data_GF!N30,Raw_Data_GF!P30)</f>
        <v/>
      </c>
      <c r="Q30" s="17">
        <f>MEDIAN(Raw_Data_GF!K30,Raw_Data_GF!L30,Raw_Data_GF!M30,Raw_Data_GF!N30,Raw_Data_GF!O30)</f>
        <v/>
      </c>
      <c r="R30" s="18">
        <f>ABS(E30)</f>
        <v/>
      </c>
    </row>
    <row r="31">
      <c r="A31" s="5">
        <f>Raw_Data_GF!B31</f>
        <v/>
      </c>
      <c r="B31" s="16">
        <f>Raw_Data_GF!A31</f>
        <v/>
      </c>
      <c r="C31" s="27">
        <f>Raw_Data_GF!C31</f>
        <v/>
      </c>
      <c r="D31" s="5">
        <f>IF(AND(C31&gt;cfg_gf_poa_threshold_wm2,C31&gt;cfg_gf_poa_floor_wm2),1,0)</f>
        <v/>
      </c>
      <c r="E31" s="18">
        <f>Raw_Data_GF!D31</f>
        <v/>
      </c>
      <c r="F31" s="18">
        <f>IF(AND(ABS(Raw_Data_GF!K31)&lt;cfg_i_threshold_a,Raw_Data_GF!E31&gt;cfg_min_voc_v),Raw_Data_GF!E31,"")</f>
        <v/>
      </c>
      <c r="G31" s="18">
        <f>IF(AND(ABS(Raw_Data_GF!L31)&lt;cfg_i_threshold_a,Raw_Data_GF!F31&gt;cfg_min_voc_v),Raw_Data_GF!F31,"")</f>
        <v/>
      </c>
      <c r="H31" s="18">
        <f>IF(AND(ABS(Raw_Data_GF!M31)&lt;cfg_i_threshold_a,Raw_Data_GF!G31&gt;cfg_min_voc_v),Raw_Data_GF!G31,"")</f>
        <v/>
      </c>
      <c r="I31" s="18">
        <f>IF(AND(ABS(Raw_Data_GF!N31)&lt;cfg_i_threshold_a,Raw_Data_GF!H31&gt;cfg_min_voc_v),Raw_Data_GF!H31,"")</f>
        <v/>
      </c>
      <c r="J31" s="18">
        <f>IF(AND(ABS(Raw_Data_GF!O31)&lt;cfg_i_threshold_a,Raw_Data_GF!I31&gt;cfg_min_voc_v),Raw_Data_GF!I31,"")</f>
        <v/>
      </c>
      <c r="K31" s="18">
        <f>IF(AND(ABS(Raw_Data_GF!P31)&lt;cfg_i_threshold_a,Raw_Data_GF!J31&gt;cfg_min_voc_v),Raw_Data_GF!J31,"")</f>
        <v/>
      </c>
      <c r="L31" s="17">
        <f>MEDIAN(Raw_Data_GF!L31,Raw_Data_GF!M31,Raw_Data_GF!N31,Raw_Data_GF!O31,Raw_Data_GF!P31)</f>
        <v/>
      </c>
      <c r="M31" s="17">
        <f>MEDIAN(Raw_Data_GF!K31,Raw_Data_GF!M31,Raw_Data_GF!N31,Raw_Data_GF!O31,Raw_Data_GF!P31)</f>
        <v/>
      </c>
      <c r="N31" s="17">
        <f>MEDIAN(Raw_Data_GF!K31,Raw_Data_GF!L31,Raw_Data_GF!N31,Raw_Data_GF!O31,Raw_Data_GF!P31)</f>
        <v/>
      </c>
      <c r="O31" s="17">
        <f>MEDIAN(Raw_Data_GF!K31,Raw_Data_GF!L31,Raw_Data_GF!M31,Raw_Data_GF!O31,Raw_Data_GF!P31)</f>
        <v/>
      </c>
      <c r="P31" s="17">
        <f>MEDIAN(Raw_Data_GF!K31,Raw_Data_GF!L31,Raw_Data_GF!M31,Raw_Data_GF!N31,Raw_Data_GF!P31)</f>
        <v/>
      </c>
      <c r="Q31" s="17">
        <f>MEDIAN(Raw_Data_GF!K31,Raw_Data_GF!L31,Raw_Data_GF!M31,Raw_Data_GF!N31,Raw_Data_GF!O31)</f>
        <v/>
      </c>
      <c r="R31" s="18">
        <f>ABS(E31)</f>
        <v/>
      </c>
    </row>
    <row r="32">
      <c r="A32" s="5">
        <f>Raw_Data_GF!B32</f>
        <v/>
      </c>
      <c r="B32" s="16">
        <f>Raw_Data_GF!A32</f>
        <v/>
      </c>
      <c r="C32" s="27">
        <f>Raw_Data_GF!C32</f>
        <v/>
      </c>
      <c r="D32" s="5">
        <f>IF(AND(C32&gt;cfg_gf_poa_threshold_wm2,C32&gt;cfg_gf_poa_floor_wm2),1,0)</f>
        <v/>
      </c>
      <c r="E32" s="18">
        <f>Raw_Data_GF!D32</f>
        <v/>
      </c>
      <c r="F32" s="18">
        <f>IF(AND(ABS(Raw_Data_GF!K32)&lt;cfg_i_threshold_a,Raw_Data_GF!E32&gt;cfg_min_voc_v),Raw_Data_GF!E32,"")</f>
        <v/>
      </c>
      <c r="G32" s="18">
        <f>IF(AND(ABS(Raw_Data_GF!L32)&lt;cfg_i_threshold_a,Raw_Data_GF!F32&gt;cfg_min_voc_v),Raw_Data_GF!F32,"")</f>
        <v/>
      </c>
      <c r="H32" s="18">
        <f>IF(AND(ABS(Raw_Data_GF!M32)&lt;cfg_i_threshold_a,Raw_Data_GF!G32&gt;cfg_min_voc_v),Raw_Data_GF!G32,"")</f>
        <v/>
      </c>
      <c r="I32" s="18">
        <f>IF(AND(ABS(Raw_Data_GF!N32)&lt;cfg_i_threshold_a,Raw_Data_GF!H32&gt;cfg_min_voc_v),Raw_Data_GF!H32,"")</f>
        <v/>
      </c>
      <c r="J32" s="18">
        <f>IF(AND(ABS(Raw_Data_GF!O32)&lt;cfg_i_threshold_a,Raw_Data_GF!I32&gt;cfg_min_voc_v),Raw_Data_GF!I32,"")</f>
        <v/>
      </c>
      <c r="K32" s="18">
        <f>IF(AND(ABS(Raw_Data_GF!P32)&lt;cfg_i_threshold_a,Raw_Data_GF!J32&gt;cfg_min_voc_v),Raw_Data_GF!J32,"")</f>
        <v/>
      </c>
      <c r="L32" s="17">
        <f>MEDIAN(Raw_Data_GF!L32,Raw_Data_GF!M32,Raw_Data_GF!N32,Raw_Data_GF!O32,Raw_Data_GF!P32)</f>
        <v/>
      </c>
      <c r="M32" s="17">
        <f>MEDIAN(Raw_Data_GF!K32,Raw_Data_GF!M32,Raw_Data_GF!N32,Raw_Data_GF!O32,Raw_Data_GF!P32)</f>
        <v/>
      </c>
      <c r="N32" s="17">
        <f>MEDIAN(Raw_Data_GF!K32,Raw_Data_GF!L32,Raw_Data_GF!N32,Raw_Data_GF!O32,Raw_Data_GF!P32)</f>
        <v/>
      </c>
      <c r="O32" s="17">
        <f>MEDIAN(Raw_Data_GF!K32,Raw_Data_GF!L32,Raw_Data_GF!M32,Raw_Data_GF!O32,Raw_Data_GF!P32)</f>
        <v/>
      </c>
      <c r="P32" s="17">
        <f>MEDIAN(Raw_Data_GF!K32,Raw_Data_GF!L32,Raw_Data_GF!M32,Raw_Data_GF!N32,Raw_Data_GF!P32)</f>
        <v/>
      </c>
      <c r="Q32" s="17">
        <f>MEDIAN(Raw_Data_GF!K32,Raw_Data_GF!L32,Raw_Data_GF!M32,Raw_Data_GF!N32,Raw_Data_GF!O32)</f>
        <v/>
      </c>
      <c r="R32" s="18">
        <f>ABS(E32)</f>
        <v/>
      </c>
    </row>
    <row r="33">
      <c r="A33" s="5">
        <f>Raw_Data_GF!B33</f>
        <v/>
      </c>
      <c r="B33" s="16">
        <f>Raw_Data_GF!A33</f>
        <v/>
      </c>
      <c r="C33" s="27">
        <f>Raw_Data_GF!C33</f>
        <v/>
      </c>
      <c r="D33" s="5">
        <f>IF(AND(C33&gt;cfg_gf_poa_threshold_wm2,C33&gt;cfg_gf_poa_floor_wm2),1,0)</f>
        <v/>
      </c>
      <c r="E33" s="18">
        <f>Raw_Data_GF!D33</f>
        <v/>
      </c>
      <c r="F33" s="18">
        <f>IF(AND(ABS(Raw_Data_GF!K33)&lt;cfg_i_threshold_a,Raw_Data_GF!E33&gt;cfg_min_voc_v),Raw_Data_GF!E33,"")</f>
        <v/>
      </c>
      <c r="G33" s="18">
        <f>IF(AND(ABS(Raw_Data_GF!L33)&lt;cfg_i_threshold_a,Raw_Data_GF!F33&gt;cfg_min_voc_v),Raw_Data_GF!F33,"")</f>
        <v/>
      </c>
      <c r="H33" s="18">
        <f>IF(AND(ABS(Raw_Data_GF!M33)&lt;cfg_i_threshold_a,Raw_Data_GF!G33&gt;cfg_min_voc_v),Raw_Data_GF!G33,"")</f>
        <v/>
      </c>
      <c r="I33" s="18">
        <f>IF(AND(ABS(Raw_Data_GF!N33)&lt;cfg_i_threshold_a,Raw_Data_GF!H33&gt;cfg_min_voc_v),Raw_Data_GF!H33,"")</f>
        <v/>
      </c>
      <c r="J33" s="18">
        <f>IF(AND(ABS(Raw_Data_GF!O33)&lt;cfg_i_threshold_a,Raw_Data_GF!I33&gt;cfg_min_voc_v),Raw_Data_GF!I33,"")</f>
        <v/>
      </c>
      <c r="K33" s="18">
        <f>IF(AND(ABS(Raw_Data_GF!P33)&lt;cfg_i_threshold_a,Raw_Data_GF!J33&gt;cfg_min_voc_v),Raw_Data_GF!J33,"")</f>
        <v/>
      </c>
      <c r="L33" s="17">
        <f>MEDIAN(Raw_Data_GF!L33,Raw_Data_GF!M33,Raw_Data_GF!N33,Raw_Data_GF!O33,Raw_Data_GF!P33)</f>
        <v/>
      </c>
      <c r="M33" s="17">
        <f>MEDIAN(Raw_Data_GF!K33,Raw_Data_GF!M33,Raw_Data_GF!N33,Raw_Data_GF!O33,Raw_Data_GF!P33)</f>
        <v/>
      </c>
      <c r="N33" s="17">
        <f>MEDIAN(Raw_Data_GF!K33,Raw_Data_GF!L33,Raw_Data_GF!N33,Raw_Data_GF!O33,Raw_Data_GF!P33)</f>
        <v/>
      </c>
      <c r="O33" s="17">
        <f>MEDIAN(Raw_Data_GF!K33,Raw_Data_GF!L33,Raw_Data_GF!M33,Raw_Data_GF!O33,Raw_Data_GF!P33)</f>
        <v/>
      </c>
      <c r="P33" s="17">
        <f>MEDIAN(Raw_Data_GF!K33,Raw_Data_GF!L33,Raw_Data_GF!M33,Raw_Data_GF!N33,Raw_Data_GF!P33)</f>
        <v/>
      </c>
      <c r="Q33" s="17">
        <f>MEDIAN(Raw_Data_GF!K33,Raw_Data_GF!L33,Raw_Data_GF!M33,Raw_Data_GF!N33,Raw_Data_GF!O33)</f>
        <v/>
      </c>
      <c r="R33" s="18">
        <f>ABS(E33)</f>
        <v/>
      </c>
    </row>
    <row r="34">
      <c r="A34" s="5">
        <f>Raw_Data_GF!B34</f>
        <v/>
      </c>
      <c r="B34" s="16">
        <f>Raw_Data_GF!A34</f>
        <v/>
      </c>
      <c r="C34" s="27">
        <f>Raw_Data_GF!C34</f>
        <v/>
      </c>
      <c r="D34" s="5">
        <f>IF(AND(C34&gt;cfg_gf_poa_threshold_wm2,C34&gt;cfg_gf_poa_floor_wm2),1,0)</f>
        <v/>
      </c>
      <c r="E34" s="18">
        <f>Raw_Data_GF!D34</f>
        <v/>
      </c>
      <c r="F34" s="18">
        <f>IF(AND(ABS(Raw_Data_GF!K34)&lt;cfg_i_threshold_a,Raw_Data_GF!E34&gt;cfg_min_voc_v),Raw_Data_GF!E34,"")</f>
        <v/>
      </c>
      <c r="G34" s="18">
        <f>IF(AND(ABS(Raw_Data_GF!L34)&lt;cfg_i_threshold_a,Raw_Data_GF!F34&gt;cfg_min_voc_v),Raw_Data_GF!F34,"")</f>
        <v/>
      </c>
      <c r="H34" s="18">
        <f>IF(AND(ABS(Raw_Data_GF!M34)&lt;cfg_i_threshold_a,Raw_Data_GF!G34&gt;cfg_min_voc_v),Raw_Data_GF!G34,"")</f>
        <v/>
      </c>
      <c r="I34" s="18">
        <f>IF(AND(ABS(Raw_Data_GF!N34)&lt;cfg_i_threshold_a,Raw_Data_GF!H34&gt;cfg_min_voc_v),Raw_Data_GF!H34,"")</f>
        <v/>
      </c>
      <c r="J34" s="18">
        <f>IF(AND(ABS(Raw_Data_GF!O34)&lt;cfg_i_threshold_a,Raw_Data_GF!I34&gt;cfg_min_voc_v),Raw_Data_GF!I34,"")</f>
        <v/>
      </c>
      <c r="K34" s="18">
        <f>IF(AND(ABS(Raw_Data_GF!P34)&lt;cfg_i_threshold_a,Raw_Data_GF!J34&gt;cfg_min_voc_v),Raw_Data_GF!J34,"")</f>
        <v/>
      </c>
      <c r="L34" s="17">
        <f>MEDIAN(Raw_Data_GF!L34,Raw_Data_GF!M34,Raw_Data_GF!N34,Raw_Data_GF!O34,Raw_Data_GF!P34)</f>
        <v/>
      </c>
      <c r="M34" s="17">
        <f>MEDIAN(Raw_Data_GF!K34,Raw_Data_GF!M34,Raw_Data_GF!N34,Raw_Data_GF!O34,Raw_Data_GF!P34)</f>
        <v/>
      </c>
      <c r="N34" s="17">
        <f>MEDIAN(Raw_Data_GF!K34,Raw_Data_GF!L34,Raw_Data_GF!N34,Raw_Data_GF!O34,Raw_Data_GF!P34)</f>
        <v/>
      </c>
      <c r="O34" s="17">
        <f>MEDIAN(Raw_Data_GF!K34,Raw_Data_GF!L34,Raw_Data_GF!M34,Raw_Data_GF!O34,Raw_Data_GF!P34)</f>
        <v/>
      </c>
      <c r="P34" s="17">
        <f>MEDIAN(Raw_Data_GF!K34,Raw_Data_GF!L34,Raw_Data_GF!M34,Raw_Data_GF!N34,Raw_Data_GF!P34)</f>
        <v/>
      </c>
      <c r="Q34" s="17">
        <f>MEDIAN(Raw_Data_GF!K34,Raw_Data_GF!L34,Raw_Data_GF!M34,Raw_Data_GF!N34,Raw_Data_GF!O34)</f>
        <v/>
      </c>
      <c r="R34" s="18">
        <f>ABS(E34)</f>
        <v/>
      </c>
    </row>
    <row r="35">
      <c r="A35" s="5">
        <f>Raw_Data_GF!B35</f>
        <v/>
      </c>
      <c r="B35" s="16">
        <f>Raw_Data_GF!A35</f>
        <v/>
      </c>
      <c r="C35" s="27">
        <f>Raw_Data_GF!C35</f>
        <v/>
      </c>
      <c r="D35" s="5">
        <f>IF(AND(C35&gt;cfg_gf_poa_threshold_wm2,C35&gt;cfg_gf_poa_floor_wm2),1,0)</f>
        <v/>
      </c>
      <c r="E35" s="18">
        <f>Raw_Data_GF!D35</f>
        <v/>
      </c>
      <c r="F35" s="18">
        <f>IF(AND(ABS(Raw_Data_GF!K35)&lt;cfg_i_threshold_a,Raw_Data_GF!E35&gt;cfg_min_voc_v),Raw_Data_GF!E35,"")</f>
        <v/>
      </c>
      <c r="G35" s="18">
        <f>IF(AND(ABS(Raw_Data_GF!L35)&lt;cfg_i_threshold_a,Raw_Data_GF!F35&gt;cfg_min_voc_v),Raw_Data_GF!F35,"")</f>
        <v/>
      </c>
      <c r="H35" s="18">
        <f>IF(AND(ABS(Raw_Data_GF!M35)&lt;cfg_i_threshold_a,Raw_Data_GF!G35&gt;cfg_min_voc_v),Raw_Data_GF!G35,"")</f>
        <v/>
      </c>
      <c r="I35" s="18">
        <f>IF(AND(ABS(Raw_Data_GF!N35)&lt;cfg_i_threshold_a,Raw_Data_GF!H35&gt;cfg_min_voc_v),Raw_Data_GF!H35,"")</f>
        <v/>
      </c>
      <c r="J35" s="18">
        <f>IF(AND(ABS(Raw_Data_GF!O35)&lt;cfg_i_threshold_a,Raw_Data_GF!I35&gt;cfg_min_voc_v),Raw_Data_GF!I35,"")</f>
        <v/>
      </c>
      <c r="K35" s="18">
        <f>IF(AND(ABS(Raw_Data_GF!P35)&lt;cfg_i_threshold_a,Raw_Data_GF!J35&gt;cfg_min_voc_v),Raw_Data_GF!J35,"")</f>
        <v/>
      </c>
      <c r="L35" s="17">
        <f>MEDIAN(Raw_Data_GF!L35,Raw_Data_GF!M35,Raw_Data_GF!N35,Raw_Data_GF!O35,Raw_Data_GF!P35)</f>
        <v/>
      </c>
      <c r="M35" s="17">
        <f>MEDIAN(Raw_Data_GF!K35,Raw_Data_GF!M35,Raw_Data_GF!N35,Raw_Data_GF!O35,Raw_Data_GF!P35)</f>
        <v/>
      </c>
      <c r="N35" s="17">
        <f>MEDIAN(Raw_Data_GF!K35,Raw_Data_GF!L35,Raw_Data_GF!N35,Raw_Data_GF!O35,Raw_Data_GF!P35)</f>
        <v/>
      </c>
      <c r="O35" s="17">
        <f>MEDIAN(Raw_Data_GF!K35,Raw_Data_GF!L35,Raw_Data_GF!M35,Raw_Data_GF!O35,Raw_Data_GF!P35)</f>
        <v/>
      </c>
      <c r="P35" s="17">
        <f>MEDIAN(Raw_Data_GF!K35,Raw_Data_GF!L35,Raw_Data_GF!M35,Raw_Data_GF!N35,Raw_Data_GF!P35)</f>
        <v/>
      </c>
      <c r="Q35" s="17">
        <f>MEDIAN(Raw_Data_GF!K35,Raw_Data_GF!L35,Raw_Data_GF!M35,Raw_Data_GF!N35,Raw_Data_GF!O35)</f>
        <v/>
      </c>
      <c r="R35" s="18">
        <f>ABS(E35)</f>
        <v/>
      </c>
    </row>
    <row r="36">
      <c r="A36" s="5">
        <f>Raw_Data_GF!B36</f>
        <v/>
      </c>
      <c r="B36" s="16">
        <f>Raw_Data_GF!A36</f>
        <v/>
      </c>
      <c r="C36" s="27">
        <f>Raw_Data_GF!C36</f>
        <v/>
      </c>
      <c r="D36" s="5">
        <f>IF(AND(C36&gt;cfg_gf_poa_threshold_wm2,C36&gt;cfg_gf_poa_floor_wm2),1,0)</f>
        <v/>
      </c>
      <c r="E36" s="18">
        <f>Raw_Data_GF!D36</f>
        <v/>
      </c>
      <c r="F36" s="18">
        <f>IF(AND(ABS(Raw_Data_GF!K36)&lt;cfg_i_threshold_a,Raw_Data_GF!E36&gt;cfg_min_voc_v),Raw_Data_GF!E36,"")</f>
        <v/>
      </c>
      <c r="G36" s="18">
        <f>IF(AND(ABS(Raw_Data_GF!L36)&lt;cfg_i_threshold_a,Raw_Data_GF!F36&gt;cfg_min_voc_v),Raw_Data_GF!F36,"")</f>
        <v/>
      </c>
      <c r="H36" s="18">
        <f>IF(AND(ABS(Raw_Data_GF!M36)&lt;cfg_i_threshold_a,Raw_Data_GF!G36&gt;cfg_min_voc_v),Raw_Data_GF!G36,"")</f>
        <v/>
      </c>
      <c r="I36" s="18">
        <f>IF(AND(ABS(Raw_Data_GF!N36)&lt;cfg_i_threshold_a,Raw_Data_GF!H36&gt;cfg_min_voc_v),Raw_Data_GF!H36,"")</f>
        <v/>
      </c>
      <c r="J36" s="18">
        <f>IF(AND(ABS(Raw_Data_GF!O36)&lt;cfg_i_threshold_a,Raw_Data_GF!I36&gt;cfg_min_voc_v),Raw_Data_GF!I36,"")</f>
        <v/>
      </c>
      <c r="K36" s="18">
        <f>IF(AND(ABS(Raw_Data_GF!P36)&lt;cfg_i_threshold_a,Raw_Data_GF!J36&gt;cfg_min_voc_v),Raw_Data_GF!J36,"")</f>
        <v/>
      </c>
      <c r="L36" s="17">
        <f>MEDIAN(Raw_Data_GF!L36,Raw_Data_GF!M36,Raw_Data_GF!N36,Raw_Data_GF!O36,Raw_Data_GF!P36)</f>
        <v/>
      </c>
      <c r="M36" s="17">
        <f>MEDIAN(Raw_Data_GF!K36,Raw_Data_GF!M36,Raw_Data_GF!N36,Raw_Data_GF!O36,Raw_Data_GF!P36)</f>
        <v/>
      </c>
      <c r="N36" s="17">
        <f>MEDIAN(Raw_Data_GF!K36,Raw_Data_GF!L36,Raw_Data_GF!N36,Raw_Data_GF!O36,Raw_Data_GF!P36)</f>
        <v/>
      </c>
      <c r="O36" s="17">
        <f>MEDIAN(Raw_Data_GF!K36,Raw_Data_GF!L36,Raw_Data_GF!M36,Raw_Data_GF!O36,Raw_Data_GF!P36)</f>
        <v/>
      </c>
      <c r="P36" s="17">
        <f>MEDIAN(Raw_Data_GF!K36,Raw_Data_GF!L36,Raw_Data_GF!M36,Raw_Data_GF!N36,Raw_Data_GF!P36)</f>
        <v/>
      </c>
      <c r="Q36" s="17">
        <f>MEDIAN(Raw_Data_GF!K36,Raw_Data_GF!L36,Raw_Data_GF!M36,Raw_Data_GF!N36,Raw_Data_GF!O36)</f>
        <v/>
      </c>
      <c r="R36" s="18">
        <f>ABS(E36)</f>
        <v/>
      </c>
    </row>
    <row r="37">
      <c r="A37" s="5">
        <f>Raw_Data_GF!B37</f>
        <v/>
      </c>
      <c r="B37" s="16">
        <f>Raw_Data_GF!A37</f>
        <v/>
      </c>
      <c r="C37" s="27">
        <f>Raw_Data_GF!C37</f>
        <v/>
      </c>
      <c r="D37" s="5">
        <f>IF(AND(C37&gt;cfg_gf_poa_threshold_wm2,C37&gt;cfg_gf_poa_floor_wm2),1,0)</f>
        <v/>
      </c>
      <c r="E37" s="18">
        <f>Raw_Data_GF!D37</f>
        <v/>
      </c>
      <c r="F37" s="18">
        <f>IF(AND(ABS(Raw_Data_GF!K37)&lt;cfg_i_threshold_a,Raw_Data_GF!E37&gt;cfg_min_voc_v),Raw_Data_GF!E37,"")</f>
        <v/>
      </c>
      <c r="G37" s="18">
        <f>IF(AND(ABS(Raw_Data_GF!L37)&lt;cfg_i_threshold_a,Raw_Data_GF!F37&gt;cfg_min_voc_v),Raw_Data_GF!F37,"")</f>
        <v/>
      </c>
      <c r="H37" s="18">
        <f>IF(AND(ABS(Raw_Data_GF!M37)&lt;cfg_i_threshold_a,Raw_Data_GF!G37&gt;cfg_min_voc_v),Raw_Data_GF!G37,"")</f>
        <v/>
      </c>
      <c r="I37" s="18">
        <f>IF(AND(ABS(Raw_Data_GF!N37)&lt;cfg_i_threshold_a,Raw_Data_GF!H37&gt;cfg_min_voc_v),Raw_Data_GF!H37,"")</f>
        <v/>
      </c>
      <c r="J37" s="18">
        <f>IF(AND(ABS(Raw_Data_GF!O37)&lt;cfg_i_threshold_a,Raw_Data_GF!I37&gt;cfg_min_voc_v),Raw_Data_GF!I37,"")</f>
        <v/>
      </c>
      <c r="K37" s="18">
        <f>IF(AND(ABS(Raw_Data_GF!P37)&lt;cfg_i_threshold_a,Raw_Data_GF!J37&gt;cfg_min_voc_v),Raw_Data_GF!J37,"")</f>
        <v/>
      </c>
      <c r="L37" s="17">
        <f>MEDIAN(Raw_Data_GF!L37,Raw_Data_GF!M37,Raw_Data_GF!N37,Raw_Data_GF!O37,Raw_Data_GF!P37)</f>
        <v/>
      </c>
      <c r="M37" s="17">
        <f>MEDIAN(Raw_Data_GF!K37,Raw_Data_GF!M37,Raw_Data_GF!N37,Raw_Data_GF!O37,Raw_Data_GF!P37)</f>
        <v/>
      </c>
      <c r="N37" s="17">
        <f>MEDIAN(Raw_Data_GF!K37,Raw_Data_GF!L37,Raw_Data_GF!N37,Raw_Data_GF!O37,Raw_Data_GF!P37)</f>
        <v/>
      </c>
      <c r="O37" s="17">
        <f>MEDIAN(Raw_Data_GF!K37,Raw_Data_GF!L37,Raw_Data_GF!M37,Raw_Data_GF!O37,Raw_Data_GF!P37)</f>
        <v/>
      </c>
      <c r="P37" s="17">
        <f>MEDIAN(Raw_Data_GF!K37,Raw_Data_GF!L37,Raw_Data_GF!M37,Raw_Data_GF!N37,Raw_Data_GF!P37)</f>
        <v/>
      </c>
      <c r="Q37" s="17">
        <f>MEDIAN(Raw_Data_GF!K37,Raw_Data_GF!L37,Raw_Data_GF!M37,Raw_Data_GF!N37,Raw_Data_GF!O37)</f>
        <v/>
      </c>
      <c r="R37" s="18">
        <f>ABS(E37)</f>
        <v/>
      </c>
    </row>
    <row r="38">
      <c r="A38" s="5">
        <f>Raw_Data_GF!B38</f>
        <v/>
      </c>
      <c r="B38" s="16">
        <f>Raw_Data_GF!A38</f>
        <v/>
      </c>
      <c r="C38" s="27">
        <f>Raw_Data_GF!C38</f>
        <v/>
      </c>
      <c r="D38" s="5">
        <f>IF(AND(C38&gt;cfg_gf_poa_threshold_wm2,C38&gt;cfg_gf_poa_floor_wm2),1,0)</f>
        <v/>
      </c>
      <c r="E38" s="18">
        <f>Raw_Data_GF!D38</f>
        <v/>
      </c>
      <c r="F38" s="18">
        <f>IF(AND(ABS(Raw_Data_GF!K38)&lt;cfg_i_threshold_a,Raw_Data_GF!E38&gt;cfg_min_voc_v),Raw_Data_GF!E38,"")</f>
        <v/>
      </c>
      <c r="G38" s="18">
        <f>IF(AND(ABS(Raw_Data_GF!L38)&lt;cfg_i_threshold_a,Raw_Data_GF!F38&gt;cfg_min_voc_v),Raw_Data_GF!F38,"")</f>
        <v/>
      </c>
      <c r="H38" s="18">
        <f>IF(AND(ABS(Raw_Data_GF!M38)&lt;cfg_i_threshold_a,Raw_Data_GF!G38&gt;cfg_min_voc_v),Raw_Data_GF!G38,"")</f>
        <v/>
      </c>
      <c r="I38" s="18">
        <f>IF(AND(ABS(Raw_Data_GF!N38)&lt;cfg_i_threshold_a,Raw_Data_GF!H38&gt;cfg_min_voc_v),Raw_Data_GF!H38,"")</f>
        <v/>
      </c>
      <c r="J38" s="18">
        <f>IF(AND(ABS(Raw_Data_GF!O38)&lt;cfg_i_threshold_a,Raw_Data_GF!I38&gt;cfg_min_voc_v),Raw_Data_GF!I38,"")</f>
        <v/>
      </c>
      <c r="K38" s="18">
        <f>IF(AND(ABS(Raw_Data_GF!P38)&lt;cfg_i_threshold_a,Raw_Data_GF!J38&gt;cfg_min_voc_v),Raw_Data_GF!J38,"")</f>
        <v/>
      </c>
      <c r="L38" s="17">
        <f>MEDIAN(Raw_Data_GF!L38,Raw_Data_GF!M38,Raw_Data_GF!N38,Raw_Data_GF!O38,Raw_Data_GF!P38)</f>
        <v/>
      </c>
      <c r="M38" s="17">
        <f>MEDIAN(Raw_Data_GF!K38,Raw_Data_GF!M38,Raw_Data_GF!N38,Raw_Data_GF!O38,Raw_Data_GF!P38)</f>
        <v/>
      </c>
      <c r="N38" s="17">
        <f>MEDIAN(Raw_Data_GF!K38,Raw_Data_GF!L38,Raw_Data_GF!N38,Raw_Data_GF!O38,Raw_Data_GF!P38)</f>
        <v/>
      </c>
      <c r="O38" s="17">
        <f>MEDIAN(Raw_Data_GF!K38,Raw_Data_GF!L38,Raw_Data_GF!M38,Raw_Data_GF!O38,Raw_Data_GF!P38)</f>
        <v/>
      </c>
      <c r="P38" s="17">
        <f>MEDIAN(Raw_Data_GF!K38,Raw_Data_GF!L38,Raw_Data_GF!M38,Raw_Data_GF!N38,Raw_Data_GF!P38)</f>
        <v/>
      </c>
      <c r="Q38" s="17">
        <f>MEDIAN(Raw_Data_GF!K38,Raw_Data_GF!L38,Raw_Data_GF!M38,Raw_Data_GF!N38,Raw_Data_GF!O38)</f>
        <v/>
      </c>
      <c r="R38" s="18">
        <f>ABS(E38)</f>
        <v/>
      </c>
    </row>
    <row r="39">
      <c r="A39" s="5">
        <f>Raw_Data_GF!B39</f>
        <v/>
      </c>
      <c r="B39" s="16">
        <f>Raw_Data_GF!A39</f>
        <v/>
      </c>
      <c r="C39" s="27">
        <f>Raw_Data_GF!C39</f>
        <v/>
      </c>
      <c r="D39" s="5">
        <f>IF(AND(C39&gt;cfg_gf_poa_threshold_wm2,C39&gt;cfg_gf_poa_floor_wm2),1,0)</f>
        <v/>
      </c>
      <c r="E39" s="18">
        <f>Raw_Data_GF!D39</f>
        <v/>
      </c>
      <c r="F39" s="18">
        <f>IF(AND(ABS(Raw_Data_GF!K39)&lt;cfg_i_threshold_a,Raw_Data_GF!E39&gt;cfg_min_voc_v),Raw_Data_GF!E39,"")</f>
        <v/>
      </c>
      <c r="G39" s="18">
        <f>IF(AND(ABS(Raw_Data_GF!L39)&lt;cfg_i_threshold_a,Raw_Data_GF!F39&gt;cfg_min_voc_v),Raw_Data_GF!F39,"")</f>
        <v/>
      </c>
      <c r="H39" s="18">
        <f>IF(AND(ABS(Raw_Data_GF!M39)&lt;cfg_i_threshold_a,Raw_Data_GF!G39&gt;cfg_min_voc_v),Raw_Data_GF!G39,"")</f>
        <v/>
      </c>
      <c r="I39" s="18">
        <f>IF(AND(ABS(Raw_Data_GF!N39)&lt;cfg_i_threshold_a,Raw_Data_GF!H39&gt;cfg_min_voc_v),Raw_Data_GF!H39,"")</f>
        <v/>
      </c>
      <c r="J39" s="18">
        <f>IF(AND(ABS(Raw_Data_GF!O39)&lt;cfg_i_threshold_a,Raw_Data_GF!I39&gt;cfg_min_voc_v),Raw_Data_GF!I39,"")</f>
        <v/>
      </c>
      <c r="K39" s="18">
        <f>IF(AND(ABS(Raw_Data_GF!P39)&lt;cfg_i_threshold_a,Raw_Data_GF!J39&gt;cfg_min_voc_v),Raw_Data_GF!J39,"")</f>
        <v/>
      </c>
      <c r="L39" s="17">
        <f>MEDIAN(Raw_Data_GF!L39,Raw_Data_GF!M39,Raw_Data_GF!N39,Raw_Data_GF!O39,Raw_Data_GF!P39)</f>
        <v/>
      </c>
      <c r="M39" s="17">
        <f>MEDIAN(Raw_Data_GF!K39,Raw_Data_GF!M39,Raw_Data_GF!N39,Raw_Data_GF!O39,Raw_Data_GF!P39)</f>
        <v/>
      </c>
      <c r="N39" s="17">
        <f>MEDIAN(Raw_Data_GF!K39,Raw_Data_GF!L39,Raw_Data_GF!N39,Raw_Data_GF!O39,Raw_Data_GF!P39)</f>
        <v/>
      </c>
      <c r="O39" s="17">
        <f>MEDIAN(Raw_Data_GF!K39,Raw_Data_GF!L39,Raw_Data_GF!M39,Raw_Data_GF!O39,Raw_Data_GF!P39)</f>
        <v/>
      </c>
      <c r="P39" s="17">
        <f>MEDIAN(Raw_Data_GF!K39,Raw_Data_GF!L39,Raw_Data_GF!M39,Raw_Data_GF!N39,Raw_Data_GF!P39)</f>
        <v/>
      </c>
      <c r="Q39" s="17">
        <f>MEDIAN(Raw_Data_GF!K39,Raw_Data_GF!L39,Raw_Data_GF!M39,Raw_Data_GF!N39,Raw_Data_GF!O39)</f>
        <v/>
      </c>
      <c r="R39" s="18">
        <f>ABS(E39)</f>
        <v/>
      </c>
    </row>
    <row r="40">
      <c r="A40" s="5">
        <f>Raw_Data_GF!B40</f>
        <v/>
      </c>
      <c r="B40" s="16">
        <f>Raw_Data_GF!A40</f>
        <v/>
      </c>
      <c r="C40" s="27">
        <f>Raw_Data_GF!C40</f>
        <v/>
      </c>
      <c r="D40" s="5">
        <f>IF(AND(C40&gt;cfg_gf_poa_threshold_wm2,C40&gt;cfg_gf_poa_floor_wm2),1,0)</f>
        <v/>
      </c>
      <c r="E40" s="18">
        <f>Raw_Data_GF!D40</f>
        <v/>
      </c>
      <c r="F40" s="18">
        <f>IF(AND(ABS(Raw_Data_GF!K40)&lt;cfg_i_threshold_a,Raw_Data_GF!E40&gt;cfg_min_voc_v),Raw_Data_GF!E40,"")</f>
        <v/>
      </c>
      <c r="G40" s="18">
        <f>IF(AND(ABS(Raw_Data_GF!L40)&lt;cfg_i_threshold_a,Raw_Data_GF!F40&gt;cfg_min_voc_v),Raw_Data_GF!F40,"")</f>
        <v/>
      </c>
      <c r="H40" s="18">
        <f>IF(AND(ABS(Raw_Data_GF!M40)&lt;cfg_i_threshold_a,Raw_Data_GF!G40&gt;cfg_min_voc_v),Raw_Data_GF!G40,"")</f>
        <v/>
      </c>
      <c r="I40" s="18">
        <f>IF(AND(ABS(Raw_Data_GF!N40)&lt;cfg_i_threshold_a,Raw_Data_GF!H40&gt;cfg_min_voc_v),Raw_Data_GF!H40,"")</f>
        <v/>
      </c>
      <c r="J40" s="18">
        <f>IF(AND(ABS(Raw_Data_GF!O40)&lt;cfg_i_threshold_a,Raw_Data_GF!I40&gt;cfg_min_voc_v),Raw_Data_GF!I40,"")</f>
        <v/>
      </c>
      <c r="K40" s="18">
        <f>IF(AND(ABS(Raw_Data_GF!P40)&lt;cfg_i_threshold_a,Raw_Data_GF!J40&gt;cfg_min_voc_v),Raw_Data_GF!J40,"")</f>
        <v/>
      </c>
      <c r="L40" s="17">
        <f>MEDIAN(Raw_Data_GF!L40,Raw_Data_GF!M40,Raw_Data_GF!N40,Raw_Data_GF!O40,Raw_Data_GF!P40)</f>
        <v/>
      </c>
      <c r="M40" s="17">
        <f>MEDIAN(Raw_Data_GF!K40,Raw_Data_GF!M40,Raw_Data_GF!N40,Raw_Data_GF!O40,Raw_Data_GF!P40)</f>
        <v/>
      </c>
      <c r="N40" s="17">
        <f>MEDIAN(Raw_Data_GF!K40,Raw_Data_GF!L40,Raw_Data_GF!N40,Raw_Data_GF!O40,Raw_Data_GF!P40)</f>
        <v/>
      </c>
      <c r="O40" s="17">
        <f>MEDIAN(Raw_Data_GF!K40,Raw_Data_GF!L40,Raw_Data_GF!M40,Raw_Data_GF!O40,Raw_Data_GF!P40)</f>
        <v/>
      </c>
      <c r="P40" s="17">
        <f>MEDIAN(Raw_Data_GF!K40,Raw_Data_GF!L40,Raw_Data_GF!M40,Raw_Data_GF!N40,Raw_Data_GF!P40)</f>
        <v/>
      </c>
      <c r="Q40" s="17">
        <f>MEDIAN(Raw_Data_GF!K40,Raw_Data_GF!L40,Raw_Data_GF!M40,Raw_Data_GF!N40,Raw_Data_GF!O40)</f>
        <v/>
      </c>
      <c r="R40" s="18">
        <f>ABS(E40)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3" customWidth="1" min="1" max="1"/>
  </cols>
  <sheetData>
    <row r="1">
      <c r="A1" s="23" t="inlineStr">
        <is>
          <t>GF_StringMetrics — per (inverter, PV string): Voc &amp; peer-I z-score</t>
        </is>
      </c>
    </row>
    <row r="2">
      <c r="A2" s="24" t="inlineStr">
        <is>
          <t>voc_actual = MEDIAN(voc_cand) (hanya baris dawn I&lt;0.5 non-blank). voc_ratio = voc_actual / voc_string_26_calc (1430.61V @30°C). i_z = (I_median_daylight − peer_med) / peer_std. spec_flag = voc_ratio&lt;0.85 AND i_z&gt;2 (string bukan-empty).</t>
        </is>
      </c>
    </row>
    <row r="4">
      <c r="A4" s="10" t="inlineStr">
        <is>
          <t>Inverter_ID</t>
        </is>
      </c>
      <c r="B4" s="10" t="inlineStr">
        <is>
          <t>PV</t>
        </is>
      </c>
      <c r="C4" s="10" t="inlineStr">
        <is>
          <t>is_empty</t>
        </is>
      </c>
      <c r="D4" s="10" t="inlineStr">
        <is>
          <t>voc_actual (V)</t>
        </is>
      </c>
      <c r="E4" s="10" t="inlineStr">
        <is>
          <t>voc_string_nominal (V)</t>
        </is>
      </c>
      <c r="F4" s="10" t="inlineStr">
        <is>
          <t>voc_ratio</t>
        </is>
      </c>
      <c r="G4" s="10" t="inlineStr">
        <is>
          <t>I_median_daylight</t>
        </is>
      </c>
      <c r="H4" s="10" t="inlineStr">
        <is>
          <t>peer_med_daylight</t>
        </is>
      </c>
      <c r="I4" s="10" t="inlineStr">
        <is>
          <t>peer_std_daylight</t>
        </is>
      </c>
      <c r="J4" s="10" t="inlineStr">
        <is>
          <t>i_z</t>
        </is>
      </c>
      <c r="K4" s="10" t="inlineStr">
        <is>
          <t>spec_flag</t>
        </is>
      </c>
    </row>
    <row r="5">
      <c r="A5" s="5" t="inlineStr">
        <is>
          <t>WB05-INV01</t>
        </is>
      </c>
      <c r="B5" s="5" t="inlineStr">
        <is>
          <t>PV1</t>
        </is>
      </c>
      <c r="C5" s="5" t="n">
        <v>0</v>
      </c>
      <c r="D5" s="18">
        <f>IFERROR(MEDIAN(Helpers_GF!F5:F13),"")</f>
        <v/>
      </c>
      <c r="E5" s="15">
        <f>voc_string_26_calc</f>
        <v/>
      </c>
      <c r="F5" s="31">
        <f>IFERROR(D5/E5,"")</f>
        <v/>
      </c>
      <c r="G5" s="17">
        <f>MEDIAN(Raw_Data_GF!K8:K13)</f>
        <v/>
      </c>
      <c r="H5" s="17">
        <f>MEDIAN(Helpers_GF!L8:L13)</f>
        <v/>
      </c>
      <c r="I5" s="37">
        <f>IF(STDEV(Helpers_GF!L8:L13)=0,0.01,STDEV(Helpers_GF!L8:L13))</f>
        <v/>
      </c>
      <c r="J5" s="17">
        <f>IFERROR((G5-H5)/I5,"")</f>
        <v/>
      </c>
      <c r="K5" s="5">
        <f>IF(C5=1,0,IF(AND(F5&lt;cfg_gf_voc_ratio_threshold,J5&gt;cfg_gf_i_high_z_threshold),1,0))</f>
        <v/>
      </c>
    </row>
    <row r="6">
      <c r="A6" s="5" t="inlineStr">
        <is>
          <t>WB05-INV01</t>
        </is>
      </c>
      <c r="B6" s="5" t="inlineStr">
        <is>
          <t>PV2</t>
        </is>
      </c>
      <c r="C6" s="5" t="n">
        <v>0</v>
      </c>
      <c r="D6" s="18">
        <f>IFERROR(MEDIAN(Helpers_GF!G5:G13),"")</f>
        <v/>
      </c>
      <c r="E6" s="15">
        <f>voc_string_26_calc</f>
        <v/>
      </c>
      <c r="F6" s="31">
        <f>IFERROR(D6/E6,"")</f>
        <v/>
      </c>
      <c r="G6" s="17">
        <f>MEDIAN(Raw_Data_GF!L8:L13)</f>
        <v/>
      </c>
      <c r="H6" s="17">
        <f>MEDIAN(Helpers_GF!M8:M13)</f>
        <v/>
      </c>
      <c r="I6" s="37">
        <f>IF(STDEV(Helpers_GF!M8:M13)=0,0.01,STDEV(Helpers_GF!M8:M13))</f>
        <v/>
      </c>
      <c r="J6" s="17">
        <f>IFERROR((G6-H6)/I6,"")</f>
        <v/>
      </c>
      <c r="K6" s="5">
        <f>IF(C6=1,0,IF(AND(F6&lt;cfg_gf_voc_ratio_threshold,J6&gt;cfg_gf_i_high_z_threshold),1,0))</f>
        <v/>
      </c>
    </row>
    <row r="7">
      <c r="A7" s="5" t="inlineStr">
        <is>
          <t>WB05-INV01</t>
        </is>
      </c>
      <c r="B7" s="5" t="inlineStr">
        <is>
          <t>PV3</t>
        </is>
      </c>
      <c r="C7" s="5" t="n">
        <v>0</v>
      </c>
      <c r="D7" s="18">
        <f>IFERROR(MEDIAN(Helpers_GF!H5:H13),"")</f>
        <v/>
      </c>
      <c r="E7" s="15">
        <f>voc_string_26_calc</f>
        <v/>
      </c>
      <c r="F7" s="31">
        <f>IFERROR(D7/E7,"")</f>
        <v/>
      </c>
      <c r="G7" s="17">
        <f>MEDIAN(Raw_Data_GF!M8:M13)</f>
        <v/>
      </c>
      <c r="H7" s="17">
        <f>MEDIAN(Helpers_GF!N8:N13)</f>
        <v/>
      </c>
      <c r="I7" s="37">
        <f>IF(STDEV(Helpers_GF!N8:N13)=0,0.01,STDEV(Helpers_GF!N8:N13))</f>
        <v/>
      </c>
      <c r="J7" s="17">
        <f>IFERROR((G7-H7)/I7,"")</f>
        <v/>
      </c>
      <c r="K7" s="5">
        <f>IF(C7=1,0,IF(AND(F7&lt;cfg_gf_voc_ratio_threshold,J7&gt;cfg_gf_i_high_z_threshold),1,0))</f>
        <v/>
      </c>
    </row>
    <row r="8">
      <c r="A8" s="5" t="inlineStr">
        <is>
          <t>WB05-INV01</t>
        </is>
      </c>
      <c r="B8" s="5" t="inlineStr">
        <is>
          <t>PV4</t>
        </is>
      </c>
      <c r="C8" s="5" t="n">
        <v>0</v>
      </c>
      <c r="D8" s="18">
        <f>IFERROR(MEDIAN(Helpers_GF!I5:I13),"")</f>
        <v/>
      </c>
      <c r="E8" s="15">
        <f>voc_string_26_calc</f>
        <v/>
      </c>
      <c r="F8" s="31">
        <f>IFERROR(D8/E8,"")</f>
        <v/>
      </c>
      <c r="G8" s="17">
        <f>MEDIAN(Raw_Data_GF!N8:N13)</f>
        <v/>
      </c>
      <c r="H8" s="17">
        <f>MEDIAN(Helpers_GF!O8:O13)</f>
        <v/>
      </c>
      <c r="I8" s="37">
        <f>IF(STDEV(Helpers_GF!O8:O13)=0,0.01,STDEV(Helpers_GF!O8:O13))</f>
        <v/>
      </c>
      <c r="J8" s="17">
        <f>IFERROR((G8-H8)/I8,"")</f>
        <v/>
      </c>
      <c r="K8" s="5">
        <f>IF(C8=1,0,IF(AND(F8&lt;cfg_gf_voc_ratio_threshold,J8&gt;cfg_gf_i_high_z_threshold),1,0))</f>
        <v/>
      </c>
    </row>
    <row r="9">
      <c r="A9" s="5" t="inlineStr">
        <is>
          <t>WB05-INV01</t>
        </is>
      </c>
      <c r="B9" s="5" t="inlineStr">
        <is>
          <t>PV5</t>
        </is>
      </c>
      <c r="C9" s="5" t="n">
        <v>1</v>
      </c>
      <c r="D9" s="18">
        <f>IFERROR(MEDIAN(Helpers_GF!J5:J13),"")</f>
        <v/>
      </c>
      <c r="E9" s="15">
        <f>voc_string_26_calc</f>
        <v/>
      </c>
      <c r="F9" s="31">
        <f>IFERROR(D9/E9,"")</f>
        <v/>
      </c>
      <c r="G9" s="17">
        <f>MEDIAN(Raw_Data_GF!O8:O13)</f>
        <v/>
      </c>
      <c r="H9" s="17">
        <f>MEDIAN(Helpers_GF!P8:P13)</f>
        <v/>
      </c>
      <c r="I9" s="37">
        <f>IF(STDEV(Helpers_GF!P8:P13)=0,0.01,STDEV(Helpers_GF!P8:P13))</f>
        <v/>
      </c>
      <c r="J9" s="17">
        <f>IFERROR((G9-H9)/I9,"")</f>
        <v/>
      </c>
      <c r="K9" s="5">
        <f>IF(C9=1,0,IF(AND(F9&lt;cfg_gf_voc_ratio_threshold,J9&gt;cfg_gf_i_high_z_threshold),1,0))</f>
        <v/>
      </c>
    </row>
    <row r="10">
      <c r="A10" s="5" t="inlineStr">
        <is>
          <t>WB05-INV01</t>
        </is>
      </c>
      <c r="B10" s="5" t="inlineStr">
        <is>
          <t>PV6</t>
        </is>
      </c>
      <c r="C10" s="5" t="n">
        <v>0</v>
      </c>
      <c r="D10" s="18">
        <f>IFERROR(MEDIAN(Helpers_GF!K5:K13),"")</f>
        <v/>
      </c>
      <c r="E10" s="15">
        <f>voc_string_26_calc</f>
        <v/>
      </c>
      <c r="F10" s="31">
        <f>IFERROR(D10/E10,"")</f>
        <v/>
      </c>
      <c r="G10" s="17">
        <f>MEDIAN(Raw_Data_GF!P8:P13)</f>
        <v/>
      </c>
      <c r="H10" s="17">
        <f>MEDIAN(Helpers_GF!Q8:Q13)</f>
        <v/>
      </c>
      <c r="I10" s="37">
        <f>IF(STDEV(Helpers_GF!Q8:Q13)=0,0.01,STDEV(Helpers_GF!Q8:Q13))</f>
        <v/>
      </c>
      <c r="J10" s="17">
        <f>IFERROR((G10-H10)/I10,"")</f>
        <v/>
      </c>
      <c r="K10" s="5">
        <f>IF(C10=1,0,IF(AND(F10&lt;cfg_gf_voc_ratio_threshold,J10&gt;cfg_gf_i_high_z_threshold),1,0))</f>
        <v/>
      </c>
    </row>
    <row r="11">
      <c r="A11" s="5" t="inlineStr">
        <is>
          <t>WB05-INV02</t>
        </is>
      </c>
      <c r="B11" s="5" t="inlineStr">
        <is>
          <t>PV1</t>
        </is>
      </c>
      <c r="C11" s="5" t="n">
        <v>0</v>
      </c>
      <c r="D11" s="18">
        <f>IFERROR(MEDIAN(Helpers_GF!F14:F22),"")</f>
        <v/>
      </c>
      <c r="E11" s="15">
        <f>voc_string_26_calc</f>
        <v/>
      </c>
      <c r="F11" s="31">
        <f>IFERROR(D11/E11,"")</f>
        <v/>
      </c>
      <c r="G11" s="17">
        <f>MEDIAN(Raw_Data_GF!K17:K22)</f>
        <v/>
      </c>
      <c r="H11" s="17">
        <f>MEDIAN(Helpers_GF!L17:L22)</f>
        <v/>
      </c>
      <c r="I11" s="37">
        <f>IF(STDEV(Helpers_GF!L17:L22)=0,0.01,STDEV(Helpers_GF!L17:L22))</f>
        <v/>
      </c>
      <c r="J11" s="17">
        <f>IFERROR((G11-H11)/I11,"")</f>
        <v/>
      </c>
      <c r="K11" s="5">
        <f>IF(C11=1,0,IF(AND(F11&lt;cfg_gf_voc_ratio_threshold,J11&gt;cfg_gf_i_high_z_threshold),1,0))</f>
        <v/>
      </c>
    </row>
    <row r="12">
      <c r="A12" s="5" t="inlineStr">
        <is>
          <t>WB05-INV02</t>
        </is>
      </c>
      <c r="B12" s="5" t="inlineStr">
        <is>
          <t>PV2</t>
        </is>
      </c>
      <c r="C12" s="5" t="n">
        <v>0</v>
      </c>
      <c r="D12" s="18">
        <f>IFERROR(MEDIAN(Helpers_GF!G14:G22),"")</f>
        <v/>
      </c>
      <c r="E12" s="15">
        <f>voc_string_26_calc</f>
        <v/>
      </c>
      <c r="F12" s="31">
        <f>IFERROR(D12/E12,"")</f>
        <v/>
      </c>
      <c r="G12" s="17">
        <f>MEDIAN(Raw_Data_GF!L17:L22)</f>
        <v/>
      </c>
      <c r="H12" s="17">
        <f>MEDIAN(Helpers_GF!M17:M22)</f>
        <v/>
      </c>
      <c r="I12" s="37">
        <f>IF(STDEV(Helpers_GF!M17:M22)=0,0.01,STDEV(Helpers_GF!M17:M22))</f>
        <v/>
      </c>
      <c r="J12" s="17">
        <f>IFERROR((G12-H12)/I12,"")</f>
        <v/>
      </c>
      <c r="K12" s="5">
        <f>IF(C12=1,0,IF(AND(F12&lt;cfg_gf_voc_ratio_threshold,J12&gt;cfg_gf_i_high_z_threshold),1,0))</f>
        <v/>
      </c>
    </row>
    <row r="13">
      <c r="A13" s="5" t="inlineStr">
        <is>
          <t>WB05-INV02</t>
        </is>
      </c>
      <c r="B13" s="5" t="inlineStr">
        <is>
          <t>PV3</t>
        </is>
      </c>
      <c r="C13" s="5" t="n">
        <v>0</v>
      </c>
      <c r="D13" s="18">
        <f>IFERROR(MEDIAN(Helpers_GF!H14:H22),"")</f>
        <v/>
      </c>
      <c r="E13" s="15">
        <f>voc_string_26_calc</f>
        <v/>
      </c>
      <c r="F13" s="31">
        <f>IFERROR(D13/E13,"")</f>
        <v/>
      </c>
      <c r="G13" s="17">
        <f>MEDIAN(Raw_Data_GF!M17:M22)</f>
        <v/>
      </c>
      <c r="H13" s="17">
        <f>MEDIAN(Helpers_GF!N17:N22)</f>
        <v/>
      </c>
      <c r="I13" s="37">
        <f>IF(STDEV(Helpers_GF!N17:N22)=0,0.01,STDEV(Helpers_GF!N17:N22))</f>
        <v/>
      </c>
      <c r="J13" s="17">
        <f>IFERROR((G13-H13)/I13,"")</f>
        <v/>
      </c>
      <c r="K13" s="5">
        <f>IF(C13=1,0,IF(AND(F13&lt;cfg_gf_voc_ratio_threshold,J13&gt;cfg_gf_i_high_z_threshold),1,0))</f>
        <v/>
      </c>
    </row>
    <row r="14">
      <c r="A14" s="5" t="inlineStr">
        <is>
          <t>WB05-INV02</t>
        </is>
      </c>
      <c r="B14" s="5" t="inlineStr">
        <is>
          <t>PV4</t>
        </is>
      </c>
      <c r="C14" s="5" t="n">
        <v>0</v>
      </c>
      <c r="D14" s="18">
        <f>IFERROR(MEDIAN(Helpers_GF!I14:I22),"")</f>
        <v/>
      </c>
      <c r="E14" s="15">
        <f>voc_string_26_calc</f>
        <v/>
      </c>
      <c r="F14" s="31">
        <f>IFERROR(D14/E14,"")</f>
        <v/>
      </c>
      <c r="G14" s="17">
        <f>MEDIAN(Raw_Data_GF!N17:N22)</f>
        <v/>
      </c>
      <c r="H14" s="17">
        <f>MEDIAN(Helpers_GF!O17:O22)</f>
        <v/>
      </c>
      <c r="I14" s="37">
        <f>IF(STDEV(Helpers_GF!O17:O22)=0,0.01,STDEV(Helpers_GF!O17:O22))</f>
        <v/>
      </c>
      <c r="J14" s="17">
        <f>IFERROR((G14-H14)/I14,"")</f>
        <v/>
      </c>
      <c r="K14" s="5">
        <f>IF(C14=1,0,IF(AND(F14&lt;cfg_gf_voc_ratio_threshold,J14&gt;cfg_gf_i_high_z_threshold),1,0))</f>
        <v/>
      </c>
    </row>
    <row r="15">
      <c r="A15" s="5" t="inlineStr">
        <is>
          <t>WB05-INV02</t>
        </is>
      </c>
      <c r="B15" s="5" t="inlineStr">
        <is>
          <t>PV5</t>
        </is>
      </c>
      <c r="C15" s="5" t="n">
        <v>1</v>
      </c>
      <c r="D15" s="18">
        <f>IFERROR(MEDIAN(Helpers_GF!J14:J22),"")</f>
        <v/>
      </c>
      <c r="E15" s="15">
        <f>voc_string_26_calc</f>
        <v/>
      </c>
      <c r="F15" s="31">
        <f>IFERROR(D15/E15,"")</f>
        <v/>
      </c>
      <c r="G15" s="17">
        <f>MEDIAN(Raw_Data_GF!O17:O22)</f>
        <v/>
      </c>
      <c r="H15" s="17">
        <f>MEDIAN(Helpers_GF!P17:P22)</f>
        <v/>
      </c>
      <c r="I15" s="37">
        <f>IF(STDEV(Helpers_GF!P17:P22)=0,0.01,STDEV(Helpers_GF!P17:P22))</f>
        <v/>
      </c>
      <c r="J15" s="17">
        <f>IFERROR((G15-H15)/I15,"")</f>
        <v/>
      </c>
      <c r="K15" s="5">
        <f>IF(C15=1,0,IF(AND(F15&lt;cfg_gf_voc_ratio_threshold,J15&gt;cfg_gf_i_high_z_threshold),1,0))</f>
        <v/>
      </c>
    </row>
    <row r="16">
      <c r="A16" s="5" t="inlineStr">
        <is>
          <t>WB05-INV02</t>
        </is>
      </c>
      <c r="B16" s="5" t="inlineStr">
        <is>
          <t>PV6</t>
        </is>
      </c>
      <c r="C16" s="5" t="n">
        <v>0</v>
      </c>
      <c r="D16" s="18">
        <f>IFERROR(MEDIAN(Helpers_GF!K14:K22),"")</f>
        <v/>
      </c>
      <c r="E16" s="15">
        <f>voc_string_26_calc</f>
        <v/>
      </c>
      <c r="F16" s="31">
        <f>IFERROR(D16/E16,"")</f>
        <v/>
      </c>
      <c r="G16" s="17">
        <f>MEDIAN(Raw_Data_GF!P17:P22)</f>
        <v/>
      </c>
      <c r="H16" s="17">
        <f>MEDIAN(Helpers_GF!Q17:Q22)</f>
        <v/>
      </c>
      <c r="I16" s="37">
        <f>IF(STDEV(Helpers_GF!Q17:Q22)=0,0.01,STDEV(Helpers_GF!Q17:Q22))</f>
        <v/>
      </c>
      <c r="J16" s="17">
        <f>IFERROR((G16-H16)/I16,"")</f>
        <v/>
      </c>
      <c r="K16" s="5">
        <f>IF(C16=1,0,IF(AND(F16&lt;cfg_gf_voc_ratio_threshold,J16&gt;cfg_gf_i_high_z_threshold),1,0))</f>
        <v/>
      </c>
    </row>
    <row r="17">
      <c r="A17" s="5" t="inlineStr">
        <is>
          <t>WB05-INV03</t>
        </is>
      </c>
      <c r="B17" s="5" t="inlineStr">
        <is>
          <t>PV1</t>
        </is>
      </c>
      <c r="C17" s="5" t="n">
        <v>0</v>
      </c>
      <c r="D17" s="18">
        <f>IFERROR(MEDIAN(Helpers_GF!F23:F31),"")</f>
        <v/>
      </c>
      <c r="E17" s="15">
        <f>voc_string_26_calc</f>
        <v/>
      </c>
      <c r="F17" s="31">
        <f>IFERROR(D17/E17,"")</f>
        <v/>
      </c>
      <c r="G17" s="17">
        <f>MEDIAN(Raw_Data_GF!K26:K31)</f>
        <v/>
      </c>
      <c r="H17" s="17">
        <f>MEDIAN(Helpers_GF!L26:L31)</f>
        <v/>
      </c>
      <c r="I17" s="37">
        <f>IF(STDEV(Helpers_GF!L26:L31)=0,0.01,STDEV(Helpers_GF!L26:L31))</f>
        <v/>
      </c>
      <c r="J17" s="17">
        <f>IFERROR((G17-H17)/I17,"")</f>
        <v/>
      </c>
      <c r="K17" s="5">
        <f>IF(C17=1,0,IF(AND(F17&lt;cfg_gf_voc_ratio_threshold,J17&gt;cfg_gf_i_high_z_threshold),1,0))</f>
        <v/>
      </c>
    </row>
    <row r="18">
      <c r="A18" s="5" t="inlineStr">
        <is>
          <t>WB05-INV03</t>
        </is>
      </c>
      <c r="B18" s="5" t="inlineStr">
        <is>
          <t>PV2</t>
        </is>
      </c>
      <c r="C18" s="5" t="n">
        <v>0</v>
      </c>
      <c r="D18" s="18">
        <f>IFERROR(MEDIAN(Helpers_GF!G23:G31),"")</f>
        <v/>
      </c>
      <c r="E18" s="15">
        <f>voc_string_26_calc</f>
        <v/>
      </c>
      <c r="F18" s="31">
        <f>IFERROR(D18/E18,"")</f>
        <v/>
      </c>
      <c r="G18" s="17">
        <f>MEDIAN(Raw_Data_GF!L26:L31)</f>
        <v/>
      </c>
      <c r="H18" s="17">
        <f>MEDIAN(Helpers_GF!M26:M31)</f>
        <v/>
      </c>
      <c r="I18" s="37">
        <f>IF(STDEV(Helpers_GF!M26:M31)=0,0.01,STDEV(Helpers_GF!M26:M31))</f>
        <v/>
      </c>
      <c r="J18" s="17">
        <f>IFERROR((G18-H18)/I18,"")</f>
        <v/>
      </c>
      <c r="K18" s="5">
        <f>IF(C18=1,0,IF(AND(F18&lt;cfg_gf_voc_ratio_threshold,J18&gt;cfg_gf_i_high_z_threshold),1,0))</f>
        <v/>
      </c>
    </row>
    <row r="19">
      <c r="A19" s="5" t="inlineStr">
        <is>
          <t>WB05-INV03</t>
        </is>
      </c>
      <c r="B19" s="5" t="inlineStr">
        <is>
          <t>PV3</t>
        </is>
      </c>
      <c r="C19" s="5" t="n">
        <v>0</v>
      </c>
      <c r="D19" s="18">
        <f>IFERROR(MEDIAN(Helpers_GF!H23:H31),"")</f>
        <v/>
      </c>
      <c r="E19" s="15">
        <f>voc_string_26_calc</f>
        <v/>
      </c>
      <c r="F19" s="31">
        <f>IFERROR(D19/E19,"")</f>
        <v/>
      </c>
      <c r="G19" s="17">
        <f>MEDIAN(Raw_Data_GF!M26:M31)</f>
        <v/>
      </c>
      <c r="H19" s="17">
        <f>MEDIAN(Helpers_GF!N26:N31)</f>
        <v/>
      </c>
      <c r="I19" s="37">
        <f>IF(STDEV(Helpers_GF!N26:N31)=0,0.01,STDEV(Helpers_GF!N26:N31))</f>
        <v/>
      </c>
      <c r="J19" s="17">
        <f>IFERROR((G19-H19)/I19,"")</f>
        <v/>
      </c>
      <c r="K19" s="5">
        <f>IF(C19=1,0,IF(AND(F19&lt;cfg_gf_voc_ratio_threshold,J19&gt;cfg_gf_i_high_z_threshold),1,0))</f>
        <v/>
      </c>
    </row>
    <row r="20">
      <c r="A20" s="5" t="inlineStr">
        <is>
          <t>WB05-INV03</t>
        </is>
      </c>
      <c r="B20" s="5" t="inlineStr">
        <is>
          <t>PV4</t>
        </is>
      </c>
      <c r="C20" s="5" t="n">
        <v>0</v>
      </c>
      <c r="D20" s="18">
        <f>IFERROR(MEDIAN(Helpers_GF!I23:I31),"")</f>
        <v/>
      </c>
      <c r="E20" s="15">
        <f>voc_string_26_calc</f>
        <v/>
      </c>
      <c r="F20" s="31">
        <f>IFERROR(D20/E20,"")</f>
        <v/>
      </c>
      <c r="G20" s="17">
        <f>MEDIAN(Raw_Data_GF!N26:N31)</f>
        <v/>
      </c>
      <c r="H20" s="17">
        <f>MEDIAN(Helpers_GF!O26:O31)</f>
        <v/>
      </c>
      <c r="I20" s="37">
        <f>IF(STDEV(Helpers_GF!O26:O31)=0,0.01,STDEV(Helpers_GF!O26:O31))</f>
        <v/>
      </c>
      <c r="J20" s="17">
        <f>IFERROR((G20-H20)/I20,"")</f>
        <v/>
      </c>
      <c r="K20" s="5">
        <f>IF(C20=1,0,IF(AND(F20&lt;cfg_gf_voc_ratio_threshold,J20&gt;cfg_gf_i_high_z_threshold),1,0))</f>
        <v/>
      </c>
    </row>
    <row r="21">
      <c r="A21" s="5" t="inlineStr">
        <is>
          <t>WB05-INV03</t>
        </is>
      </c>
      <c r="B21" s="5" t="inlineStr">
        <is>
          <t>PV5</t>
        </is>
      </c>
      <c r="C21" s="5" t="n">
        <v>0</v>
      </c>
      <c r="D21" s="18">
        <f>IFERROR(MEDIAN(Helpers_GF!J23:J31),"")</f>
        <v/>
      </c>
      <c r="E21" s="15">
        <f>voc_string_26_calc</f>
        <v/>
      </c>
      <c r="F21" s="31">
        <f>IFERROR(D21/E21,"")</f>
        <v/>
      </c>
      <c r="G21" s="17">
        <f>MEDIAN(Raw_Data_GF!O26:O31)</f>
        <v/>
      </c>
      <c r="H21" s="17">
        <f>MEDIAN(Helpers_GF!P26:P31)</f>
        <v/>
      </c>
      <c r="I21" s="37">
        <f>IF(STDEV(Helpers_GF!P26:P31)=0,0.01,STDEV(Helpers_GF!P26:P31))</f>
        <v/>
      </c>
      <c r="J21" s="17">
        <f>IFERROR((G21-H21)/I21,"")</f>
        <v/>
      </c>
      <c r="K21" s="5">
        <f>IF(C21=1,0,IF(AND(F21&lt;cfg_gf_voc_ratio_threshold,J21&gt;cfg_gf_i_high_z_threshold),1,0))</f>
        <v/>
      </c>
    </row>
    <row r="22">
      <c r="A22" s="5" t="inlineStr">
        <is>
          <t>WB05-INV03</t>
        </is>
      </c>
      <c r="B22" s="5" t="inlineStr">
        <is>
          <t>PV6</t>
        </is>
      </c>
      <c r="C22" s="5" t="n">
        <v>0</v>
      </c>
      <c r="D22" s="18">
        <f>IFERROR(MEDIAN(Helpers_GF!K23:K31),"")</f>
        <v/>
      </c>
      <c r="E22" s="15">
        <f>voc_string_26_calc</f>
        <v/>
      </c>
      <c r="F22" s="31">
        <f>IFERROR(D22/E22,"")</f>
        <v/>
      </c>
      <c r="G22" s="17">
        <f>MEDIAN(Raw_Data_GF!P26:P31)</f>
        <v/>
      </c>
      <c r="H22" s="17">
        <f>MEDIAN(Helpers_GF!Q26:Q31)</f>
        <v/>
      </c>
      <c r="I22" s="37">
        <f>IF(STDEV(Helpers_GF!Q26:Q31)=0,0.01,STDEV(Helpers_GF!Q26:Q31))</f>
        <v/>
      </c>
      <c r="J22" s="17">
        <f>IFERROR((G22-H22)/I22,"")</f>
        <v/>
      </c>
      <c r="K22" s="5">
        <f>IF(C22=1,0,IF(AND(F22&lt;cfg_gf_voc_ratio_threshold,J22&gt;cfg_gf_i_high_z_threshold),1,0))</f>
        <v/>
      </c>
    </row>
    <row r="23">
      <c r="A23" s="5" t="inlineStr">
        <is>
          <t>WB05-INV04</t>
        </is>
      </c>
      <c r="B23" s="5" t="inlineStr">
        <is>
          <t>PV1</t>
        </is>
      </c>
      <c r="C23" s="5" t="n">
        <v>0</v>
      </c>
      <c r="D23" s="18">
        <f>IFERROR(MEDIAN(Helpers_GF!F32:F40),"")</f>
        <v/>
      </c>
      <c r="E23" s="15">
        <f>voc_string_26_calc</f>
        <v/>
      </c>
      <c r="F23" s="31">
        <f>IFERROR(D23/E23,"")</f>
        <v/>
      </c>
      <c r="G23" s="17">
        <f>MEDIAN(Raw_Data_GF!K35:K40)</f>
        <v/>
      </c>
      <c r="H23" s="17">
        <f>MEDIAN(Helpers_GF!L35:L40)</f>
        <v/>
      </c>
      <c r="I23" s="37">
        <f>IF(STDEV(Helpers_GF!L35:L40)=0,0.01,STDEV(Helpers_GF!L35:L40))</f>
        <v/>
      </c>
      <c r="J23" s="17">
        <f>IFERROR((G23-H23)/I23,"")</f>
        <v/>
      </c>
      <c r="K23" s="5">
        <f>IF(C23=1,0,IF(AND(F23&lt;cfg_gf_voc_ratio_threshold,J23&gt;cfg_gf_i_high_z_threshold),1,0))</f>
        <v/>
      </c>
    </row>
    <row r="24">
      <c r="A24" s="5" t="inlineStr">
        <is>
          <t>WB05-INV04</t>
        </is>
      </c>
      <c r="B24" s="5" t="inlineStr">
        <is>
          <t>PV2</t>
        </is>
      </c>
      <c r="C24" s="5" t="n">
        <v>0</v>
      </c>
      <c r="D24" s="18">
        <f>IFERROR(MEDIAN(Helpers_GF!G32:G40),"")</f>
        <v/>
      </c>
      <c r="E24" s="15">
        <f>voc_string_26_calc</f>
        <v/>
      </c>
      <c r="F24" s="31">
        <f>IFERROR(D24/E24,"")</f>
        <v/>
      </c>
      <c r="G24" s="17">
        <f>MEDIAN(Raw_Data_GF!L35:L40)</f>
        <v/>
      </c>
      <c r="H24" s="17">
        <f>MEDIAN(Helpers_GF!M35:M40)</f>
        <v/>
      </c>
      <c r="I24" s="37">
        <f>IF(STDEV(Helpers_GF!M35:M40)=0,0.01,STDEV(Helpers_GF!M35:M40))</f>
        <v/>
      </c>
      <c r="J24" s="17">
        <f>IFERROR((G24-H24)/I24,"")</f>
        <v/>
      </c>
      <c r="K24" s="5">
        <f>IF(C24=1,0,IF(AND(F24&lt;cfg_gf_voc_ratio_threshold,J24&gt;cfg_gf_i_high_z_threshold),1,0))</f>
        <v/>
      </c>
    </row>
    <row r="25">
      <c r="A25" s="5" t="inlineStr">
        <is>
          <t>WB05-INV04</t>
        </is>
      </c>
      <c r="B25" s="5" t="inlineStr">
        <is>
          <t>PV3</t>
        </is>
      </c>
      <c r="C25" s="5" t="n">
        <v>0</v>
      </c>
      <c r="D25" s="18">
        <f>IFERROR(MEDIAN(Helpers_GF!H32:H40),"")</f>
        <v/>
      </c>
      <c r="E25" s="15">
        <f>voc_string_26_calc</f>
        <v/>
      </c>
      <c r="F25" s="31">
        <f>IFERROR(D25/E25,"")</f>
        <v/>
      </c>
      <c r="G25" s="17">
        <f>MEDIAN(Raw_Data_GF!M35:M40)</f>
        <v/>
      </c>
      <c r="H25" s="17">
        <f>MEDIAN(Helpers_GF!N35:N40)</f>
        <v/>
      </c>
      <c r="I25" s="37">
        <f>IF(STDEV(Helpers_GF!N35:N40)=0,0.01,STDEV(Helpers_GF!N35:N40))</f>
        <v/>
      </c>
      <c r="J25" s="17">
        <f>IFERROR((G25-H25)/I25,"")</f>
        <v/>
      </c>
      <c r="K25" s="5">
        <f>IF(C25=1,0,IF(AND(F25&lt;cfg_gf_voc_ratio_threshold,J25&gt;cfg_gf_i_high_z_threshold),1,0))</f>
        <v/>
      </c>
    </row>
    <row r="26">
      <c r="A26" s="5" t="inlineStr">
        <is>
          <t>WB05-INV04</t>
        </is>
      </c>
      <c r="B26" s="5" t="inlineStr">
        <is>
          <t>PV4</t>
        </is>
      </c>
      <c r="C26" s="5" t="n">
        <v>0</v>
      </c>
      <c r="D26" s="18">
        <f>IFERROR(MEDIAN(Helpers_GF!I32:I40),"")</f>
        <v/>
      </c>
      <c r="E26" s="15">
        <f>voc_string_26_calc</f>
        <v/>
      </c>
      <c r="F26" s="31">
        <f>IFERROR(D26/E26,"")</f>
        <v/>
      </c>
      <c r="G26" s="17">
        <f>MEDIAN(Raw_Data_GF!N35:N40)</f>
        <v/>
      </c>
      <c r="H26" s="17">
        <f>MEDIAN(Helpers_GF!O35:O40)</f>
        <v/>
      </c>
      <c r="I26" s="37">
        <f>IF(STDEV(Helpers_GF!O35:O40)=0,0.01,STDEV(Helpers_GF!O35:O40))</f>
        <v/>
      </c>
      <c r="J26" s="17">
        <f>IFERROR((G26-H26)/I26,"")</f>
        <v/>
      </c>
      <c r="K26" s="5">
        <f>IF(C26=1,0,IF(AND(F26&lt;cfg_gf_voc_ratio_threshold,J26&gt;cfg_gf_i_high_z_threshold),1,0))</f>
        <v/>
      </c>
    </row>
    <row r="27">
      <c r="A27" s="5" t="inlineStr">
        <is>
          <t>WB05-INV04</t>
        </is>
      </c>
      <c r="B27" s="5" t="inlineStr">
        <is>
          <t>PV5</t>
        </is>
      </c>
      <c r="C27" s="5" t="n">
        <v>0</v>
      </c>
      <c r="D27" s="18">
        <f>IFERROR(MEDIAN(Helpers_GF!J32:J40),"")</f>
        <v/>
      </c>
      <c r="E27" s="15">
        <f>voc_string_26_calc</f>
        <v/>
      </c>
      <c r="F27" s="31">
        <f>IFERROR(D27/E27,"")</f>
        <v/>
      </c>
      <c r="G27" s="17">
        <f>MEDIAN(Raw_Data_GF!O35:O40)</f>
        <v/>
      </c>
      <c r="H27" s="17">
        <f>MEDIAN(Helpers_GF!P35:P40)</f>
        <v/>
      </c>
      <c r="I27" s="37">
        <f>IF(STDEV(Helpers_GF!P35:P40)=0,0.01,STDEV(Helpers_GF!P35:P40))</f>
        <v/>
      </c>
      <c r="J27" s="17">
        <f>IFERROR((G27-H27)/I27,"")</f>
        <v/>
      </c>
      <c r="K27" s="5">
        <f>IF(C27=1,0,IF(AND(F27&lt;cfg_gf_voc_ratio_threshold,J27&gt;cfg_gf_i_high_z_threshold),1,0))</f>
        <v/>
      </c>
    </row>
    <row r="28">
      <c r="A28" s="5" t="inlineStr">
        <is>
          <t>WB05-INV04</t>
        </is>
      </c>
      <c r="B28" s="5" t="inlineStr">
        <is>
          <t>PV6</t>
        </is>
      </c>
      <c r="C28" s="5" t="n">
        <v>0</v>
      </c>
      <c r="D28" s="18">
        <f>IFERROR(MEDIAN(Helpers_GF!K32:K40),"")</f>
        <v/>
      </c>
      <c r="E28" s="15">
        <f>voc_string_26_calc</f>
        <v/>
      </c>
      <c r="F28" s="31">
        <f>IFERROR(D28/E28,"")</f>
        <v/>
      </c>
      <c r="G28" s="17">
        <f>MEDIAN(Raw_Data_GF!P35:P40)</f>
        <v/>
      </c>
      <c r="H28" s="17">
        <f>MEDIAN(Helpers_GF!Q35:Q40)</f>
        <v/>
      </c>
      <c r="I28" s="37">
        <f>IF(STDEV(Helpers_GF!Q35:Q40)=0,0.01,STDEV(Helpers_GF!Q35:Q40))</f>
        <v/>
      </c>
      <c r="J28" s="17">
        <f>IFERROR((G28-H28)/I28,"")</f>
        <v/>
      </c>
      <c r="K28" s="5">
        <f>IF(C28=1,0,IF(AND(F28&lt;cfg_gf_voc_ratio_threshold,J28&gt;cfg_gf_i_high_z_threshold),1,0))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3" customWidth="1" min="1" max="1"/>
    <col width="26" customWidth="1" min="8" max="8"/>
    <col width="60" customWidth="1" min="14" max="14"/>
  </cols>
  <sheetData>
    <row r="1">
      <c r="A1" s="23" t="inlineStr">
        <is>
          <t>M2c_GroundFault — keputusan per-inverter (ground_fault.py run())</t>
        </is>
      </c>
    </row>
    <row r="2">
      <c r="A2" s="24" t="inlineStr">
        <is>
          <t>Triple-signal: absolute(MAX|V_gnd|&gt;50) · adaptive(|med-fleet|/std&gt;3) · spec(ADA string voc_ratio&lt;0.85 &amp; i_z&gt;2). confidence: spec+(abs|adp)=90 · spec=80 · abs+adp=80 · abs=70 · adp=60. severity CRITICAL kalau conf≥80 else HIGH.</t>
        </is>
      </c>
    </row>
    <row r="3">
      <c r="A3" s="24" t="inlineStr">
        <is>
          <t>Finding per-inverter; pv_string = worst (voc_ratio terendah). value = |V_gnd_median|. fleet median/std = INPUT (Config).</t>
        </is>
      </c>
    </row>
    <row r="4">
      <c r="A4" s="10" t="inlineStr">
        <is>
          <t>Inverter_ID</t>
        </is>
      </c>
      <c r="B4" s="10" t="inlineStr">
        <is>
          <t>V_gnd_max_abs</t>
        </is>
      </c>
      <c r="C4" s="10" t="inlineStr">
        <is>
          <t>V_gnd_median</t>
        </is>
      </c>
      <c r="D4" s="10" t="inlineStr">
        <is>
          <t>adaptive_z</t>
        </is>
      </c>
      <c r="E4" s="10" t="inlineStr">
        <is>
          <t>flag_absolute</t>
        </is>
      </c>
      <c r="F4" s="10" t="inlineStr">
        <is>
          <t>flag_adaptive</t>
        </is>
      </c>
      <c r="G4" s="10" t="inlineStr">
        <is>
          <t>flag_spec</t>
        </is>
      </c>
      <c r="H4" s="10" t="inlineStr">
        <is>
          <t>triggered_by</t>
        </is>
      </c>
      <c r="I4" s="10" t="inlineStr">
        <is>
          <t>confidence</t>
        </is>
      </c>
      <c r="J4" s="10" t="inlineStr">
        <is>
          <t>severity</t>
        </is>
      </c>
      <c r="K4" s="10" t="inlineStr">
        <is>
          <t>worst_PV</t>
        </is>
      </c>
      <c r="L4" s="10" t="inlineStr">
        <is>
          <t>worst_voc_ratio</t>
        </is>
      </c>
      <c r="M4" s="10" t="inlineStr">
        <is>
          <t>status</t>
        </is>
      </c>
      <c r="N4" s="10" t="inlineStr">
        <is>
          <t>message</t>
        </is>
      </c>
    </row>
    <row r="5">
      <c r="A5" s="5" t="inlineStr">
        <is>
          <t>WB05-INV01</t>
        </is>
      </c>
      <c r="B5" s="18">
        <f>MAX(Helpers_GF!R8:R13)</f>
        <v/>
      </c>
      <c r="C5" s="18">
        <f>MEDIAN(Raw_Data_GF!D8:D13)</f>
        <v/>
      </c>
      <c r="D5" s="17">
        <f>ABS(C5-cfg_gf_fleet_v_gnd_median)/MAX(cfg_gf_fleet_v_gnd_std,0.01)</f>
        <v/>
      </c>
      <c r="E5" s="5">
        <f>IF(B5&gt;cfg_gf_v_abs_threshold,1,0)</f>
        <v/>
      </c>
      <c r="F5" s="5">
        <f>IF(D5&gt;cfg_gf_adaptive_z_threshold,1,0)</f>
        <v/>
      </c>
      <c r="G5" s="5">
        <f>IF(SUM(GF_StringMetrics!K5:K10)&gt;0,1,0)</f>
        <v/>
      </c>
      <c r="H5" s="5">
        <f>MID(IF(E5=1,"+absolute","")&amp;IF(F5=1,"+adaptive","")&amp;IF(G5=1,"+spec_4.2.3",""),2,99)</f>
        <v/>
      </c>
      <c r="I5" s="27">
        <f>IF(AND(G5=1,OR(E5=1,F5=1)),90,IF(G5=1,80,IF(AND(E5=1,F5=1),80,IF(E5=1,70,IF(F5=1,60,0)))))</f>
        <v/>
      </c>
      <c r="J5" s="5">
        <f>IF(I5&gt;=80,"CRITICAL",IF(I5&gt;0,"HIGH","-"))</f>
        <v/>
      </c>
      <c r="K5" s="5">
        <f>INDEX(GF_StringMetrics!B5:B10,MATCH(L5,GF_StringMetrics!F5:F10,0))</f>
        <v/>
      </c>
      <c r="L5" s="31">
        <f>MIN(GF_StringMetrics!F5:F10)</f>
        <v/>
      </c>
      <c r="M5" s="5">
        <f>IF(OR(E5=1,F5=1,G5=1),"ground_fault","NORMAL")</f>
        <v/>
      </c>
      <c r="N5" s="5">
        <f>IF(M5="ground_fault","Ground-fault suspect ("&amp;H5&amp;"): |V_gnd_med|="&amp;TEXT(ABS(C5),"0.0")&amp;"V worst "&amp;K5&amp;" voc_ratio="&amp;TEXT(L5,"0.000")&amp;" conf "&amp;I5&amp;"%","")</f>
        <v/>
      </c>
    </row>
    <row r="6">
      <c r="A6" s="5" t="inlineStr">
        <is>
          <t>WB05-INV02</t>
        </is>
      </c>
      <c r="B6" s="18">
        <f>MAX(Helpers_GF!R17:R22)</f>
        <v/>
      </c>
      <c r="C6" s="18">
        <f>MEDIAN(Raw_Data_GF!D17:D22)</f>
        <v/>
      </c>
      <c r="D6" s="17">
        <f>ABS(C6-cfg_gf_fleet_v_gnd_median)/MAX(cfg_gf_fleet_v_gnd_std,0.01)</f>
        <v/>
      </c>
      <c r="E6" s="5">
        <f>IF(B6&gt;cfg_gf_v_abs_threshold,1,0)</f>
        <v/>
      </c>
      <c r="F6" s="5">
        <f>IF(D6&gt;cfg_gf_adaptive_z_threshold,1,0)</f>
        <v/>
      </c>
      <c r="G6" s="5">
        <f>IF(SUM(GF_StringMetrics!K11:K16)&gt;0,1,0)</f>
        <v/>
      </c>
      <c r="H6" s="5">
        <f>MID(IF(E6=1,"+absolute","")&amp;IF(F6=1,"+adaptive","")&amp;IF(G6=1,"+spec_4.2.3",""),2,99)</f>
        <v/>
      </c>
      <c r="I6" s="27">
        <f>IF(AND(G6=1,OR(E6=1,F6=1)),90,IF(G6=1,80,IF(AND(E6=1,F6=1),80,IF(E6=1,70,IF(F6=1,60,0)))))</f>
        <v/>
      </c>
      <c r="J6" s="5">
        <f>IF(I6&gt;=80,"CRITICAL",IF(I6&gt;0,"HIGH","-"))</f>
        <v/>
      </c>
      <c r="K6" s="5">
        <f>INDEX(GF_StringMetrics!B11:B16,MATCH(L6,GF_StringMetrics!F11:F16,0))</f>
        <v/>
      </c>
      <c r="L6" s="31">
        <f>MIN(GF_StringMetrics!F11:F16)</f>
        <v/>
      </c>
      <c r="M6" s="5">
        <f>IF(OR(E6=1,F6=1,G6=1),"ground_fault","NORMAL")</f>
        <v/>
      </c>
      <c r="N6" s="5">
        <f>IF(M6="ground_fault","Ground-fault suspect ("&amp;H6&amp;"): |V_gnd_med|="&amp;TEXT(ABS(C6),"0.0")&amp;"V worst "&amp;K6&amp;" voc_ratio="&amp;TEXT(L6,"0.000")&amp;" conf "&amp;I6&amp;"%","")</f>
        <v/>
      </c>
    </row>
    <row r="7">
      <c r="A7" s="5" t="inlineStr">
        <is>
          <t>WB05-INV03</t>
        </is>
      </c>
      <c r="B7" s="18">
        <f>MAX(Helpers_GF!R26:R31)</f>
        <v/>
      </c>
      <c r="C7" s="18">
        <f>MEDIAN(Raw_Data_GF!D26:D31)</f>
        <v/>
      </c>
      <c r="D7" s="17">
        <f>ABS(C7-cfg_gf_fleet_v_gnd_median)/MAX(cfg_gf_fleet_v_gnd_std,0.01)</f>
        <v/>
      </c>
      <c r="E7" s="5">
        <f>IF(B7&gt;cfg_gf_v_abs_threshold,1,0)</f>
        <v/>
      </c>
      <c r="F7" s="5">
        <f>IF(D7&gt;cfg_gf_adaptive_z_threshold,1,0)</f>
        <v/>
      </c>
      <c r="G7" s="5">
        <f>IF(SUM(GF_StringMetrics!K17:K22)&gt;0,1,0)</f>
        <v/>
      </c>
      <c r="H7" s="5">
        <f>MID(IF(E7=1,"+absolute","")&amp;IF(F7=1,"+adaptive","")&amp;IF(G7=1,"+spec_4.2.3",""),2,99)</f>
        <v/>
      </c>
      <c r="I7" s="27">
        <f>IF(AND(G7=1,OR(E7=1,F7=1)),90,IF(G7=1,80,IF(AND(E7=1,F7=1),80,IF(E7=1,70,IF(F7=1,60,0)))))</f>
        <v/>
      </c>
      <c r="J7" s="5">
        <f>IF(I7&gt;=80,"CRITICAL",IF(I7&gt;0,"HIGH","-"))</f>
        <v/>
      </c>
      <c r="K7" s="5">
        <f>INDEX(GF_StringMetrics!B17:B22,MATCH(L7,GF_StringMetrics!F17:F22,0))</f>
        <v/>
      </c>
      <c r="L7" s="31">
        <f>MIN(GF_StringMetrics!F17:F22)</f>
        <v/>
      </c>
      <c r="M7" s="5">
        <f>IF(OR(E7=1,F7=1,G7=1),"ground_fault","NORMAL")</f>
        <v/>
      </c>
      <c r="N7" s="5">
        <f>IF(M7="ground_fault","Ground-fault suspect ("&amp;H7&amp;"): |V_gnd_med|="&amp;TEXT(ABS(C7),"0.0")&amp;"V worst "&amp;K7&amp;" voc_ratio="&amp;TEXT(L7,"0.000")&amp;" conf "&amp;I7&amp;"%","")</f>
        <v/>
      </c>
    </row>
    <row r="8">
      <c r="A8" s="5" t="inlineStr">
        <is>
          <t>WB05-INV04</t>
        </is>
      </c>
      <c r="B8" s="18">
        <f>MAX(Helpers_GF!R35:R40)</f>
        <v/>
      </c>
      <c r="C8" s="18">
        <f>MEDIAN(Raw_Data_GF!D35:D40)</f>
        <v/>
      </c>
      <c r="D8" s="17">
        <f>ABS(C8-cfg_gf_fleet_v_gnd_median)/MAX(cfg_gf_fleet_v_gnd_std,0.01)</f>
        <v/>
      </c>
      <c r="E8" s="5">
        <f>IF(B8&gt;cfg_gf_v_abs_threshold,1,0)</f>
        <v/>
      </c>
      <c r="F8" s="5">
        <f>IF(D8&gt;cfg_gf_adaptive_z_threshold,1,0)</f>
        <v/>
      </c>
      <c r="G8" s="5">
        <f>IF(SUM(GF_StringMetrics!K23:K28)&gt;0,1,0)</f>
        <v/>
      </c>
      <c r="H8" s="5">
        <f>MID(IF(E8=1,"+absolute","")&amp;IF(F8=1,"+adaptive","")&amp;IF(G8=1,"+spec_4.2.3",""),2,99)</f>
        <v/>
      </c>
      <c r="I8" s="27">
        <f>IF(AND(G8=1,OR(E8=1,F8=1)),90,IF(G8=1,80,IF(AND(E8=1,F8=1),80,IF(E8=1,70,IF(F8=1,60,0)))))</f>
        <v/>
      </c>
      <c r="J8" s="5">
        <f>IF(I8&gt;=80,"CRITICAL",IF(I8&gt;0,"HIGH","-"))</f>
        <v/>
      </c>
      <c r="K8" s="5">
        <f>INDEX(GF_StringMetrics!B23:B28,MATCH(L8,GF_StringMetrics!F23:F28,0))</f>
        <v/>
      </c>
      <c r="L8" s="31">
        <f>MIN(GF_StringMetrics!F23:F28)</f>
        <v/>
      </c>
      <c r="M8" s="5">
        <f>IF(OR(E8=1,F8=1,G8=1),"ground_fault","NORMAL")</f>
        <v/>
      </c>
      <c r="N8" s="5">
        <f>IF(M8="ground_fault","Ground-fault suspect ("&amp;H8&amp;"): |V_gnd_med|="&amp;TEXT(ABS(C8),"0.0")&amp;"V worst "&amp;K8&amp;" voc_ratio="&amp;TEXT(L8,"0.000")&amp;" conf "&amp;I8&amp;"%","")</f>
        <v/>
      </c>
    </row>
  </sheetData>
  <conditionalFormatting sqref="M5:M8">
    <cfRule type="cellIs" priority="1" operator="equal" dxfId="0">
      <formula>"ground_fault"</formula>
    </cfRule>
    <cfRule type="cellIs" priority="2" operator="equal" dxfId="4">
      <formula>"NORMAL"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3" customWidth="1" min="2" max="2"/>
    <col width="24" customWidth="1" min="10" max="10"/>
  </cols>
  <sheetData>
    <row r="1">
      <c r="A1" s="23" t="inlineStr">
        <is>
          <t>M2c_GF_StringStatus — replika artifact StringStatus (ground_fault.py)</t>
        </is>
      </c>
    </row>
    <row r="2">
      <c r="A2" s="24" t="inlineStr">
        <is>
          <t>Mirror self.artifacts['StringStatus']: per-PV status (fan-out status inverter), is_worst_string, V_gnd stats, confidence. Empty slot → EMPTY (top-up EmptyPVMap). Status string = status inverter (semua string inverter ter-flag dapat 'ground_fault').</t>
        </is>
      </c>
    </row>
    <row r="4">
      <c r="A4" s="10" t="inlineStr">
        <is>
          <t>poa_source</t>
        </is>
      </c>
      <c r="B4" s="10" t="inlineStr">
        <is>
          <t>inverter_id</t>
        </is>
      </c>
      <c r="C4" s="10" t="inlineStr">
        <is>
          <t>wb_id</t>
        </is>
      </c>
      <c r="D4" s="10" t="inlineStr">
        <is>
          <t>pv_string</t>
        </is>
      </c>
      <c r="E4" s="10" t="inlineStr">
        <is>
          <t>status</t>
        </is>
      </c>
      <c r="F4" s="10" t="inlineStr">
        <is>
          <t>is_worst_string</t>
        </is>
      </c>
      <c r="G4" s="10" t="inlineStr">
        <is>
          <t>v_gnd_median</t>
        </is>
      </c>
      <c r="H4" s="10" t="inlineStr">
        <is>
          <t>v_gnd_max_abs</t>
        </is>
      </c>
      <c r="I4" s="10" t="inlineStr">
        <is>
          <t>adaptive_z</t>
        </is>
      </c>
      <c r="J4" s="10" t="inlineStr">
        <is>
          <t>triggered_by</t>
        </is>
      </c>
      <c r="K4" s="10" t="inlineStr">
        <is>
          <t>confidence</t>
        </is>
      </c>
      <c r="L4" s="10" t="inlineStr">
        <is>
          <t>voc_ratio</t>
        </is>
      </c>
    </row>
    <row r="5">
      <c r="A5" s="5" t="inlineStr">
        <is>
          <t>dummy_single</t>
        </is>
      </c>
      <c r="B5" s="5" t="inlineStr">
        <is>
          <t>WB05-INV01</t>
        </is>
      </c>
      <c r="C5" s="5" t="inlineStr">
        <is>
          <t>WB05</t>
        </is>
      </c>
      <c r="D5" s="5" t="inlineStr">
        <is>
          <t>PV1</t>
        </is>
      </c>
      <c r="E5" s="5">
        <f>M2c_GroundFault!M5</f>
        <v/>
      </c>
      <c r="F5" s="5">
        <f>IF(M2c_GroundFault!K5="PV1",TRUE,FALSE)</f>
        <v/>
      </c>
      <c r="G5" s="18">
        <f>M2c_GroundFault!C5</f>
        <v/>
      </c>
      <c r="H5" s="18">
        <f>M2c_GroundFault!B5</f>
        <v/>
      </c>
      <c r="I5" s="17">
        <f>M2c_GroundFault!D5</f>
        <v/>
      </c>
      <c r="J5" s="5">
        <f>M2c_GroundFault!H5</f>
        <v/>
      </c>
      <c r="K5" s="27">
        <f>M2c_GroundFault!I5</f>
        <v/>
      </c>
      <c r="L5" s="31">
        <f>IFERROR(GF_StringMetrics!F5,"")</f>
        <v/>
      </c>
    </row>
    <row r="6">
      <c r="A6" s="5" t="inlineStr">
        <is>
          <t>dummy_single</t>
        </is>
      </c>
      <c r="B6" s="5" t="inlineStr">
        <is>
          <t>WB05-INV01</t>
        </is>
      </c>
      <c r="C6" s="5" t="inlineStr">
        <is>
          <t>WB05</t>
        </is>
      </c>
      <c r="D6" s="5" t="inlineStr">
        <is>
          <t>PV2</t>
        </is>
      </c>
      <c r="E6" s="5">
        <f>M2c_GroundFault!M5</f>
        <v/>
      </c>
      <c r="F6" s="5">
        <f>IF(M2c_GroundFault!K5="PV2",TRUE,FALSE)</f>
        <v/>
      </c>
      <c r="G6" s="18">
        <f>M2c_GroundFault!C5</f>
        <v/>
      </c>
      <c r="H6" s="18">
        <f>M2c_GroundFault!B5</f>
        <v/>
      </c>
      <c r="I6" s="17">
        <f>M2c_GroundFault!D5</f>
        <v/>
      </c>
      <c r="J6" s="5">
        <f>M2c_GroundFault!H5</f>
        <v/>
      </c>
      <c r="K6" s="27">
        <f>M2c_GroundFault!I5</f>
        <v/>
      </c>
      <c r="L6" s="31">
        <f>IFERROR(GF_StringMetrics!F6,"")</f>
        <v/>
      </c>
    </row>
    <row r="7">
      <c r="A7" s="5" t="inlineStr">
        <is>
          <t>dummy_single</t>
        </is>
      </c>
      <c r="B7" s="5" t="inlineStr">
        <is>
          <t>WB05-INV01</t>
        </is>
      </c>
      <c r="C7" s="5" t="inlineStr">
        <is>
          <t>WB05</t>
        </is>
      </c>
      <c r="D7" s="5" t="inlineStr">
        <is>
          <t>PV3</t>
        </is>
      </c>
      <c r="E7" s="5">
        <f>M2c_GroundFault!M5</f>
        <v/>
      </c>
      <c r="F7" s="5">
        <f>IF(M2c_GroundFault!K5="PV3",TRUE,FALSE)</f>
        <v/>
      </c>
      <c r="G7" s="18">
        <f>M2c_GroundFault!C5</f>
        <v/>
      </c>
      <c r="H7" s="18">
        <f>M2c_GroundFault!B5</f>
        <v/>
      </c>
      <c r="I7" s="17">
        <f>M2c_GroundFault!D5</f>
        <v/>
      </c>
      <c r="J7" s="5">
        <f>M2c_GroundFault!H5</f>
        <v/>
      </c>
      <c r="K7" s="27">
        <f>M2c_GroundFault!I5</f>
        <v/>
      </c>
      <c r="L7" s="31">
        <f>IFERROR(GF_StringMetrics!F7,"")</f>
        <v/>
      </c>
    </row>
    <row r="8">
      <c r="A8" s="5" t="inlineStr">
        <is>
          <t>dummy_single</t>
        </is>
      </c>
      <c r="B8" s="5" t="inlineStr">
        <is>
          <t>WB05-INV01</t>
        </is>
      </c>
      <c r="C8" s="5" t="inlineStr">
        <is>
          <t>WB05</t>
        </is>
      </c>
      <c r="D8" s="5" t="inlineStr">
        <is>
          <t>PV4</t>
        </is>
      </c>
      <c r="E8" s="5">
        <f>M2c_GroundFault!M5</f>
        <v/>
      </c>
      <c r="F8" s="5">
        <f>IF(M2c_GroundFault!K5="PV4",TRUE,FALSE)</f>
        <v/>
      </c>
      <c r="G8" s="18">
        <f>M2c_GroundFault!C5</f>
        <v/>
      </c>
      <c r="H8" s="18">
        <f>M2c_GroundFault!B5</f>
        <v/>
      </c>
      <c r="I8" s="17">
        <f>M2c_GroundFault!D5</f>
        <v/>
      </c>
      <c r="J8" s="5">
        <f>M2c_GroundFault!H5</f>
        <v/>
      </c>
      <c r="K8" s="27">
        <f>M2c_GroundFault!I5</f>
        <v/>
      </c>
      <c r="L8" s="31">
        <f>IFERROR(GF_StringMetrics!F8,"")</f>
        <v/>
      </c>
    </row>
    <row r="9">
      <c r="A9" s="5" t="inlineStr">
        <is>
          <t>dummy_single</t>
        </is>
      </c>
      <c r="B9" s="5" t="inlineStr">
        <is>
          <t>WB05-INV01</t>
        </is>
      </c>
      <c r="C9" s="5" t="inlineStr">
        <is>
          <t>WB05</t>
        </is>
      </c>
      <c r="D9" s="5" t="inlineStr">
        <is>
          <t>PV5</t>
        </is>
      </c>
      <c r="E9" s="5" t="inlineStr">
        <is>
          <t>EMPTY</t>
        </is>
      </c>
      <c r="F9" s="5">
        <f>IF(M2c_GroundFault!K5="PV5",TRUE,FALSE)</f>
        <v/>
      </c>
      <c r="G9" s="18">
        <f>M2c_GroundFault!C5</f>
        <v/>
      </c>
      <c r="H9" s="18">
        <f>M2c_GroundFault!B5</f>
        <v/>
      </c>
      <c r="I9" s="17">
        <f>M2c_GroundFault!D5</f>
        <v/>
      </c>
      <c r="J9" s="5">
        <f>M2c_GroundFault!H5</f>
        <v/>
      </c>
      <c r="K9" s="27">
        <f>M2c_GroundFault!I5</f>
        <v/>
      </c>
      <c r="L9" s="31">
        <f>IFERROR(GF_StringMetrics!F9,"")</f>
        <v/>
      </c>
    </row>
    <row r="10">
      <c r="A10" s="5" t="inlineStr">
        <is>
          <t>dummy_single</t>
        </is>
      </c>
      <c r="B10" s="5" t="inlineStr">
        <is>
          <t>WB05-INV01</t>
        </is>
      </c>
      <c r="C10" s="5" t="inlineStr">
        <is>
          <t>WB05</t>
        </is>
      </c>
      <c r="D10" s="5" t="inlineStr">
        <is>
          <t>PV6</t>
        </is>
      </c>
      <c r="E10" s="5">
        <f>M2c_GroundFault!M5</f>
        <v/>
      </c>
      <c r="F10" s="5">
        <f>IF(M2c_GroundFault!K5="PV6",TRUE,FALSE)</f>
        <v/>
      </c>
      <c r="G10" s="18">
        <f>M2c_GroundFault!C5</f>
        <v/>
      </c>
      <c r="H10" s="18">
        <f>M2c_GroundFault!B5</f>
        <v/>
      </c>
      <c r="I10" s="17">
        <f>M2c_GroundFault!D5</f>
        <v/>
      </c>
      <c r="J10" s="5">
        <f>M2c_GroundFault!H5</f>
        <v/>
      </c>
      <c r="K10" s="27">
        <f>M2c_GroundFault!I5</f>
        <v/>
      </c>
      <c r="L10" s="31">
        <f>IFERROR(GF_StringMetrics!F10,"")</f>
        <v/>
      </c>
    </row>
    <row r="11">
      <c r="A11" s="5" t="inlineStr">
        <is>
          <t>dummy_single</t>
        </is>
      </c>
      <c r="B11" s="5" t="inlineStr">
        <is>
          <t>WB05-INV02</t>
        </is>
      </c>
      <c r="C11" s="5" t="inlineStr">
        <is>
          <t>WB05</t>
        </is>
      </c>
      <c r="D11" s="5" t="inlineStr">
        <is>
          <t>PV1</t>
        </is>
      </c>
      <c r="E11" s="5">
        <f>M2c_GroundFault!M6</f>
        <v/>
      </c>
      <c r="F11" s="5">
        <f>IF(M2c_GroundFault!K6="PV1",TRUE,FALSE)</f>
        <v/>
      </c>
      <c r="G11" s="18">
        <f>M2c_GroundFault!C6</f>
        <v/>
      </c>
      <c r="H11" s="18">
        <f>M2c_GroundFault!B6</f>
        <v/>
      </c>
      <c r="I11" s="17">
        <f>M2c_GroundFault!D6</f>
        <v/>
      </c>
      <c r="J11" s="5">
        <f>M2c_GroundFault!H6</f>
        <v/>
      </c>
      <c r="K11" s="27">
        <f>M2c_GroundFault!I6</f>
        <v/>
      </c>
      <c r="L11" s="31">
        <f>IFERROR(GF_StringMetrics!F11,"")</f>
        <v/>
      </c>
    </row>
    <row r="12">
      <c r="A12" s="5" t="inlineStr">
        <is>
          <t>dummy_single</t>
        </is>
      </c>
      <c r="B12" s="5" t="inlineStr">
        <is>
          <t>WB05-INV02</t>
        </is>
      </c>
      <c r="C12" s="5" t="inlineStr">
        <is>
          <t>WB05</t>
        </is>
      </c>
      <c r="D12" s="5" t="inlineStr">
        <is>
          <t>PV2</t>
        </is>
      </c>
      <c r="E12" s="5">
        <f>M2c_GroundFault!M6</f>
        <v/>
      </c>
      <c r="F12" s="5">
        <f>IF(M2c_GroundFault!K6="PV2",TRUE,FALSE)</f>
        <v/>
      </c>
      <c r="G12" s="18">
        <f>M2c_GroundFault!C6</f>
        <v/>
      </c>
      <c r="H12" s="18">
        <f>M2c_GroundFault!B6</f>
        <v/>
      </c>
      <c r="I12" s="17">
        <f>M2c_GroundFault!D6</f>
        <v/>
      </c>
      <c r="J12" s="5">
        <f>M2c_GroundFault!H6</f>
        <v/>
      </c>
      <c r="K12" s="27">
        <f>M2c_GroundFault!I6</f>
        <v/>
      </c>
      <c r="L12" s="31">
        <f>IFERROR(GF_StringMetrics!F12,"")</f>
        <v/>
      </c>
    </row>
    <row r="13">
      <c r="A13" s="5" t="inlineStr">
        <is>
          <t>dummy_single</t>
        </is>
      </c>
      <c r="B13" s="5" t="inlineStr">
        <is>
          <t>WB05-INV02</t>
        </is>
      </c>
      <c r="C13" s="5" t="inlineStr">
        <is>
          <t>WB05</t>
        </is>
      </c>
      <c r="D13" s="5" t="inlineStr">
        <is>
          <t>PV3</t>
        </is>
      </c>
      <c r="E13" s="5">
        <f>M2c_GroundFault!M6</f>
        <v/>
      </c>
      <c r="F13" s="5">
        <f>IF(M2c_GroundFault!K6="PV3",TRUE,FALSE)</f>
        <v/>
      </c>
      <c r="G13" s="18">
        <f>M2c_GroundFault!C6</f>
        <v/>
      </c>
      <c r="H13" s="18">
        <f>M2c_GroundFault!B6</f>
        <v/>
      </c>
      <c r="I13" s="17">
        <f>M2c_GroundFault!D6</f>
        <v/>
      </c>
      <c r="J13" s="5">
        <f>M2c_GroundFault!H6</f>
        <v/>
      </c>
      <c r="K13" s="27">
        <f>M2c_GroundFault!I6</f>
        <v/>
      </c>
      <c r="L13" s="31">
        <f>IFERROR(GF_StringMetrics!F13,"")</f>
        <v/>
      </c>
    </row>
    <row r="14">
      <c r="A14" s="5" t="inlineStr">
        <is>
          <t>dummy_single</t>
        </is>
      </c>
      <c r="B14" s="5" t="inlineStr">
        <is>
          <t>WB05-INV02</t>
        </is>
      </c>
      <c r="C14" s="5" t="inlineStr">
        <is>
          <t>WB05</t>
        </is>
      </c>
      <c r="D14" s="5" t="inlineStr">
        <is>
          <t>PV4</t>
        </is>
      </c>
      <c r="E14" s="5">
        <f>M2c_GroundFault!M6</f>
        <v/>
      </c>
      <c r="F14" s="5">
        <f>IF(M2c_GroundFault!K6="PV4",TRUE,FALSE)</f>
        <v/>
      </c>
      <c r="G14" s="18">
        <f>M2c_GroundFault!C6</f>
        <v/>
      </c>
      <c r="H14" s="18">
        <f>M2c_GroundFault!B6</f>
        <v/>
      </c>
      <c r="I14" s="17">
        <f>M2c_GroundFault!D6</f>
        <v/>
      </c>
      <c r="J14" s="5">
        <f>M2c_GroundFault!H6</f>
        <v/>
      </c>
      <c r="K14" s="27">
        <f>M2c_GroundFault!I6</f>
        <v/>
      </c>
      <c r="L14" s="31">
        <f>IFERROR(GF_StringMetrics!F14,"")</f>
        <v/>
      </c>
    </row>
    <row r="15">
      <c r="A15" s="5" t="inlineStr">
        <is>
          <t>dummy_single</t>
        </is>
      </c>
      <c r="B15" s="5" t="inlineStr">
        <is>
          <t>WB05-INV02</t>
        </is>
      </c>
      <c r="C15" s="5" t="inlineStr">
        <is>
          <t>WB05</t>
        </is>
      </c>
      <c r="D15" s="5" t="inlineStr">
        <is>
          <t>PV5</t>
        </is>
      </c>
      <c r="E15" s="5" t="inlineStr">
        <is>
          <t>EMPTY</t>
        </is>
      </c>
      <c r="F15" s="5">
        <f>IF(M2c_GroundFault!K6="PV5",TRUE,FALSE)</f>
        <v/>
      </c>
      <c r="G15" s="18">
        <f>M2c_GroundFault!C6</f>
        <v/>
      </c>
      <c r="H15" s="18">
        <f>M2c_GroundFault!B6</f>
        <v/>
      </c>
      <c r="I15" s="17">
        <f>M2c_GroundFault!D6</f>
        <v/>
      </c>
      <c r="J15" s="5">
        <f>M2c_GroundFault!H6</f>
        <v/>
      </c>
      <c r="K15" s="27">
        <f>M2c_GroundFault!I6</f>
        <v/>
      </c>
      <c r="L15" s="31">
        <f>IFERROR(GF_StringMetrics!F15,"")</f>
        <v/>
      </c>
    </row>
    <row r="16">
      <c r="A16" s="5" t="inlineStr">
        <is>
          <t>dummy_single</t>
        </is>
      </c>
      <c r="B16" s="5" t="inlineStr">
        <is>
          <t>WB05-INV02</t>
        </is>
      </c>
      <c r="C16" s="5" t="inlineStr">
        <is>
          <t>WB05</t>
        </is>
      </c>
      <c r="D16" s="5" t="inlineStr">
        <is>
          <t>PV6</t>
        </is>
      </c>
      <c r="E16" s="5">
        <f>M2c_GroundFault!M6</f>
        <v/>
      </c>
      <c r="F16" s="5">
        <f>IF(M2c_GroundFault!K6="PV6",TRUE,FALSE)</f>
        <v/>
      </c>
      <c r="G16" s="18">
        <f>M2c_GroundFault!C6</f>
        <v/>
      </c>
      <c r="H16" s="18">
        <f>M2c_GroundFault!B6</f>
        <v/>
      </c>
      <c r="I16" s="17">
        <f>M2c_GroundFault!D6</f>
        <v/>
      </c>
      <c r="J16" s="5">
        <f>M2c_GroundFault!H6</f>
        <v/>
      </c>
      <c r="K16" s="27">
        <f>M2c_GroundFault!I6</f>
        <v/>
      </c>
      <c r="L16" s="31">
        <f>IFERROR(GF_StringMetrics!F16,"")</f>
        <v/>
      </c>
    </row>
    <row r="17">
      <c r="A17" s="5" t="inlineStr">
        <is>
          <t>dummy_single</t>
        </is>
      </c>
      <c r="B17" s="5" t="inlineStr">
        <is>
          <t>WB05-INV03</t>
        </is>
      </c>
      <c r="C17" s="5" t="inlineStr">
        <is>
          <t>WB05</t>
        </is>
      </c>
      <c r="D17" s="5" t="inlineStr">
        <is>
          <t>PV1</t>
        </is>
      </c>
      <c r="E17" s="5">
        <f>M2c_GroundFault!M7</f>
        <v/>
      </c>
      <c r="F17" s="5">
        <f>IF(M2c_GroundFault!K7="PV1",TRUE,FALSE)</f>
        <v/>
      </c>
      <c r="G17" s="18">
        <f>M2c_GroundFault!C7</f>
        <v/>
      </c>
      <c r="H17" s="18">
        <f>M2c_GroundFault!B7</f>
        <v/>
      </c>
      <c r="I17" s="17">
        <f>M2c_GroundFault!D7</f>
        <v/>
      </c>
      <c r="J17" s="5">
        <f>M2c_GroundFault!H7</f>
        <v/>
      </c>
      <c r="K17" s="27">
        <f>M2c_GroundFault!I7</f>
        <v/>
      </c>
      <c r="L17" s="31">
        <f>IFERROR(GF_StringMetrics!F17,"")</f>
        <v/>
      </c>
    </row>
    <row r="18">
      <c r="A18" s="5" t="inlineStr">
        <is>
          <t>dummy_single</t>
        </is>
      </c>
      <c r="B18" s="5" t="inlineStr">
        <is>
          <t>WB05-INV03</t>
        </is>
      </c>
      <c r="C18" s="5" t="inlineStr">
        <is>
          <t>WB05</t>
        </is>
      </c>
      <c r="D18" s="5" t="inlineStr">
        <is>
          <t>PV2</t>
        </is>
      </c>
      <c r="E18" s="5">
        <f>M2c_GroundFault!M7</f>
        <v/>
      </c>
      <c r="F18" s="5">
        <f>IF(M2c_GroundFault!K7="PV2",TRUE,FALSE)</f>
        <v/>
      </c>
      <c r="G18" s="18">
        <f>M2c_GroundFault!C7</f>
        <v/>
      </c>
      <c r="H18" s="18">
        <f>M2c_GroundFault!B7</f>
        <v/>
      </c>
      <c r="I18" s="17">
        <f>M2c_GroundFault!D7</f>
        <v/>
      </c>
      <c r="J18" s="5">
        <f>M2c_GroundFault!H7</f>
        <v/>
      </c>
      <c r="K18" s="27">
        <f>M2c_GroundFault!I7</f>
        <v/>
      </c>
      <c r="L18" s="31">
        <f>IFERROR(GF_StringMetrics!F18,"")</f>
        <v/>
      </c>
    </row>
    <row r="19">
      <c r="A19" s="5" t="inlineStr">
        <is>
          <t>dummy_single</t>
        </is>
      </c>
      <c r="B19" s="5" t="inlineStr">
        <is>
          <t>WB05-INV03</t>
        </is>
      </c>
      <c r="C19" s="5" t="inlineStr">
        <is>
          <t>WB05</t>
        </is>
      </c>
      <c r="D19" s="5" t="inlineStr">
        <is>
          <t>PV3</t>
        </is>
      </c>
      <c r="E19" s="5">
        <f>M2c_GroundFault!M7</f>
        <v/>
      </c>
      <c r="F19" s="5">
        <f>IF(M2c_GroundFault!K7="PV3",TRUE,FALSE)</f>
        <v/>
      </c>
      <c r="G19" s="18">
        <f>M2c_GroundFault!C7</f>
        <v/>
      </c>
      <c r="H19" s="18">
        <f>M2c_GroundFault!B7</f>
        <v/>
      </c>
      <c r="I19" s="17">
        <f>M2c_GroundFault!D7</f>
        <v/>
      </c>
      <c r="J19" s="5">
        <f>M2c_GroundFault!H7</f>
        <v/>
      </c>
      <c r="K19" s="27">
        <f>M2c_GroundFault!I7</f>
        <v/>
      </c>
      <c r="L19" s="31">
        <f>IFERROR(GF_StringMetrics!F19,"")</f>
        <v/>
      </c>
    </row>
    <row r="20">
      <c r="A20" s="5" t="inlineStr">
        <is>
          <t>dummy_single</t>
        </is>
      </c>
      <c r="B20" s="5" t="inlineStr">
        <is>
          <t>WB05-INV03</t>
        </is>
      </c>
      <c r="C20" s="5" t="inlineStr">
        <is>
          <t>WB05</t>
        </is>
      </c>
      <c r="D20" s="5" t="inlineStr">
        <is>
          <t>PV4</t>
        </is>
      </c>
      <c r="E20" s="5">
        <f>M2c_GroundFault!M7</f>
        <v/>
      </c>
      <c r="F20" s="5">
        <f>IF(M2c_GroundFault!K7="PV4",TRUE,FALSE)</f>
        <v/>
      </c>
      <c r="G20" s="18">
        <f>M2c_GroundFault!C7</f>
        <v/>
      </c>
      <c r="H20" s="18">
        <f>M2c_GroundFault!B7</f>
        <v/>
      </c>
      <c r="I20" s="17">
        <f>M2c_GroundFault!D7</f>
        <v/>
      </c>
      <c r="J20" s="5">
        <f>M2c_GroundFault!H7</f>
        <v/>
      </c>
      <c r="K20" s="27">
        <f>M2c_GroundFault!I7</f>
        <v/>
      </c>
      <c r="L20" s="31">
        <f>IFERROR(GF_StringMetrics!F20,"")</f>
        <v/>
      </c>
    </row>
    <row r="21">
      <c r="A21" s="5" t="inlineStr">
        <is>
          <t>dummy_single</t>
        </is>
      </c>
      <c r="B21" s="5" t="inlineStr">
        <is>
          <t>WB05-INV03</t>
        </is>
      </c>
      <c r="C21" s="5" t="inlineStr">
        <is>
          <t>WB05</t>
        </is>
      </c>
      <c r="D21" s="5" t="inlineStr">
        <is>
          <t>PV5</t>
        </is>
      </c>
      <c r="E21" s="5">
        <f>M2c_GroundFault!M7</f>
        <v/>
      </c>
      <c r="F21" s="5">
        <f>IF(M2c_GroundFault!K7="PV5",TRUE,FALSE)</f>
        <v/>
      </c>
      <c r="G21" s="18">
        <f>M2c_GroundFault!C7</f>
        <v/>
      </c>
      <c r="H21" s="18">
        <f>M2c_GroundFault!B7</f>
        <v/>
      </c>
      <c r="I21" s="17">
        <f>M2c_GroundFault!D7</f>
        <v/>
      </c>
      <c r="J21" s="5">
        <f>M2c_GroundFault!H7</f>
        <v/>
      </c>
      <c r="K21" s="27">
        <f>M2c_GroundFault!I7</f>
        <v/>
      </c>
      <c r="L21" s="31">
        <f>IFERROR(GF_StringMetrics!F21,"")</f>
        <v/>
      </c>
    </row>
    <row r="22">
      <c r="A22" s="5" t="inlineStr">
        <is>
          <t>dummy_single</t>
        </is>
      </c>
      <c r="B22" s="5" t="inlineStr">
        <is>
          <t>WB05-INV03</t>
        </is>
      </c>
      <c r="C22" s="5" t="inlineStr">
        <is>
          <t>WB05</t>
        </is>
      </c>
      <c r="D22" s="5" t="inlineStr">
        <is>
          <t>PV6</t>
        </is>
      </c>
      <c r="E22" s="5">
        <f>M2c_GroundFault!M7</f>
        <v/>
      </c>
      <c r="F22" s="5">
        <f>IF(M2c_GroundFault!K7="PV6",TRUE,FALSE)</f>
        <v/>
      </c>
      <c r="G22" s="18">
        <f>M2c_GroundFault!C7</f>
        <v/>
      </c>
      <c r="H22" s="18">
        <f>M2c_GroundFault!B7</f>
        <v/>
      </c>
      <c r="I22" s="17">
        <f>M2c_GroundFault!D7</f>
        <v/>
      </c>
      <c r="J22" s="5">
        <f>M2c_GroundFault!H7</f>
        <v/>
      </c>
      <c r="K22" s="27">
        <f>M2c_GroundFault!I7</f>
        <v/>
      </c>
      <c r="L22" s="31">
        <f>IFERROR(GF_StringMetrics!F22,"")</f>
        <v/>
      </c>
    </row>
    <row r="23">
      <c r="A23" s="5" t="inlineStr">
        <is>
          <t>dummy_single</t>
        </is>
      </c>
      <c r="B23" s="5" t="inlineStr">
        <is>
          <t>WB05-INV04</t>
        </is>
      </c>
      <c r="C23" s="5" t="inlineStr">
        <is>
          <t>WB05</t>
        </is>
      </c>
      <c r="D23" s="5" t="inlineStr">
        <is>
          <t>PV1</t>
        </is>
      </c>
      <c r="E23" s="5">
        <f>M2c_GroundFault!M8</f>
        <v/>
      </c>
      <c r="F23" s="5">
        <f>IF(M2c_GroundFault!K8="PV1",TRUE,FALSE)</f>
        <v/>
      </c>
      <c r="G23" s="18">
        <f>M2c_GroundFault!C8</f>
        <v/>
      </c>
      <c r="H23" s="18">
        <f>M2c_GroundFault!B8</f>
        <v/>
      </c>
      <c r="I23" s="17">
        <f>M2c_GroundFault!D8</f>
        <v/>
      </c>
      <c r="J23" s="5">
        <f>M2c_GroundFault!H8</f>
        <v/>
      </c>
      <c r="K23" s="27">
        <f>M2c_GroundFault!I8</f>
        <v/>
      </c>
      <c r="L23" s="31">
        <f>IFERROR(GF_StringMetrics!F23,"")</f>
        <v/>
      </c>
    </row>
    <row r="24">
      <c r="A24" s="5" t="inlineStr">
        <is>
          <t>dummy_single</t>
        </is>
      </c>
      <c r="B24" s="5" t="inlineStr">
        <is>
          <t>WB05-INV04</t>
        </is>
      </c>
      <c r="C24" s="5" t="inlineStr">
        <is>
          <t>WB05</t>
        </is>
      </c>
      <c r="D24" s="5" t="inlineStr">
        <is>
          <t>PV2</t>
        </is>
      </c>
      <c r="E24" s="5">
        <f>M2c_GroundFault!M8</f>
        <v/>
      </c>
      <c r="F24" s="5">
        <f>IF(M2c_GroundFault!K8="PV2",TRUE,FALSE)</f>
        <v/>
      </c>
      <c r="G24" s="18">
        <f>M2c_GroundFault!C8</f>
        <v/>
      </c>
      <c r="H24" s="18">
        <f>M2c_GroundFault!B8</f>
        <v/>
      </c>
      <c r="I24" s="17">
        <f>M2c_GroundFault!D8</f>
        <v/>
      </c>
      <c r="J24" s="5">
        <f>M2c_GroundFault!H8</f>
        <v/>
      </c>
      <c r="K24" s="27">
        <f>M2c_GroundFault!I8</f>
        <v/>
      </c>
      <c r="L24" s="31">
        <f>IFERROR(GF_StringMetrics!F24,"")</f>
        <v/>
      </c>
    </row>
    <row r="25">
      <c r="A25" s="5" t="inlineStr">
        <is>
          <t>dummy_single</t>
        </is>
      </c>
      <c r="B25" s="5" t="inlineStr">
        <is>
          <t>WB05-INV04</t>
        </is>
      </c>
      <c r="C25" s="5" t="inlineStr">
        <is>
          <t>WB05</t>
        </is>
      </c>
      <c r="D25" s="5" t="inlineStr">
        <is>
          <t>PV3</t>
        </is>
      </c>
      <c r="E25" s="5">
        <f>M2c_GroundFault!M8</f>
        <v/>
      </c>
      <c r="F25" s="5">
        <f>IF(M2c_GroundFault!K8="PV3",TRUE,FALSE)</f>
        <v/>
      </c>
      <c r="G25" s="18">
        <f>M2c_GroundFault!C8</f>
        <v/>
      </c>
      <c r="H25" s="18">
        <f>M2c_GroundFault!B8</f>
        <v/>
      </c>
      <c r="I25" s="17">
        <f>M2c_GroundFault!D8</f>
        <v/>
      </c>
      <c r="J25" s="5">
        <f>M2c_GroundFault!H8</f>
        <v/>
      </c>
      <c r="K25" s="27">
        <f>M2c_GroundFault!I8</f>
        <v/>
      </c>
      <c r="L25" s="31">
        <f>IFERROR(GF_StringMetrics!F25,"")</f>
        <v/>
      </c>
    </row>
    <row r="26">
      <c r="A26" s="5" t="inlineStr">
        <is>
          <t>dummy_single</t>
        </is>
      </c>
      <c r="B26" s="5" t="inlineStr">
        <is>
          <t>WB05-INV04</t>
        </is>
      </c>
      <c r="C26" s="5" t="inlineStr">
        <is>
          <t>WB05</t>
        </is>
      </c>
      <c r="D26" s="5" t="inlineStr">
        <is>
          <t>PV4</t>
        </is>
      </c>
      <c r="E26" s="5">
        <f>M2c_GroundFault!M8</f>
        <v/>
      </c>
      <c r="F26" s="5">
        <f>IF(M2c_GroundFault!K8="PV4",TRUE,FALSE)</f>
        <v/>
      </c>
      <c r="G26" s="18">
        <f>M2c_GroundFault!C8</f>
        <v/>
      </c>
      <c r="H26" s="18">
        <f>M2c_GroundFault!B8</f>
        <v/>
      </c>
      <c r="I26" s="17">
        <f>M2c_GroundFault!D8</f>
        <v/>
      </c>
      <c r="J26" s="5">
        <f>M2c_GroundFault!H8</f>
        <v/>
      </c>
      <c r="K26" s="27">
        <f>M2c_GroundFault!I8</f>
        <v/>
      </c>
      <c r="L26" s="31">
        <f>IFERROR(GF_StringMetrics!F26,"")</f>
        <v/>
      </c>
    </row>
    <row r="27">
      <c r="A27" s="5" t="inlineStr">
        <is>
          <t>dummy_single</t>
        </is>
      </c>
      <c r="B27" s="5" t="inlineStr">
        <is>
          <t>WB05-INV04</t>
        </is>
      </c>
      <c r="C27" s="5" t="inlineStr">
        <is>
          <t>WB05</t>
        </is>
      </c>
      <c r="D27" s="5" t="inlineStr">
        <is>
          <t>PV5</t>
        </is>
      </c>
      <c r="E27" s="5">
        <f>M2c_GroundFault!M8</f>
        <v/>
      </c>
      <c r="F27" s="5">
        <f>IF(M2c_GroundFault!K8="PV5",TRUE,FALSE)</f>
        <v/>
      </c>
      <c r="G27" s="18">
        <f>M2c_GroundFault!C8</f>
        <v/>
      </c>
      <c r="H27" s="18">
        <f>M2c_GroundFault!B8</f>
        <v/>
      </c>
      <c r="I27" s="17">
        <f>M2c_GroundFault!D8</f>
        <v/>
      </c>
      <c r="J27" s="5">
        <f>M2c_GroundFault!H8</f>
        <v/>
      </c>
      <c r="K27" s="27">
        <f>M2c_GroundFault!I8</f>
        <v/>
      </c>
      <c r="L27" s="31">
        <f>IFERROR(GF_StringMetrics!F27,"")</f>
        <v/>
      </c>
    </row>
    <row r="28">
      <c r="A28" s="5" t="inlineStr">
        <is>
          <t>dummy_single</t>
        </is>
      </c>
      <c r="B28" s="5" t="inlineStr">
        <is>
          <t>WB05-INV04</t>
        </is>
      </c>
      <c r="C28" s="5" t="inlineStr">
        <is>
          <t>WB05</t>
        </is>
      </c>
      <c r="D28" s="5" t="inlineStr">
        <is>
          <t>PV6</t>
        </is>
      </c>
      <c r="E28" s="5">
        <f>M2c_GroundFault!M8</f>
        <v/>
      </c>
      <c r="F28" s="5">
        <f>IF(M2c_GroundFault!K8="PV6",TRUE,FALSE)</f>
        <v/>
      </c>
      <c r="G28" s="18">
        <f>M2c_GroundFault!C8</f>
        <v/>
      </c>
      <c r="H28" s="18">
        <f>M2c_GroundFault!B8</f>
        <v/>
      </c>
      <c r="I28" s="17">
        <f>M2c_GroundFault!D8</f>
        <v/>
      </c>
      <c r="J28" s="5">
        <f>M2c_GroundFault!H8</f>
        <v/>
      </c>
      <c r="K28" s="27">
        <f>M2c_GroundFault!I8</f>
        <v/>
      </c>
      <c r="L28" s="31">
        <f>IFERROR(GF_StringMetrics!F28,"")</f>
        <v/>
      </c>
    </row>
  </sheetData>
  <conditionalFormatting sqref="E5:E28">
    <cfRule type="cellIs" priority="1" operator="equal" dxfId="0">
      <formula>"ground_fault"</formula>
    </cfRule>
    <cfRule type="cellIs" priority="2" operator="equal" dxfId="4">
      <formula>"NORMAL"</formula>
    </cfRule>
    <cfRule type="cellIs" priority="3" operator="equal" dxfId="5">
      <formula>"EMPTY"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3" customWidth="1" min="2" max="2"/>
  </cols>
  <sheetData>
    <row r="1">
      <c r="A1" s="23" t="inlineStr">
        <is>
          <t>Raw_Data_IF — V/I per PV string (WB05-INV01, 14 ts daylight)</t>
        </is>
      </c>
    </row>
    <row r="2">
      <c r="A2" s="24" t="inlineStr">
        <is>
          <t>1 inverter, 6 PV string, 14 timestamp noon (POA=900). Sel anomali di-inject (di-highlight): PV3@12:25/12:30 arus drop, PV5@12:45 V drop, PV2@12:10 arus tinggi.</t>
        </is>
      </c>
    </row>
    <row r="3">
      <c r="A3" s="24" t="inlineStr">
        <is>
          <t>Detector iForest ASLI train per inverter di SEMUA daylight sample. Ganti dengan data Huawei aktual (paste over).</t>
        </is>
      </c>
    </row>
    <row r="4">
      <c r="A4" s="10" t="inlineStr">
        <is>
          <t>t</t>
        </is>
      </c>
      <c r="B4" s="10" t="inlineStr">
        <is>
          <t>Start Time</t>
        </is>
      </c>
      <c r="C4" s="10" t="inlineStr">
        <is>
          <t>POA</t>
        </is>
      </c>
      <c r="D4" s="10" t="inlineStr">
        <is>
          <t>PV1 V</t>
        </is>
      </c>
      <c r="E4" s="10" t="inlineStr">
        <is>
          <t>PV2 V</t>
        </is>
      </c>
      <c r="F4" s="10" t="inlineStr">
        <is>
          <t>PV3 V</t>
        </is>
      </c>
      <c r="G4" s="10" t="inlineStr">
        <is>
          <t>PV4 V</t>
        </is>
      </c>
      <c r="H4" s="10" t="inlineStr">
        <is>
          <t>PV5 V</t>
        </is>
      </c>
      <c r="I4" s="10" t="inlineStr">
        <is>
          <t>PV6 V</t>
        </is>
      </c>
      <c r="J4" s="10" t="inlineStr">
        <is>
          <t>PV1 I</t>
        </is>
      </c>
      <c r="K4" s="10" t="inlineStr">
        <is>
          <t>PV2 I</t>
        </is>
      </c>
      <c r="L4" s="10" t="inlineStr">
        <is>
          <t>PV3 I</t>
        </is>
      </c>
      <c r="M4" s="10" t="inlineStr">
        <is>
          <t>PV4 I</t>
        </is>
      </c>
      <c r="N4" s="10" t="inlineStr">
        <is>
          <t>PV5 I</t>
        </is>
      </c>
      <c r="O4" s="10" t="inlineStr">
        <is>
          <t>PV6 I</t>
        </is>
      </c>
    </row>
    <row r="5">
      <c r="A5" s="5" t="n">
        <v>0</v>
      </c>
      <c r="B5" s="40" t="n">
        <v>46156.5</v>
      </c>
      <c r="C5" s="5" t="n">
        <v>900</v>
      </c>
      <c r="D5" s="18" t="n">
        <v>1200.6</v>
      </c>
      <c r="E5" s="18" t="n">
        <v>1199.4</v>
      </c>
      <c r="F5" s="18" t="n">
        <v>1200.3</v>
      </c>
      <c r="G5" s="18" t="n">
        <v>1199.7</v>
      </c>
      <c r="H5" s="18" t="n">
        <v>1200.9</v>
      </c>
      <c r="I5" s="18" t="n">
        <v>1199.1</v>
      </c>
      <c r="J5" s="17" t="n">
        <v>10.08973386615901</v>
      </c>
      <c r="K5" s="17" t="n">
        <v>9.989733866159012</v>
      </c>
      <c r="L5" s="17" t="n">
        <v>10.06973386615901</v>
      </c>
      <c r="M5" s="17" t="n">
        <v>10.00973386615901</v>
      </c>
      <c r="N5" s="17" t="n">
        <v>10.10973386615901</v>
      </c>
      <c r="O5" s="17" t="n">
        <v>9.969733866159013</v>
      </c>
    </row>
    <row r="6">
      <c r="A6" s="5" t="n">
        <v>1</v>
      </c>
      <c r="B6" s="40" t="n">
        <v>46156.50347222222</v>
      </c>
      <c r="C6" s="5" t="n">
        <v>900</v>
      </c>
      <c r="D6" s="18" t="n">
        <v>1200.6</v>
      </c>
      <c r="E6" s="18" t="n">
        <v>1199.4</v>
      </c>
      <c r="F6" s="18" t="n">
        <v>1200.3</v>
      </c>
      <c r="G6" s="18" t="n">
        <v>1199.7</v>
      </c>
      <c r="H6" s="18" t="n">
        <v>1200.9</v>
      </c>
      <c r="I6" s="18" t="n">
        <v>1199.1</v>
      </c>
      <c r="J6" s="17" t="n">
        <v>10.12988540101605</v>
      </c>
      <c r="K6" s="17" t="n">
        <v>10.02988540101605</v>
      </c>
      <c r="L6" s="17" t="n">
        <v>10.10988540101605</v>
      </c>
      <c r="M6" s="17" t="n">
        <v>10.04988540101605</v>
      </c>
      <c r="N6" s="17" t="n">
        <v>10.14988540101605</v>
      </c>
      <c r="O6" s="17" t="n">
        <v>10.00988540101605</v>
      </c>
    </row>
    <row r="7">
      <c r="A7" s="5" t="n">
        <v>2</v>
      </c>
      <c r="B7" s="40" t="n">
        <v>46156.50694444445</v>
      </c>
      <c r="C7" s="5" t="n">
        <v>900</v>
      </c>
      <c r="D7" s="18" t="n">
        <v>1200.6</v>
      </c>
      <c r="E7" s="18" t="n">
        <v>1199.4</v>
      </c>
      <c r="F7" s="18" t="n">
        <v>1200.3</v>
      </c>
      <c r="G7" s="18" t="n">
        <v>1199.7</v>
      </c>
      <c r="H7" s="18" t="n">
        <v>1200.9</v>
      </c>
      <c r="I7" s="18" t="n">
        <v>1199.1</v>
      </c>
      <c r="J7" s="17" t="n">
        <v>10.16649715516797</v>
      </c>
      <c r="K7" s="25" t="n">
        <v>12.6</v>
      </c>
      <c r="L7" s="17" t="n">
        <v>10.14649715516797</v>
      </c>
      <c r="M7" s="17" t="n">
        <v>10.08649715516797</v>
      </c>
      <c r="N7" s="17" t="n">
        <v>10.18649715516797</v>
      </c>
      <c r="O7" s="17" t="n">
        <v>10.04649715516797</v>
      </c>
    </row>
    <row r="8">
      <c r="A8" s="5" t="n">
        <v>3</v>
      </c>
      <c r="B8" s="40" t="n">
        <v>46156.51041666666</v>
      </c>
      <c r="C8" s="5" t="n">
        <v>900</v>
      </c>
      <c r="D8" s="18" t="n">
        <v>1200.6</v>
      </c>
      <c r="E8" s="18" t="n">
        <v>1199.4</v>
      </c>
      <c r="F8" s="18" t="n">
        <v>1200.3</v>
      </c>
      <c r="G8" s="18" t="n">
        <v>1199.7</v>
      </c>
      <c r="H8" s="18" t="n">
        <v>1200.9</v>
      </c>
      <c r="I8" s="18" t="n">
        <v>1199.1</v>
      </c>
      <c r="J8" s="17" t="n">
        <v>10.19794683493809</v>
      </c>
      <c r="K8" s="17" t="n">
        <v>10.09794683493809</v>
      </c>
      <c r="L8" s="17" t="n">
        <v>10.17794683493809</v>
      </c>
      <c r="M8" s="17" t="n">
        <v>10.11794683493809</v>
      </c>
      <c r="N8" s="17" t="n">
        <v>10.21794683493809</v>
      </c>
      <c r="O8" s="17" t="n">
        <v>10.07794683493809</v>
      </c>
    </row>
    <row r="9">
      <c r="A9" s="5" t="n">
        <v>4</v>
      </c>
      <c r="B9" s="40" t="n">
        <v>46156.51388888889</v>
      </c>
      <c r="C9" s="5" t="n">
        <v>900</v>
      </c>
      <c r="D9" s="18" t="n">
        <v>1200.6</v>
      </c>
      <c r="E9" s="18" t="n">
        <v>1199.4</v>
      </c>
      <c r="F9" s="18" t="n">
        <v>1200.3</v>
      </c>
      <c r="G9" s="18" t="n">
        <v>1199.7</v>
      </c>
      <c r="H9" s="18" t="n">
        <v>1200.9</v>
      </c>
      <c r="I9" s="18" t="n">
        <v>1199.1</v>
      </c>
      <c r="J9" s="17" t="n">
        <v>10.22284088195135</v>
      </c>
      <c r="K9" s="17" t="n">
        <v>10.12284088195135</v>
      </c>
      <c r="L9" s="17" t="n">
        <v>10.20284088195135</v>
      </c>
      <c r="M9" s="17" t="n">
        <v>10.14284088195135</v>
      </c>
      <c r="N9" s="17" t="n">
        <v>10.24284088195135</v>
      </c>
      <c r="O9" s="17" t="n">
        <v>10.10284088195135</v>
      </c>
    </row>
    <row r="10">
      <c r="A10" s="5" t="n">
        <v>5</v>
      </c>
      <c r="B10" s="40" t="n">
        <v>46156.51736111111</v>
      </c>
      <c r="C10" s="5" t="n">
        <v>900</v>
      </c>
      <c r="D10" s="18" t="n">
        <v>1200.6</v>
      </c>
      <c r="E10" s="18" t="n">
        <v>1199.4</v>
      </c>
      <c r="F10" s="18" t="n">
        <v>1200.3</v>
      </c>
      <c r="G10" s="18" t="n">
        <v>1199.7</v>
      </c>
      <c r="H10" s="18" t="n">
        <v>1200.9</v>
      </c>
      <c r="I10" s="18" t="n">
        <v>1199.1</v>
      </c>
      <c r="J10" s="17" t="n">
        <v>10.24007622272786</v>
      </c>
      <c r="K10" s="17" t="n">
        <v>10.14007622272786</v>
      </c>
      <c r="L10" s="25" t="n">
        <v>3</v>
      </c>
      <c r="M10" s="17" t="n">
        <v>10.16007622272786</v>
      </c>
      <c r="N10" s="17" t="n">
        <v>10.26007622272786</v>
      </c>
      <c r="O10" s="17" t="n">
        <v>10.12007622272786</v>
      </c>
    </row>
    <row r="11">
      <c r="A11" s="5" t="n">
        <v>6</v>
      </c>
      <c r="B11" s="40" t="n">
        <v>46156.52083333334</v>
      </c>
      <c r="C11" s="5" t="n">
        <v>900</v>
      </c>
      <c r="D11" s="18" t="n">
        <v>1200.6</v>
      </c>
      <c r="E11" s="18" t="n">
        <v>1199.4</v>
      </c>
      <c r="F11" s="18" t="n">
        <v>1200.3</v>
      </c>
      <c r="G11" s="18" t="n">
        <v>1199.7</v>
      </c>
      <c r="H11" s="18" t="n">
        <v>1200.9</v>
      </c>
      <c r="I11" s="18" t="n">
        <v>1199.1</v>
      </c>
      <c r="J11" s="17" t="n">
        <v>10.24888914667782</v>
      </c>
      <c r="K11" s="17" t="n">
        <v>10.14888914667782</v>
      </c>
      <c r="L11" s="25" t="n">
        <v>4</v>
      </c>
      <c r="M11" s="17" t="n">
        <v>10.16888914667782</v>
      </c>
      <c r="N11" s="17" t="n">
        <v>10.26888914667782</v>
      </c>
      <c r="O11" s="17" t="n">
        <v>10.12888914667782</v>
      </c>
    </row>
    <row r="12">
      <c r="A12" s="5" t="n">
        <v>7</v>
      </c>
      <c r="B12" s="40" t="n">
        <v>46156.52430555555</v>
      </c>
      <c r="C12" s="5" t="n">
        <v>900</v>
      </c>
      <c r="D12" s="18" t="n">
        <v>1200.6</v>
      </c>
      <c r="E12" s="18" t="n">
        <v>1199.4</v>
      </c>
      <c r="F12" s="18" t="n">
        <v>1200.3</v>
      </c>
      <c r="G12" s="18" t="n">
        <v>1199.7</v>
      </c>
      <c r="H12" s="18" t="n">
        <v>1200.9</v>
      </c>
      <c r="I12" s="18" t="n">
        <v>1199.1</v>
      </c>
      <c r="J12" s="17" t="n">
        <v>10.24888914667782</v>
      </c>
      <c r="K12" s="17" t="n">
        <v>10.14888914667782</v>
      </c>
      <c r="L12" s="17" t="n">
        <v>10.22888914667782</v>
      </c>
      <c r="M12" s="17" t="n">
        <v>10.16888914667782</v>
      </c>
      <c r="N12" s="17" t="n">
        <v>10.26888914667782</v>
      </c>
      <c r="O12" s="17" t="n">
        <v>10.12888914667782</v>
      </c>
    </row>
    <row r="13">
      <c r="A13" s="5" t="n">
        <v>8</v>
      </c>
      <c r="B13" s="40" t="n">
        <v>46156.52777777778</v>
      </c>
      <c r="C13" s="5" t="n">
        <v>900</v>
      </c>
      <c r="D13" s="18" t="n">
        <v>1200.6</v>
      </c>
      <c r="E13" s="18" t="n">
        <v>1199.4</v>
      </c>
      <c r="F13" s="18" t="n">
        <v>1200.3</v>
      </c>
      <c r="G13" s="18" t="n">
        <v>1199.7</v>
      </c>
      <c r="H13" s="18" t="n">
        <v>1200.9</v>
      </c>
      <c r="I13" s="18" t="n">
        <v>1199.1</v>
      </c>
      <c r="J13" s="17" t="n">
        <v>10.24007622272786</v>
      </c>
      <c r="K13" s="17" t="n">
        <v>10.14007622272786</v>
      </c>
      <c r="L13" s="17" t="n">
        <v>10.22007622272786</v>
      </c>
      <c r="M13" s="17" t="n">
        <v>10.16007622272786</v>
      </c>
      <c r="N13" s="17" t="n">
        <v>10.26007622272786</v>
      </c>
      <c r="O13" s="17" t="n">
        <v>10.12007622272786</v>
      </c>
    </row>
    <row r="14">
      <c r="A14" s="5" t="n">
        <v>9</v>
      </c>
      <c r="B14" s="40" t="n">
        <v>46156.53125</v>
      </c>
      <c r="C14" s="5" t="n">
        <v>900</v>
      </c>
      <c r="D14" s="18" t="n">
        <v>1200.6</v>
      </c>
      <c r="E14" s="18" t="n">
        <v>1199.4</v>
      </c>
      <c r="F14" s="18" t="n">
        <v>1200.3</v>
      </c>
      <c r="G14" s="18" t="n">
        <v>1199.7</v>
      </c>
      <c r="H14" s="35" t="n">
        <v>1100</v>
      </c>
      <c r="I14" s="18" t="n">
        <v>1199.1</v>
      </c>
      <c r="J14" s="17" t="n">
        <v>10.22284088195135</v>
      </c>
      <c r="K14" s="17" t="n">
        <v>10.12284088195135</v>
      </c>
      <c r="L14" s="17" t="n">
        <v>10.20284088195135</v>
      </c>
      <c r="M14" s="17" t="n">
        <v>10.14284088195135</v>
      </c>
      <c r="N14" s="17" t="n">
        <v>10.24284088195135</v>
      </c>
      <c r="O14" s="17" t="n">
        <v>10.10284088195135</v>
      </c>
    </row>
    <row r="15">
      <c r="A15" s="5" t="n">
        <v>10</v>
      </c>
      <c r="B15" s="40" t="n">
        <v>46156.53472222222</v>
      </c>
      <c r="C15" s="5" t="n">
        <v>900</v>
      </c>
      <c r="D15" s="18" t="n">
        <v>1200.6</v>
      </c>
      <c r="E15" s="18" t="n">
        <v>1199.4</v>
      </c>
      <c r="F15" s="18" t="n">
        <v>1200.3</v>
      </c>
      <c r="G15" s="18" t="n">
        <v>1199.7</v>
      </c>
      <c r="H15" s="18" t="n">
        <v>1200.9</v>
      </c>
      <c r="I15" s="18" t="n">
        <v>1199.1</v>
      </c>
      <c r="J15" s="17" t="n">
        <v>10.19794683493809</v>
      </c>
      <c r="K15" s="17" t="n">
        <v>10.09794683493809</v>
      </c>
      <c r="L15" s="17" t="n">
        <v>10.17794683493809</v>
      </c>
      <c r="M15" s="17" t="n">
        <v>10.11794683493809</v>
      </c>
      <c r="N15" s="17" t="n">
        <v>10.21794683493809</v>
      </c>
      <c r="O15" s="17" t="n">
        <v>10.07794683493809</v>
      </c>
    </row>
    <row r="16">
      <c r="A16" s="5" t="n">
        <v>11</v>
      </c>
      <c r="B16" s="40" t="n">
        <v>46156.53819444445</v>
      </c>
      <c r="C16" s="5" t="n">
        <v>900</v>
      </c>
      <c r="D16" s="18" t="n">
        <v>1200.6</v>
      </c>
      <c r="E16" s="18" t="n">
        <v>1199.4</v>
      </c>
      <c r="F16" s="18" t="n">
        <v>1200.3</v>
      </c>
      <c r="G16" s="18" t="n">
        <v>1199.7</v>
      </c>
      <c r="H16" s="18" t="n">
        <v>1200.9</v>
      </c>
      <c r="I16" s="18" t="n">
        <v>1199.1</v>
      </c>
      <c r="J16" s="17" t="n">
        <v>10.16649715516797</v>
      </c>
      <c r="K16" s="17" t="n">
        <v>10.06649715516797</v>
      </c>
      <c r="L16" s="17" t="n">
        <v>10.14649715516797</v>
      </c>
      <c r="M16" s="17" t="n">
        <v>10.08649715516797</v>
      </c>
      <c r="N16" s="17" t="n">
        <v>10.18649715516797</v>
      </c>
      <c r="O16" s="17" t="n">
        <v>10.04649715516797</v>
      </c>
    </row>
    <row r="17">
      <c r="A17" s="5" t="n">
        <v>12</v>
      </c>
      <c r="B17" s="40" t="n">
        <v>46156.54166666666</v>
      </c>
      <c r="C17" s="5" t="n">
        <v>900</v>
      </c>
      <c r="D17" s="18" t="n">
        <v>1200.6</v>
      </c>
      <c r="E17" s="18" t="n">
        <v>1199.4</v>
      </c>
      <c r="F17" s="18" t="n">
        <v>1200.3</v>
      </c>
      <c r="G17" s="18" t="n">
        <v>1199.7</v>
      </c>
      <c r="H17" s="18" t="n">
        <v>1200.9</v>
      </c>
      <c r="I17" s="18" t="n">
        <v>1199.1</v>
      </c>
      <c r="J17" s="17" t="n">
        <v>10.12988540101605</v>
      </c>
      <c r="K17" s="17" t="n">
        <v>10.02988540101605</v>
      </c>
      <c r="L17" s="17" t="n">
        <v>10.10988540101605</v>
      </c>
      <c r="M17" s="17" t="n">
        <v>10.04988540101605</v>
      </c>
      <c r="N17" s="17" t="n">
        <v>10.14988540101605</v>
      </c>
      <c r="O17" s="17" t="n">
        <v>10.00988540101605</v>
      </c>
    </row>
    <row r="18">
      <c r="A18" s="5" t="n">
        <v>13</v>
      </c>
      <c r="B18" s="40" t="n">
        <v>46156.54513888889</v>
      </c>
      <c r="C18" s="5" t="n">
        <v>900</v>
      </c>
      <c r="D18" s="18" t="n">
        <v>1200.6</v>
      </c>
      <c r="E18" s="18" t="n">
        <v>1199.4</v>
      </c>
      <c r="F18" s="18" t="n">
        <v>1200.3</v>
      </c>
      <c r="G18" s="18" t="n">
        <v>1199.7</v>
      </c>
      <c r="H18" s="18" t="n">
        <v>1200.9</v>
      </c>
      <c r="I18" s="18" t="n">
        <v>1199.1</v>
      </c>
      <c r="J18" s="17" t="n">
        <v>10.08973386615901</v>
      </c>
      <c r="K18" s="17" t="n">
        <v>9.989733866159012</v>
      </c>
      <c r="L18" s="17" t="n">
        <v>10.06973386615901</v>
      </c>
      <c r="M18" s="17" t="n">
        <v>10.00973386615901</v>
      </c>
      <c r="N18" s="17" t="n">
        <v>10.10973386615901</v>
      </c>
      <c r="O18" s="17" t="n">
        <v>9.969733866159013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88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Features_IF — fitur build_feature_matrix + robust-z (MAD)</t>
        </is>
      </c>
    </row>
    <row r="2">
      <c r="A2" s="24" t="inlineStr">
        <is>
          <t>Fitur IDENTIK detector: V, I, V_dev=V−MEDIAN(siblings@ts), I_dev=I−MEDIAN(siblings@ts), R=V/MAX(I,floor). 84 sampel = 6 PV × 14 ts.</t>
        </is>
      </c>
    </row>
    <row r="3">
      <c r="A3" s="24" t="inlineStr">
        <is>
          <t>Skor A = MAX robust-z lintas 5 fitur, z=|x−median|/(1.4826·MAD) per fitur (stats kolom U-X). CATATAN: A ≈ proxy MAD, BUKAN skor IsolationForest asli (path-length 100 pohon).</t>
        </is>
      </c>
    </row>
    <row r="4">
      <c r="A4" s="10" t="inlineStr">
        <is>
          <t>pv</t>
        </is>
      </c>
      <c r="B4" s="10" t="inlineStr">
        <is>
          <t>t</t>
        </is>
      </c>
      <c r="C4" s="10" t="inlineStr">
        <is>
          <t>Start Time</t>
        </is>
      </c>
      <c r="D4" s="10" t="inlineStr">
        <is>
          <t>V</t>
        </is>
      </c>
      <c r="E4" s="10" t="inlineStr">
        <is>
          <t>I</t>
        </is>
      </c>
      <c r="F4" s="10" t="inlineStr">
        <is>
          <t>V_dev</t>
        </is>
      </c>
      <c r="G4" s="10" t="inlineStr">
        <is>
          <t>I_dev</t>
        </is>
      </c>
      <c r="H4" s="10" t="inlineStr">
        <is>
          <t>R</t>
        </is>
      </c>
      <c r="I4" s="10" t="inlineStr">
        <is>
          <t>absdev_V</t>
        </is>
      </c>
      <c r="J4" s="10" t="inlineStr">
        <is>
          <t>absdev_I</t>
        </is>
      </c>
      <c r="K4" s="10" t="inlineStr">
        <is>
          <t>absdev_Vdev</t>
        </is>
      </c>
      <c r="L4" s="10" t="inlineStr">
        <is>
          <t>absdev_Idev</t>
        </is>
      </c>
      <c r="M4" s="10" t="inlineStr">
        <is>
          <t>absdev_R</t>
        </is>
      </c>
      <c r="N4" s="10" t="inlineStr">
        <is>
          <t>z_V</t>
        </is>
      </c>
      <c r="O4" s="10" t="inlineStr">
        <is>
          <t>z_I</t>
        </is>
      </c>
      <c r="P4" s="10" t="inlineStr">
        <is>
          <t>z_Vdev</t>
        </is>
      </c>
      <c r="Q4" s="10" t="inlineStr">
        <is>
          <t>z_Idev</t>
        </is>
      </c>
      <c r="R4" s="10" t="inlineStr">
        <is>
          <t>z_R</t>
        </is>
      </c>
      <c r="S4" s="10" t="inlineStr">
        <is>
          <t>A (max z)</t>
        </is>
      </c>
      <c r="U4" s="8" t="inlineStr">
        <is>
          <t>feature</t>
        </is>
      </c>
      <c r="V4" s="8" t="inlineStr">
        <is>
          <t>median</t>
        </is>
      </c>
      <c r="W4" s="8" t="inlineStr">
        <is>
          <t>MAD</t>
        </is>
      </c>
      <c r="X4" s="8" t="inlineStr">
        <is>
          <t>scale=1.4826·MAD</t>
        </is>
      </c>
    </row>
    <row r="5">
      <c r="A5" s="5" t="n">
        <v>1</v>
      </c>
      <c r="B5" s="5" t="n">
        <v>0</v>
      </c>
      <c r="C5" s="40">
        <f>Raw_Data_IF!B5</f>
        <v/>
      </c>
      <c r="D5" s="18">
        <f>Raw_Data_IF!D5</f>
        <v/>
      </c>
      <c r="E5" s="17">
        <f>Raw_Data_IF!J5</f>
        <v/>
      </c>
      <c r="F5" s="17">
        <f>Raw_Data_IF!D5-MEDIAN(Raw_Data_IF!D5:I5)</f>
        <v/>
      </c>
      <c r="G5" s="17">
        <f>Raw_Data_IF!J5-MEDIAN(Raw_Data_IF!J5:O5)</f>
        <v/>
      </c>
      <c r="H5" s="15">
        <f>Raw_Data_IF!D5/MAX(Raw_Data_IF!J5,cfg_if_i_floor)</f>
        <v/>
      </c>
      <c r="I5" s="17">
        <f>ABS(D5-$V$5)</f>
        <v/>
      </c>
      <c r="J5" s="17">
        <f>ABS(E5-$V$6)</f>
        <v/>
      </c>
      <c r="K5" s="17">
        <f>ABS(F5-$V$7)</f>
        <v/>
      </c>
      <c r="L5" s="17">
        <f>ABS(G5-$V$8)</f>
        <v/>
      </c>
      <c r="M5" s="17">
        <f>ABS(H5-$V$9)</f>
        <v/>
      </c>
      <c r="N5" s="17">
        <f>I5/$X$5</f>
        <v/>
      </c>
      <c r="O5" s="17">
        <f>J5/$X$6</f>
        <v/>
      </c>
      <c r="P5" s="17">
        <f>K5/$X$7</f>
        <v/>
      </c>
      <c r="Q5" s="17">
        <f>L5/$X$8</f>
        <v/>
      </c>
      <c r="R5" s="17">
        <f>M5/$X$9</f>
        <v/>
      </c>
      <c r="S5" s="17">
        <f>MAX(N5:R5)</f>
        <v/>
      </c>
      <c r="U5" s="5" t="inlineStr">
        <is>
          <t>V</t>
        </is>
      </c>
      <c r="V5" s="31">
        <f>MEDIAN(D5:D88)</f>
        <v/>
      </c>
      <c r="W5" s="31">
        <f>MEDIAN(I5:I88)</f>
        <v/>
      </c>
      <c r="X5" s="37">
        <f>MAX(cfg_if_mad_scale*W5,0.000000001)</f>
        <v/>
      </c>
    </row>
    <row r="6">
      <c r="A6" s="5" t="n">
        <v>2</v>
      </c>
      <c r="B6" s="5" t="n">
        <v>0</v>
      </c>
      <c r="C6" s="40">
        <f>Raw_Data_IF!B5</f>
        <v/>
      </c>
      <c r="D6" s="18">
        <f>Raw_Data_IF!E5</f>
        <v/>
      </c>
      <c r="E6" s="17">
        <f>Raw_Data_IF!K5</f>
        <v/>
      </c>
      <c r="F6" s="17">
        <f>Raw_Data_IF!E5-MEDIAN(Raw_Data_IF!D5:I5)</f>
        <v/>
      </c>
      <c r="G6" s="17">
        <f>Raw_Data_IF!K5-MEDIAN(Raw_Data_IF!J5:O5)</f>
        <v/>
      </c>
      <c r="H6" s="15">
        <f>Raw_Data_IF!E5/MAX(Raw_Data_IF!K5,cfg_if_i_floor)</f>
        <v/>
      </c>
      <c r="I6" s="17">
        <f>ABS(D6-$V$5)</f>
        <v/>
      </c>
      <c r="J6" s="17">
        <f>ABS(E6-$V$6)</f>
        <v/>
      </c>
      <c r="K6" s="17">
        <f>ABS(F6-$V$7)</f>
        <v/>
      </c>
      <c r="L6" s="17">
        <f>ABS(G6-$V$8)</f>
        <v/>
      </c>
      <c r="M6" s="17">
        <f>ABS(H6-$V$9)</f>
        <v/>
      </c>
      <c r="N6" s="17">
        <f>I6/$X$5</f>
        <v/>
      </c>
      <c r="O6" s="17">
        <f>J6/$X$6</f>
        <v/>
      </c>
      <c r="P6" s="17">
        <f>K6/$X$7</f>
        <v/>
      </c>
      <c r="Q6" s="17">
        <f>L6/$X$8</f>
        <v/>
      </c>
      <c r="R6" s="17">
        <f>M6/$X$9</f>
        <v/>
      </c>
      <c r="S6" s="17">
        <f>MAX(N6:R6)</f>
        <v/>
      </c>
      <c r="U6" s="5" t="inlineStr">
        <is>
          <t>I</t>
        </is>
      </c>
      <c r="V6" s="31">
        <f>MEDIAN(E5:E88)</f>
        <v/>
      </c>
      <c r="W6" s="31">
        <f>MEDIAN(J5:J88)</f>
        <v/>
      </c>
      <c r="X6" s="37">
        <f>MAX(cfg_if_mad_scale*W6,0.000000001)</f>
        <v/>
      </c>
    </row>
    <row r="7">
      <c r="A7" s="5" t="n">
        <v>3</v>
      </c>
      <c r="B7" s="5" t="n">
        <v>0</v>
      </c>
      <c r="C7" s="40">
        <f>Raw_Data_IF!B5</f>
        <v/>
      </c>
      <c r="D7" s="18">
        <f>Raw_Data_IF!F5</f>
        <v/>
      </c>
      <c r="E7" s="17">
        <f>Raw_Data_IF!L5</f>
        <v/>
      </c>
      <c r="F7" s="17">
        <f>Raw_Data_IF!F5-MEDIAN(Raw_Data_IF!D5:I5)</f>
        <v/>
      </c>
      <c r="G7" s="17">
        <f>Raw_Data_IF!L5-MEDIAN(Raw_Data_IF!J5:O5)</f>
        <v/>
      </c>
      <c r="H7" s="15">
        <f>Raw_Data_IF!F5/MAX(Raw_Data_IF!L5,cfg_if_i_floor)</f>
        <v/>
      </c>
      <c r="I7" s="17">
        <f>ABS(D7-$V$5)</f>
        <v/>
      </c>
      <c r="J7" s="17">
        <f>ABS(E7-$V$6)</f>
        <v/>
      </c>
      <c r="K7" s="17">
        <f>ABS(F7-$V$7)</f>
        <v/>
      </c>
      <c r="L7" s="17">
        <f>ABS(G7-$V$8)</f>
        <v/>
      </c>
      <c r="M7" s="17">
        <f>ABS(H7-$V$9)</f>
        <v/>
      </c>
      <c r="N7" s="17">
        <f>I7/$X$5</f>
        <v/>
      </c>
      <c r="O7" s="17">
        <f>J7/$X$6</f>
        <v/>
      </c>
      <c r="P7" s="17">
        <f>K7/$X$7</f>
        <v/>
      </c>
      <c r="Q7" s="17">
        <f>L7/$X$8</f>
        <v/>
      </c>
      <c r="R7" s="17">
        <f>M7/$X$9</f>
        <v/>
      </c>
      <c r="S7" s="17">
        <f>MAX(N7:R7)</f>
        <v/>
      </c>
      <c r="U7" s="5" t="inlineStr">
        <is>
          <t>V_dev</t>
        </is>
      </c>
      <c r="V7" s="31">
        <f>MEDIAN(F5:F88)</f>
        <v/>
      </c>
      <c r="W7" s="31">
        <f>MEDIAN(K5:K88)</f>
        <v/>
      </c>
      <c r="X7" s="37">
        <f>MAX(cfg_if_mad_scale*W7,0.000000001)</f>
        <v/>
      </c>
    </row>
    <row r="8">
      <c r="A8" s="5" t="n">
        <v>4</v>
      </c>
      <c r="B8" s="5" t="n">
        <v>0</v>
      </c>
      <c r="C8" s="40">
        <f>Raw_Data_IF!B5</f>
        <v/>
      </c>
      <c r="D8" s="18">
        <f>Raw_Data_IF!G5</f>
        <v/>
      </c>
      <c r="E8" s="17">
        <f>Raw_Data_IF!M5</f>
        <v/>
      </c>
      <c r="F8" s="17">
        <f>Raw_Data_IF!G5-MEDIAN(Raw_Data_IF!D5:I5)</f>
        <v/>
      </c>
      <c r="G8" s="17">
        <f>Raw_Data_IF!M5-MEDIAN(Raw_Data_IF!J5:O5)</f>
        <v/>
      </c>
      <c r="H8" s="15">
        <f>Raw_Data_IF!G5/MAX(Raw_Data_IF!M5,cfg_if_i_floor)</f>
        <v/>
      </c>
      <c r="I8" s="17">
        <f>ABS(D8-$V$5)</f>
        <v/>
      </c>
      <c r="J8" s="17">
        <f>ABS(E8-$V$6)</f>
        <v/>
      </c>
      <c r="K8" s="17">
        <f>ABS(F8-$V$7)</f>
        <v/>
      </c>
      <c r="L8" s="17">
        <f>ABS(G8-$V$8)</f>
        <v/>
      </c>
      <c r="M8" s="17">
        <f>ABS(H8-$V$9)</f>
        <v/>
      </c>
      <c r="N8" s="17">
        <f>I8/$X$5</f>
        <v/>
      </c>
      <c r="O8" s="17">
        <f>J8/$X$6</f>
        <v/>
      </c>
      <c r="P8" s="17">
        <f>K8/$X$7</f>
        <v/>
      </c>
      <c r="Q8" s="17">
        <f>L8/$X$8</f>
        <v/>
      </c>
      <c r="R8" s="17">
        <f>M8/$X$9</f>
        <v/>
      </c>
      <c r="S8" s="17">
        <f>MAX(N8:R8)</f>
        <v/>
      </c>
      <c r="U8" s="5" t="inlineStr">
        <is>
          <t>I_dev</t>
        </is>
      </c>
      <c r="V8" s="31">
        <f>MEDIAN(G5:G88)</f>
        <v/>
      </c>
      <c r="W8" s="31">
        <f>MEDIAN(L5:L88)</f>
        <v/>
      </c>
      <c r="X8" s="37">
        <f>MAX(cfg_if_mad_scale*W8,0.000000001)</f>
        <v/>
      </c>
    </row>
    <row r="9">
      <c r="A9" s="5" t="n">
        <v>5</v>
      </c>
      <c r="B9" s="5" t="n">
        <v>0</v>
      </c>
      <c r="C9" s="40">
        <f>Raw_Data_IF!B5</f>
        <v/>
      </c>
      <c r="D9" s="18">
        <f>Raw_Data_IF!H5</f>
        <v/>
      </c>
      <c r="E9" s="17">
        <f>Raw_Data_IF!N5</f>
        <v/>
      </c>
      <c r="F9" s="17">
        <f>Raw_Data_IF!H5-MEDIAN(Raw_Data_IF!D5:I5)</f>
        <v/>
      </c>
      <c r="G9" s="17">
        <f>Raw_Data_IF!N5-MEDIAN(Raw_Data_IF!J5:O5)</f>
        <v/>
      </c>
      <c r="H9" s="15">
        <f>Raw_Data_IF!H5/MAX(Raw_Data_IF!N5,cfg_if_i_floor)</f>
        <v/>
      </c>
      <c r="I9" s="17">
        <f>ABS(D9-$V$5)</f>
        <v/>
      </c>
      <c r="J9" s="17">
        <f>ABS(E9-$V$6)</f>
        <v/>
      </c>
      <c r="K9" s="17">
        <f>ABS(F9-$V$7)</f>
        <v/>
      </c>
      <c r="L9" s="17">
        <f>ABS(G9-$V$8)</f>
        <v/>
      </c>
      <c r="M9" s="17">
        <f>ABS(H9-$V$9)</f>
        <v/>
      </c>
      <c r="N9" s="17">
        <f>I9/$X$5</f>
        <v/>
      </c>
      <c r="O9" s="17">
        <f>J9/$X$6</f>
        <v/>
      </c>
      <c r="P9" s="17">
        <f>K9/$X$7</f>
        <v/>
      </c>
      <c r="Q9" s="17">
        <f>L9/$X$8</f>
        <v/>
      </c>
      <c r="R9" s="17">
        <f>M9/$X$9</f>
        <v/>
      </c>
      <c r="S9" s="17">
        <f>MAX(N9:R9)</f>
        <v/>
      </c>
      <c r="U9" s="5" t="inlineStr">
        <is>
          <t>R</t>
        </is>
      </c>
      <c r="V9" s="31">
        <f>MEDIAN(H5:H88)</f>
        <v/>
      </c>
      <c r="W9" s="31">
        <f>MEDIAN(M5:M88)</f>
        <v/>
      </c>
      <c r="X9" s="37">
        <f>MAX(cfg_if_mad_scale*W9,0.000000001)</f>
        <v/>
      </c>
    </row>
    <row r="10">
      <c r="A10" s="5" t="n">
        <v>6</v>
      </c>
      <c r="B10" s="5" t="n">
        <v>0</v>
      </c>
      <c r="C10" s="40">
        <f>Raw_Data_IF!B5</f>
        <v/>
      </c>
      <c r="D10" s="18">
        <f>Raw_Data_IF!I5</f>
        <v/>
      </c>
      <c r="E10" s="17">
        <f>Raw_Data_IF!O5</f>
        <v/>
      </c>
      <c r="F10" s="17">
        <f>Raw_Data_IF!I5-MEDIAN(Raw_Data_IF!D5:I5)</f>
        <v/>
      </c>
      <c r="G10" s="17">
        <f>Raw_Data_IF!O5-MEDIAN(Raw_Data_IF!J5:O5)</f>
        <v/>
      </c>
      <c r="H10" s="15">
        <f>Raw_Data_IF!I5/MAX(Raw_Data_IF!O5,cfg_if_i_floor)</f>
        <v/>
      </c>
      <c r="I10" s="17">
        <f>ABS(D10-$V$5)</f>
        <v/>
      </c>
      <c r="J10" s="17">
        <f>ABS(E10-$V$6)</f>
        <v/>
      </c>
      <c r="K10" s="17">
        <f>ABS(F10-$V$7)</f>
        <v/>
      </c>
      <c r="L10" s="17">
        <f>ABS(G10-$V$8)</f>
        <v/>
      </c>
      <c r="M10" s="17">
        <f>ABS(H10-$V$9)</f>
        <v/>
      </c>
      <c r="N10" s="17">
        <f>I10/$X$5</f>
        <v/>
      </c>
      <c r="O10" s="17">
        <f>J10/$X$6</f>
        <v/>
      </c>
      <c r="P10" s="17">
        <f>K10/$X$7</f>
        <v/>
      </c>
      <c r="Q10" s="17">
        <f>L10/$X$8</f>
        <v/>
      </c>
      <c r="R10" s="17">
        <f>M10/$X$9</f>
        <v/>
      </c>
      <c r="S10" s="17">
        <f>MAX(N10:R10)</f>
        <v/>
      </c>
    </row>
    <row r="11">
      <c r="A11" s="5" t="n">
        <v>1</v>
      </c>
      <c r="B11" s="5" t="n">
        <v>1</v>
      </c>
      <c r="C11" s="40">
        <f>Raw_Data_IF!B6</f>
        <v/>
      </c>
      <c r="D11" s="18">
        <f>Raw_Data_IF!D6</f>
        <v/>
      </c>
      <c r="E11" s="17">
        <f>Raw_Data_IF!J6</f>
        <v/>
      </c>
      <c r="F11" s="17">
        <f>Raw_Data_IF!D6-MEDIAN(Raw_Data_IF!D6:I6)</f>
        <v/>
      </c>
      <c r="G11" s="17">
        <f>Raw_Data_IF!J6-MEDIAN(Raw_Data_IF!J6:O6)</f>
        <v/>
      </c>
      <c r="H11" s="15">
        <f>Raw_Data_IF!D6/MAX(Raw_Data_IF!J6,cfg_if_i_floor)</f>
        <v/>
      </c>
      <c r="I11" s="17">
        <f>ABS(D11-$V$5)</f>
        <v/>
      </c>
      <c r="J11" s="17">
        <f>ABS(E11-$V$6)</f>
        <v/>
      </c>
      <c r="K11" s="17">
        <f>ABS(F11-$V$7)</f>
        <v/>
      </c>
      <c r="L11" s="17">
        <f>ABS(G11-$V$8)</f>
        <v/>
      </c>
      <c r="M11" s="17">
        <f>ABS(H11-$V$9)</f>
        <v/>
      </c>
      <c r="N11" s="17">
        <f>I11/$X$5</f>
        <v/>
      </c>
      <c r="O11" s="17">
        <f>J11/$X$6</f>
        <v/>
      </c>
      <c r="P11" s="17">
        <f>K11/$X$7</f>
        <v/>
      </c>
      <c r="Q11" s="17">
        <f>L11/$X$8</f>
        <v/>
      </c>
      <c r="R11" s="17">
        <f>M11/$X$9</f>
        <v/>
      </c>
      <c r="S11" s="17">
        <f>MAX(N11:R11)</f>
        <v/>
      </c>
    </row>
    <row r="12">
      <c r="A12" s="5" t="n">
        <v>2</v>
      </c>
      <c r="B12" s="5" t="n">
        <v>1</v>
      </c>
      <c r="C12" s="40">
        <f>Raw_Data_IF!B6</f>
        <v/>
      </c>
      <c r="D12" s="18">
        <f>Raw_Data_IF!E6</f>
        <v/>
      </c>
      <c r="E12" s="17">
        <f>Raw_Data_IF!K6</f>
        <v/>
      </c>
      <c r="F12" s="17">
        <f>Raw_Data_IF!E6-MEDIAN(Raw_Data_IF!D6:I6)</f>
        <v/>
      </c>
      <c r="G12" s="17">
        <f>Raw_Data_IF!K6-MEDIAN(Raw_Data_IF!J6:O6)</f>
        <v/>
      </c>
      <c r="H12" s="15">
        <f>Raw_Data_IF!E6/MAX(Raw_Data_IF!K6,cfg_if_i_floor)</f>
        <v/>
      </c>
      <c r="I12" s="17">
        <f>ABS(D12-$V$5)</f>
        <v/>
      </c>
      <c r="J12" s="17">
        <f>ABS(E12-$V$6)</f>
        <v/>
      </c>
      <c r="K12" s="17">
        <f>ABS(F12-$V$7)</f>
        <v/>
      </c>
      <c r="L12" s="17">
        <f>ABS(G12-$V$8)</f>
        <v/>
      </c>
      <c r="M12" s="17">
        <f>ABS(H12-$V$9)</f>
        <v/>
      </c>
      <c r="N12" s="17">
        <f>I12/$X$5</f>
        <v/>
      </c>
      <c r="O12" s="17">
        <f>J12/$X$6</f>
        <v/>
      </c>
      <c r="P12" s="17">
        <f>K12/$X$7</f>
        <v/>
      </c>
      <c r="Q12" s="17">
        <f>L12/$X$8</f>
        <v/>
      </c>
      <c r="R12" s="17">
        <f>M12/$X$9</f>
        <v/>
      </c>
      <c r="S12" s="17">
        <f>MAX(N12:R12)</f>
        <v/>
      </c>
    </row>
    <row r="13">
      <c r="A13" s="5" t="n">
        <v>3</v>
      </c>
      <c r="B13" s="5" t="n">
        <v>1</v>
      </c>
      <c r="C13" s="40">
        <f>Raw_Data_IF!B6</f>
        <v/>
      </c>
      <c r="D13" s="18">
        <f>Raw_Data_IF!F6</f>
        <v/>
      </c>
      <c r="E13" s="17">
        <f>Raw_Data_IF!L6</f>
        <v/>
      </c>
      <c r="F13" s="17">
        <f>Raw_Data_IF!F6-MEDIAN(Raw_Data_IF!D6:I6)</f>
        <v/>
      </c>
      <c r="G13" s="17">
        <f>Raw_Data_IF!L6-MEDIAN(Raw_Data_IF!J6:O6)</f>
        <v/>
      </c>
      <c r="H13" s="15">
        <f>Raw_Data_IF!F6/MAX(Raw_Data_IF!L6,cfg_if_i_floor)</f>
        <v/>
      </c>
      <c r="I13" s="17">
        <f>ABS(D13-$V$5)</f>
        <v/>
      </c>
      <c r="J13" s="17">
        <f>ABS(E13-$V$6)</f>
        <v/>
      </c>
      <c r="K13" s="17">
        <f>ABS(F13-$V$7)</f>
        <v/>
      </c>
      <c r="L13" s="17">
        <f>ABS(G13-$V$8)</f>
        <v/>
      </c>
      <c r="M13" s="17">
        <f>ABS(H13-$V$9)</f>
        <v/>
      </c>
      <c r="N13" s="17">
        <f>I13/$X$5</f>
        <v/>
      </c>
      <c r="O13" s="17">
        <f>J13/$X$6</f>
        <v/>
      </c>
      <c r="P13" s="17">
        <f>K13/$X$7</f>
        <v/>
      </c>
      <c r="Q13" s="17">
        <f>L13/$X$8</f>
        <v/>
      </c>
      <c r="R13" s="17">
        <f>M13/$X$9</f>
        <v/>
      </c>
      <c r="S13" s="17">
        <f>MAX(N13:R13)</f>
        <v/>
      </c>
    </row>
    <row r="14">
      <c r="A14" s="5" t="n">
        <v>4</v>
      </c>
      <c r="B14" s="5" t="n">
        <v>1</v>
      </c>
      <c r="C14" s="40">
        <f>Raw_Data_IF!B6</f>
        <v/>
      </c>
      <c r="D14" s="18">
        <f>Raw_Data_IF!G6</f>
        <v/>
      </c>
      <c r="E14" s="17">
        <f>Raw_Data_IF!M6</f>
        <v/>
      </c>
      <c r="F14" s="17">
        <f>Raw_Data_IF!G6-MEDIAN(Raw_Data_IF!D6:I6)</f>
        <v/>
      </c>
      <c r="G14" s="17">
        <f>Raw_Data_IF!M6-MEDIAN(Raw_Data_IF!J6:O6)</f>
        <v/>
      </c>
      <c r="H14" s="15">
        <f>Raw_Data_IF!G6/MAX(Raw_Data_IF!M6,cfg_if_i_floor)</f>
        <v/>
      </c>
      <c r="I14" s="17">
        <f>ABS(D14-$V$5)</f>
        <v/>
      </c>
      <c r="J14" s="17">
        <f>ABS(E14-$V$6)</f>
        <v/>
      </c>
      <c r="K14" s="17">
        <f>ABS(F14-$V$7)</f>
        <v/>
      </c>
      <c r="L14" s="17">
        <f>ABS(G14-$V$8)</f>
        <v/>
      </c>
      <c r="M14" s="17">
        <f>ABS(H14-$V$9)</f>
        <v/>
      </c>
      <c r="N14" s="17">
        <f>I14/$X$5</f>
        <v/>
      </c>
      <c r="O14" s="17">
        <f>J14/$X$6</f>
        <v/>
      </c>
      <c r="P14" s="17">
        <f>K14/$X$7</f>
        <v/>
      </c>
      <c r="Q14" s="17">
        <f>L14/$X$8</f>
        <v/>
      </c>
      <c r="R14" s="17">
        <f>M14/$X$9</f>
        <v/>
      </c>
      <c r="S14" s="17">
        <f>MAX(N14:R14)</f>
        <v/>
      </c>
    </row>
    <row r="15">
      <c r="A15" s="5" t="n">
        <v>5</v>
      </c>
      <c r="B15" s="5" t="n">
        <v>1</v>
      </c>
      <c r="C15" s="40">
        <f>Raw_Data_IF!B6</f>
        <v/>
      </c>
      <c r="D15" s="18">
        <f>Raw_Data_IF!H6</f>
        <v/>
      </c>
      <c r="E15" s="17">
        <f>Raw_Data_IF!N6</f>
        <v/>
      </c>
      <c r="F15" s="17">
        <f>Raw_Data_IF!H6-MEDIAN(Raw_Data_IF!D6:I6)</f>
        <v/>
      </c>
      <c r="G15" s="17">
        <f>Raw_Data_IF!N6-MEDIAN(Raw_Data_IF!J6:O6)</f>
        <v/>
      </c>
      <c r="H15" s="15">
        <f>Raw_Data_IF!H6/MAX(Raw_Data_IF!N6,cfg_if_i_floor)</f>
        <v/>
      </c>
      <c r="I15" s="17">
        <f>ABS(D15-$V$5)</f>
        <v/>
      </c>
      <c r="J15" s="17">
        <f>ABS(E15-$V$6)</f>
        <v/>
      </c>
      <c r="K15" s="17">
        <f>ABS(F15-$V$7)</f>
        <v/>
      </c>
      <c r="L15" s="17">
        <f>ABS(G15-$V$8)</f>
        <v/>
      </c>
      <c r="M15" s="17">
        <f>ABS(H15-$V$9)</f>
        <v/>
      </c>
      <c r="N15" s="17">
        <f>I15/$X$5</f>
        <v/>
      </c>
      <c r="O15" s="17">
        <f>J15/$X$6</f>
        <v/>
      </c>
      <c r="P15" s="17">
        <f>K15/$X$7</f>
        <v/>
      </c>
      <c r="Q15" s="17">
        <f>L15/$X$8</f>
        <v/>
      </c>
      <c r="R15" s="17">
        <f>M15/$X$9</f>
        <v/>
      </c>
      <c r="S15" s="17">
        <f>MAX(N15:R15)</f>
        <v/>
      </c>
    </row>
    <row r="16">
      <c r="A16" s="5" t="n">
        <v>6</v>
      </c>
      <c r="B16" s="5" t="n">
        <v>1</v>
      </c>
      <c r="C16" s="40">
        <f>Raw_Data_IF!B6</f>
        <v/>
      </c>
      <c r="D16" s="18">
        <f>Raw_Data_IF!I6</f>
        <v/>
      </c>
      <c r="E16" s="17">
        <f>Raw_Data_IF!O6</f>
        <v/>
      </c>
      <c r="F16" s="17">
        <f>Raw_Data_IF!I6-MEDIAN(Raw_Data_IF!D6:I6)</f>
        <v/>
      </c>
      <c r="G16" s="17">
        <f>Raw_Data_IF!O6-MEDIAN(Raw_Data_IF!J6:O6)</f>
        <v/>
      </c>
      <c r="H16" s="15">
        <f>Raw_Data_IF!I6/MAX(Raw_Data_IF!O6,cfg_if_i_floor)</f>
        <v/>
      </c>
      <c r="I16" s="17">
        <f>ABS(D16-$V$5)</f>
        <v/>
      </c>
      <c r="J16" s="17">
        <f>ABS(E16-$V$6)</f>
        <v/>
      </c>
      <c r="K16" s="17">
        <f>ABS(F16-$V$7)</f>
        <v/>
      </c>
      <c r="L16" s="17">
        <f>ABS(G16-$V$8)</f>
        <v/>
      </c>
      <c r="M16" s="17">
        <f>ABS(H16-$V$9)</f>
        <v/>
      </c>
      <c r="N16" s="17">
        <f>I16/$X$5</f>
        <v/>
      </c>
      <c r="O16" s="17">
        <f>J16/$X$6</f>
        <v/>
      </c>
      <c r="P16" s="17">
        <f>K16/$X$7</f>
        <v/>
      </c>
      <c r="Q16" s="17">
        <f>L16/$X$8</f>
        <v/>
      </c>
      <c r="R16" s="17">
        <f>M16/$X$9</f>
        <v/>
      </c>
      <c r="S16" s="17">
        <f>MAX(N16:R16)</f>
        <v/>
      </c>
    </row>
    <row r="17">
      <c r="A17" s="5" t="n">
        <v>1</v>
      </c>
      <c r="B17" s="5" t="n">
        <v>2</v>
      </c>
      <c r="C17" s="40">
        <f>Raw_Data_IF!B7</f>
        <v/>
      </c>
      <c r="D17" s="18">
        <f>Raw_Data_IF!D7</f>
        <v/>
      </c>
      <c r="E17" s="17">
        <f>Raw_Data_IF!J7</f>
        <v/>
      </c>
      <c r="F17" s="17">
        <f>Raw_Data_IF!D7-MEDIAN(Raw_Data_IF!D7:I7)</f>
        <v/>
      </c>
      <c r="G17" s="17">
        <f>Raw_Data_IF!J7-MEDIAN(Raw_Data_IF!J7:O7)</f>
        <v/>
      </c>
      <c r="H17" s="15">
        <f>Raw_Data_IF!D7/MAX(Raw_Data_IF!J7,cfg_if_i_floor)</f>
        <v/>
      </c>
      <c r="I17" s="17">
        <f>ABS(D17-$V$5)</f>
        <v/>
      </c>
      <c r="J17" s="17">
        <f>ABS(E17-$V$6)</f>
        <v/>
      </c>
      <c r="K17" s="17">
        <f>ABS(F17-$V$7)</f>
        <v/>
      </c>
      <c r="L17" s="17">
        <f>ABS(G17-$V$8)</f>
        <v/>
      </c>
      <c r="M17" s="17">
        <f>ABS(H17-$V$9)</f>
        <v/>
      </c>
      <c r="N17" s="17">
        <f>I17/$X$5</f>
        <v/>
      </c>
      <c r="O17" s="17">
        <f>J17/$X$6</f>
        <v/>
      </c>
      <c r="P17" s="17">
        <f>K17/$X$7</f>
        <v/>
      </c>
      <c r="Q17" s="17">
        <f>L17/$X$8</f>
        <v/>
      </c>
      <c r="R17" s="17">
        <f>M17/$X$9</f>
        <v/>
      </c>
      <c r="S17" s="17">
        <f>MAX(N17:R17)</f>
        <v/>
      </c>
    </row>
    <row r="18">
      <c r="A18" s="5" t="n">
        <v>2</v>
      </c>
      <c r="B18" s="5" t="n">
        <v>2</v>
      </c>
      <c r="C18" s="40">
        <f>Raw_Data_IF!B7</f>
        <v/>
      </c>
      <c r="D18" s="18">
        <f>Raw_Data_IF!E7</f>
        <v/>
      </c>
      <c r="E18" s="17">
        <f>Raw_Data_IF!K7</f>
        <v/>
      </c>
      <c r="F18" s="17">
        <f>Raw_Data_IF!E7-MEDIAN(Raw_Data_IF!D7:I7)</f>
        <v/>
      </c>
      <c r="G18" s="17">
        <f>Raw_Data_IF!K7-MEDIAN(Raw_Data_IF!J7:O7)</f>
        <v/>
      </c>
      <c r="H18" s="15">
        <f>Raw_Data_IF!E7/MAX(Raw_Data_IF!K7,cfg_if_i_floor)</f>
        <v/>
      </c>
      <c r="I18" s="17">
        <f>ABS(D18-$V$5)</f>
        <v/>
      </c>
      <c r="J18" s="17">
        <f>ABS(E18-$V$6)</f>
        <v/>
      </c>
      <c r="K18" s="17">
        <f>ABS(F18-$V$7)</f>
        <v/>
      </c>
      <c r="L18" s="17">
        <f>ABS(G18-$V$8)</f>
        <v/>
      </c>
      <c r="M18" s="17">
        <f>ABS(H18-$V$9)</f>
        <v/>
      </c>
      <c r="N18" s="17">
        <f>I18/$X$5</f>
        <v/>
      </c>
      <c r="O18" s="17">
        <f>J18/$X$6</f>
        <v/>
      </c>
      <c r="P18" s="17">
        <f>K18/$X$7</f>
        <v/>
      </c>
      <c r="Q18" s="17">
        <f>L18/$X$8</f>
        <v/>
      </c>
      <c r="R18" s="17">
        <f>M18/$X$9</f>
        <v/>
      </c>
      <c r="S18" s="17">
        <f>MAX(N18:R18)</f>
        <v/>
      </c>
    </row>
    <row r="19">
      <c r="A19" s="5" t="n">
        <v>3</v>
      </c>
      <c r="B19" s="5" t="n">
        <v>2</v>
      </c>
      <c r="C19" s="40">
        <f>Raw_Data_IF!B7</f>
        <v/>
      </c>
      <c r="D19" s="18">
        <f>Raw_Data_IF!F7</f>
        <v/>
      </c>
      <c r="E19" s="17">
        <f>Raw_Data_IF!L7</f>
        <v/>
      </c>
      <c r="F19" s="17">
        <f>Raw_Data_IF!F7-MEDIAN(Raw_Data_IF!D7:I7)</f>
        <v/>
      </c>
      <c r="G19" s="17">
        <f>Raw_Data_IF!L7-MEDIAN(Raw_Data_IF!J7:O7)</f>
        <v/>
      </c>
      <c r="H19" s="15">
        <f>Raw_Data_IF!F7/MAX(Raw_Data_IF!L7,cfg_if_i_floor)</f>
        <v/>
      </c>
      <c r="I19" s="17">
        <f>ABS(D19-$V$5)</f>
        <v/>
      </c>
      <c r="J19" s="17">
        <f>ABS(E19-$V$6)</f>
        <v/>
      </c>
      <c r="K19" s="17">
        <f>ABS(F19-$V$7)</f>
        <v/>
      </c>
      <c r="L19" s="17">
        <f>ABS(G19-$V$8)</f>
        <v/>
      </c>
      <c r="M19" s="17">
        <f>ABS(H19-$V$9)</f>
        <v/>
      </c>
      <c r="N19" s="17">
        <f>I19/$X$5</f>
        <v/>
      </c>
      <c r="O19" s="17">
        <f>J19/$X$6</f>
        <v/>
      </c>
      <c r="P19" s="17">
        <f>K19/$X$7</f>
        <v/>
      </c>
      <c r="Q19" s="17">
        <f>L19/$X$8</f>
        <v/>
      </c>
      <c r="R19" s="17">
        <f>M19/$X$9</f>
        <v/>
      </c>
      <c r="S19" s="17">
        <f>MAX(N19:R19)</f>
        <v/>
      </c>
    </row>
    <row r="20">
      <c r="A20" s="5" t="n">
        <v>4</v>
      </c>
      <c r="B20" s="5" t="n">
        <v>2</v>
      </c>
      <c r="C20" s="40">
        <f>Raw_Data_IF!B7</f>
        <v/>
      </c>
      <c r="D20" s="18">
        <f>Raw_Data_IF!G7</f>
        <v/>
      </c>
      <c r="E20" s="17">
        <f>Raw_Data_IF!M7</f>
        <v/>
      </c>
      <c r="F20" s="17">
        <f>Raw_Data_IF!G7-MEDIAN(Raw_Data_IF!D7:I7)</f>
        <v/>
      </c>
      <c r="G20" s="17">
        <f>Raw_Data_IF!M7-MEDIAN(Raw_Data_IF!J7:O7)</f>
        <v/>
      </c>
      <c r="H20" s="15">
        <f>Raw_Data_IF!G7/MAX(Raw_Data_IF!M7,cfg_if_i_floor)</f>
        <v/>
      </c>
      <c r="I20" s="17">
        <f>ABS(D20-$V$5)</f>
        <v/>
      </c>
      <c r="J20" s="17">
        <f>ABS(E20-$V$6)</f>
        <v/>
      </c>
      <c r="K20" s="17">
        <f>ABS(F20-$V$7)</f>
        <v/>
      </c>
      <c r="L20" s="17">
        <f>ABS(G20-$V$8)</f>
        <v/>
      </c>
      <c r="M20" s="17">
        <f>ABS(H20-$V$9)</f>
        <v/>
      </c>
      <c r="N20" s="17">
        <f>I20/$X$5</f>
        <v/>
      </c>
      <c r="O20" s="17">
        <f>J20/$X$6</f>
        <v/>
      </c>
      <c r="P20" s="17">
        <f>K20/$X$7</f>
        <v/>
      </c>
      <c r="Q20" s="17">
        <f>L20/$X$8</f>
        <v/>
      </c>
      <c r="R20" s="17">
        <f>M20/$X$9</f>
        <v/>
      </c>
      <c r="S20" s="17">
        <f>MAX(N20:R20)</f>
        <v/>
      </c>
    </row>
    <row r="21">
      <c r="A21" s="5" t="n">
        <v>5</v>
      </c>
      <c r="B21" s="5" t="n">
        <v>2</v>
      </c>
      <c r="C21" s="40">
        <f>Raw_Data_IF!B7</f>
        <v/>
      </c>
      <c r="D21" s="18">
        <f>Raw_Data_IF!H7</f>
        <v/>
      </c>
      <c r="E21" s="17">
        <f>Raw_Data_IF!N7</f>
        <v/>
      </c>
      <c r="F21" s="17">
        <f>Raw_Data_IF!H7-MEDIAN(Raw_Data_IF!D7:I7)</f>
        <v/>
      </c>
      <c r="G21" s="17">
        <f>Raw_Data_IF!N7-MEDIAN(Raw_Data_IF!J7:O7)</f>
        <v/>
      </c>
      <c r="H21" s="15">
        <f>Raw_Data_IF!H7/MAX(Raw_Data_IF!N7,cfg_if_i_floor)</f>
        <v/>
      </c>
      <c r="I21" s="17">
        <f>ABS(D21-$V$5)</f>
        <v/>
      </c>
      <c r="J21" s="17">
        <f>ABS(E21-$V$6)</f>
        <v/>
      </c>
      <c r="K21" s="17">
        <f>ABS(F21-$V$7)</f>
        <v/>
      </c>
      <c r="L21" s="17">
        <f>ABS(G21-$V$8)</f>
        <v/>
      </c>
      <c r="M21" s="17">
        <f>ABS(H21-$V$9)</f>
        <v/>
      </c>
      <c r="N21" s="17">
        <f>I21/$X$5</f>
        <v/>
      </c>
      <c r="O21" s="17">
        <f>J21/$X$6</f>
        <v/>
      </c>
      <c r="P21" s="17">
        <f>K21/$X$7</f>
        <v/>
      </c>
      <c r="Q21" s="17">
        <f>L21/$X$8</f>
        <v/>
      </c>
      <c r="R21" s="17">
        <f>M21/$X$9</f>
        <v/>
      </c>
      <c r="S21" s="17">
        <f>MAX(N21:R21)</f>
        <v/>
      </c>
    </row>
    <row r="22">
      <c r="A22" s="5" t="n">
        <v>6</v>
      </c>
      <c r="B22" s="5" t="n">
        <v>2</v>
      </c>
      <c r="C22" s="40">
        <f>Raw_Data_IF!B7</f>
        <v/>
      </c>
      <c r="D22" s="18">
        <f>Raw_Data_IF!I7</f>
        <v/>
      </c>
      <c r="E22" s="17">
        <f>Raw_Data_IF!O7</f>
        <v/>
      </c>
      <c r="F22" s="17">
        <f>Raw_Data_IF!I7-MEDIAN(Raw_Data_IF!D7:I7)</f>
        <v/>
      </c>
      <c r="G22" s="17">
        <f>Raw_Data_IF!O7-MEDIAN(Raw_Data_IF!J7:O7)</f>
        <v/>
      </c>
      <c r="H22" s="15">
        <f>Raw_Data_IF!I7/MAX(Raw_Data_IF!O7,cfg_if_i_floor)</f>
        <v/>
      </c>
      <c r="I22" s="17">
        <f>ABS(D22-$V$5)</f>
        <v/>
      </c>
      <c r="J22" s="17">
        <f>ABS(E22-$V$6)</f>
        <v/>
      </c>
      <c r="K22" s="17">
        <f>ABS(F22-$V$7)</f>
        <v/>
      </c>
      <c r="L22" s="17">
        <f>ABS(G22-$V$8)</f>
        <v/>
      </c>
      <c r="M22" s="17">
        <f>ABS(H22-$V$9)</f>
        <v/>
      </c>
      <c r="N22" s="17">
        <f>I22/$X$5</f>
        <v/>
      </c>
      <c r="O22" s="17">
        <f>J22/$X$6</f>
        <v/>
      </c>
      <c r="P22" s="17">
        <f>K22/$X$7</f>
        <v/>
      </c>
      <c r="Q22" s="17">
        <f>L22/$X$8</f>
        <v/>
      </c>
      <c r="R22" s="17">
        <f>M22/$X$9</f>
        <v/>
      </c>
      <c r="S22" s="17">
        <f>MAX(N22:R22)</f>
        <v/>
      </c>
    </row>
    <row r="23">
      <c r="A23" s="5" t="n">
        <v>1</v>
      </c>
      <c r="B23" s="5" t="n">
        <v>3</v>
      </c>
      <c r="C23" s="40">
        <f>Raw_Data_IF!B8</f>
        <v/>
      </c>
      <c r="D23" s="18">
        <f>Raw_Data_IF!D8</f>
        <v/>
      </c>
      <c r="E23" s="17">
        <f>Raw_Data_IF!J8</f>
        <v/>
      </c>
      <c r="F23" s="17">
        <f>Raw_Data_IF!D8-MEDIAN(Raw_Data_IF!D8:I8)</f>
        <v/>
      </c>
      <c r="G23" s="17">
        <f>Raw_Data_IF!J8-MEDIAN(Raw_Data_IF!J8:O8)</f>
        <v/>
      </c>
      <c r="H23" s="15">
        <f>Raw_Data_IF!D8/MAX(Raw_Data_IF!J8,cfg_if_i_floor)</f>
        <v/>
      </c>
      <c r="I23" s="17">
        <f>ABS(D23-$V$5)</f>
        <v/>
      </c>
      <c r="J23" s="17">
        <f>ABS(E23-$V$6)</f>
        <v/>
      </c>
      <c r="K23" s="17">
        <f>ABS(F23-$V$7)</f>
        <v/>
      </c>
      <c r="L23" s="17">
        <f>ABS(G23-$V$8)</f>
        <v/>
      </c>
      <c r="M23" s="17">
        <f>ABS(H23-$V$9)</f>
        <v/>
      </c>
      <c r="N23" s="17">
        <f>I23/$X$5</f>
        <v/>
      </c>
      <c r="O23" s="17">
        <f>J23/$X$6</f>
        <v/>
      </c>
      <c r="P23" s="17">
        <f>K23/$X$7</f>
        <v/>
      </c>
      <c r="Q23" s="17">
        <f>L23/$X$8</f>
        <v/>
      </c>
      <c r="R23" s="17">
        <f>M23/$X$9</f>
        <v/>
      </c>
      <c r="S23" s="17">
        <f>MAX(N23:R23)</f>
        <v/>
      </c>
    </row>
    <row r="24">
      <c r="A24" s="5" t="n">
        <v>2</v>
      </c>
      <c r="B24" s="5" t="n">
        <v>3</v>
      </c>
      <c r="C24" s="40">
        <f>Raw_Data_IF!B8</f>
        <v/>
      </c>
      <c r="D24" s="18">
        <f>Raw_Data_IF!E8</f>
        <v/>
      </c>
      <c r="E24" s="17">
        <f>Raw_Data_IF!K8</f>
        <v/>
      </c>
      <c r="F24" s="17">
        <f>Raw_Data_IF!E8-MEDIAN(Raw_Data_IF!D8:I8)</f>
        <v/>
      </c>
      <c r="G24" s="17">
        <f>Raw_Data_IF!K8-MEDIAN(Raw_Data_IF!J8:O8)</f>
        <v/>
      </c>
      <c r="H24" s="15">
        <f>Raw_Data_IF!E8/MAX(Raw_Data_IF!K8,cfg_if_i_floor)</f>
        <v/>
      </c>
      <c r="I24" s="17">
        <f>ABS(D24-$V$5)</f>
        <v/>
      </c>
      <c r="J24" s="17">
        <f>ABS(E24-$V$6)</f>
        <v/>
      </c>
      <c r="K24" s="17">
        <f>ABS(F24-$V$7)</f>
        <v/>
      </c>
      <c r="L24" s="17">
        <f>ABS(G24-$V$8)</f>
        <v/>
      </c>
      <c r="M24" s="17">
        <f>ABS(H24-$V$9)</f>
        <v/>
      </c>
      <c r="N24" s="17">
        <f>I24/$X$5</f>
        <v/>
      </c>
      <c r="O24" s="17">
        <f>J24/$X$6</f>
        <v/>
      </c>
      <c r="P24" s="17">
        <f>K24/$X$7</f>
        <v/>
      </c>
      <c r="Q24" s="17">
        <f>L24/$X$8</f>
        <v/>
      </c>
      <c r="R24" s="17">
        <f>M24/$X$9</f>
        <v/>
      </c>
      <c r="S24" s="17">
        <f>MAX(N24:R24)</f>
        <v/>
      </c>
    </row>
    <row r="25">
      <c r="A25" s="5" t="n">
        <v>3</v>
      </c>
      <c r="B25" s="5" t="n">
        <v>3</v>
      </c>
      <c r="C25" s="40">
        <f>Raw_Data_IF!B8</f>
        <v/>
      </c>
      <c r="D25" s="18">
        <f>Raw_Data_IF!F8</f>
        <v/>
      </c>
      <c r="E25" s="17">
        <f>Raw_Data_IF!L8</f>
        <v/>
      </c>
      <c r="F25" s="17">
        <f>Raw_Data_IF!F8-MEDIAN(Raw_Data_IF!D8:I8)</f>
        <v/>
      </c>
      <c r="G25" s="17">
        <f>Raw_Data_IF!L8-MEDIAN(Raw_Data_IF!J8:O8)</f>
        <v/>
      </c>
      <c r="H25" s="15">
        <f>Raw_Data_IF!F8/MAX(Raw_Data_IF!L8,cfg_if_i_floor)</f>
        <v/>
      </c>
      <c r="I25" s="17">
        <f>ABS(D25-$V$5)</f>
        <v/>
      </c>
      <c r="J25" s="17">
        <f>ABS(E25-$V$6)</f>
        <v/>
      </c>
      <c r="K25" s="17">
        <f>ABS(F25-$V$7)</f>
        <v/>
      </c>
      <c r="L25" s="17">
        <f>ABS(G25-$V$8)</f>
        <v/>
      </c>
      <c r="M25" s="17">
        <f>ABS(H25-$V$9)</f>
        <v/>
      </c>
      <c r="N25" s="17">
        <f>I25/$X$5</f>
        <v/>
      </c>
      <c r="O25" s="17">
        <f>J25/$X$6</f>
        <v/>
      </c>
      <c r="P25" s="17">
        <f>K25/$X$7</f>
        <v/>
      </c>
      <c r="Q25" s="17">
        <f>L25/$X$8</f>
        <v/>
      </c>
      <c r="R25" s="17">
        <f>M25/$X$9</f>
        <v/>
      </c>
      <c r="S25" s="17">
        <f>MAX(N25:R25)</f>
        <v/>
      </c>
    </row>
    <row r="26">
      <c r="A26" s="5" t="n">
        <v>4</v>
      </c>
      <c r="B26" s="5" t="n">
        <v>3</v>
      </c>
      <c r="C26" s="40">
        <f>Raw_Data_IF!B8</f>
        <v/>
      </c>
      <c r="D26" s="18">
        <f>Raw_Data_IF!G8</f>
        <v/>
      </c>
      <c r="E26" s="17">
        <f>Raw_Data_IF!M8</f>
        <v/>
      </c>
      <c r="F26" s="17">
        <f>Raw_Data_IF!G8-MEDIAN(Raw_Data_IF!D8:I8)</f>
        <v/>
      </c>
      <c r="G26" s="17">
        <f>Raw_Data_IF!M8-MEDIAN(Raw_Data_IF!J8:O8)</f>
        <v/>
      </c>
      <c r="H26" s="15">
        <f>Raw_Data_IF!G8/MAX(Raw_Data_IF!M8,cfg_if_i_floor)</f>
        <v/>
      </c>
      <c r="I26" s="17">
        <f>ABS(D26-$V$5)</f>
        <v/>
      </c>
      <c r="J26" s="17">
        <f>ABS(E26-$V$6)</f>
        <v/>
      </c>
      <c r="K26" s="17">
        <f>ABS(F26-$V$7)</f>
        <v/>
      </c>
      <c r="L26" s="17">
        <f>ABS(G26-$V$8)</f>
        <v/>
      </c>
      <c r="M26" s="17">
        <f>ABS(H26-$V$9)</f>
        <v/>
      </c>
      <c r="N26" s="17">
        <f>I26/$X$5</f>
        <v/>
      </c>
      <c r="O26" s="17">
        <f>J26/$X$6</f>
        <v/>
      </c>
      <c r="P26" s="17">
        <f>K26/$X$7</f>
        <v/>
      </c>
      <c r="Q26" s="17">
        <f>L26/$X$8</f>
        <v/>
      </c>
      <c r="R26" s="17">
        <f>M26/$X$9</f>
        <v/>
      </c>
      <c r="S26" s="17">
        <f>MAX(N26:R26)</f>
        <v/>
      </c>
    </row>
    <row r="27">
      <c r="A27" s="5" t="n">
        <v>5</v>
      </c>
      <c r="B27" s="5" t="n">
        <v>3</v>
      </c>
      <c r="C27" s="40">
        <f>Raw_Data_IF!B8</f>
        <v/>
      </c>
      <c r="D27" s="18">
        <f>Raw_Data_IF!H8</f>
        <v/>
      </c>
      <c r="E27" s="17">
        <f>Raw_Data_IF!N8</f>
        <v/>
      </c>
      <c r="F27" s="17">
        <f>Raw_Data_IF!H8-MEDIAN(Raw_Data_IF!D8:I8)</f>
        <v/>
      </c>
      <c r="G27" s="17">
        <f>Raw_Data_IF!N8-MEDIAN(Raw_Data_IF!J8:O8)</f>
        <v/>
      </c>
      <c r="H27" s="15">
        <f>Raw_Data_IF!H8/MAX(Raw_Data_IF!N8,cfg_if_i_floor)</f>
        <v/>
      </c>
      <c r="I27" s="17">
        <f>ABS(D27-$V$5)</f>
        <v/>
      </c>
      <c r="J27" s="17">
        <f>ABS(E27-$V$6)</f>
        <v/>
      </c>
      <c r="K27" s="17">
        <f>ABS(F27-$V$7)</f>
        <v/>
      </c>
      <c r="L27" s="17">
        <f>ABS(G27-$V$8)</f>
        <v/>
      </c>
      <c r="M27" s="17">
        <f>ABS(H27-$V$9)</f>
        <v/>
      </c>
      <c r="N27" s="17">
        <f>I27/$X$5</f>
        <v/>
      </c>
      <c r="O27" s="17">
        <f>J27/$X$6</f>
        <v/>
      </c>
      <c r="P27" s="17">
        <f>K27/$X$7</f>
        <v/>
      </c>
      <c r="Q27" s="17">
        <f>L27/$X$8</f>
        <v/>
      </c>
      <c r="R27" s="17">
        <f>M27/$X$9</f>
        <v/>
      </c>
      <c r="S27" s="17">
        <f>MAX(N27:R27)</f>
        <v/>
      </c>
    </row>
    <row r="28">
      <c r="A28" s="5" t="n">
        <v>6</v>
      </c>
      <c r="B28" s="5" t="n">
        <v>3</v>
      </c>
      <c r="C28" s="40">
        <f>Raw_Data_IF!B8</f>
        <v/>
      </c>
      <c r="D28" s="18">
        <f>Raw_Data_IF!I8</f>
        <v/>
      </c>
      <c r="E28" s="17">
        <f>Raw_Data_IF!O8</f>
        <v/>
      </c>
      <c r="F28" s="17">
        <f>Raw_Data_IF!I8-MEDIAN(Raw_Data_IF!D8:I8)</f>
        <v/>
      </c>
      <c r="G28" s="17">
        <f>Raw_Data_IF!O8-MEDIAN(Raw_Data_IF!J8:O8)</f>
        <v/>
      </c>
      <c r="H28" s="15">
        <f>Raw_Data_IF!I8/MAX(Raw_Data_IF!O8,cfg_if_i_floor)</f>
        <v/>
      </c>
      <c r="I28" s="17">
        <f>ABS(D28-$V$5)</f>
        <v/>
      </c>
      <c r="J28" s="17">
        <f>ABS(E28-$V$6)</f>
        <v/>
      </c>
      <c r="K28" s="17">
        <f>ABS(F28-$V$7)</f>
        <v/>
      </c>
      <c r="L28" s="17">
        <f>ABS(G28-$V$8)</f>
        <v/>
      </c>
      <c r="M28" s="17">
        <f>ABS(H28-$V$9)</f>
        <v/>
      </c>
      <c r="N28" s="17">
        <f>I28/$X$5</f>
        <v/>
      </c>
      <c r="O28" s="17">
        <f>J28/$X$6</f>
        <v/>
      </c>
      <c r="P28" s="17">
        <f>K28/$X$7</f>
        <v/>
      </c>
      <c r="Q28" s="17">
        <f>L28/$X$8</f>
        <v/>
      </c>
      <c r="R28" s="17">
        <f>M28/$X$9</f>
        <v/>
      </c>
      <c r="S28" s="17">
        <f>MAX(N28:R28)</f>
        <v/>
      </c>
    </row>
    <row r="29">
      <c r="A29" s="5" t="n">
        <v>1</v>
      </c>
      <c r="B29" s="5" t="n">
        <v>4</v>
      </c>
      <c r="C29" s="40">
        <f>Raw_Data_IF!B9</f>
        <v/>
      </c>
      <c r="D29" s="18">
        <f>Raw_Data_IF!D9</f>
        <v/>
      </c>
      <c r="E29" s="17">
        <f>Raw_Data_IF!J9</f>
        <v/>
      </c>
      <c r="F29" s="17">
        <f>Raw_Data_IF!D9-MEDIAN(Raw_Data_IF!D9:I9)</f>
        <v/>
      </c>
      <c r="G29" s="17">
        <f>Raw_Data_IF!J9-MEDIAN(Raw_Data_IF!J9:O9)</f>
        <v/>
      </c>
      <c r="H29" s="15">
        <f>Raw_Data_IF!D9/MAX(Raw_Data_IF!J9,cfg_if_i_floor)</f>
        <v/>
      </c>
      <c r="I29" s="17">
        <f>ABS(D29-$V$5)</f>
        <v/>
      </c>
      <c r="J29" s="17">
        <f>ABS(E29-$V$6)</f>
        <v/>
      </c>
      <c r="K29" s="17">
        <f>ABS(F29-$V$7)</f>
        <v/>
      </c>
      <c r="L29" s="17">
        <f>ABS(G29-$V$8)</f>
        <v/>
      </c>
      <c r="M29" s="17">
        <f>ABS(H29-$V$9)</f>
        <v/>
      </c>
      <c r="N29" s="17">
        <f>I29/$X$5</f>
        <v/>
      </c>
      <c r="O29" s="17">
        <f>J29/$X$6</f>
        <v/>
      </c>
      <c r="P29" s="17">
        <f>K29/$X$7</f>
        <v/>
      </c>
      <c r="Q29" s="17">
        <f>L29/$X$8</f>
        <v/>
      </c>
      <c r="R29" s="17">
        <f>M29/$X$9</f>
        <v/>
      </c>
      <c r="S29" s="17">
        <f>MAX(N29:R29)</f>
        <v/>
      </c>
    </row>
    <row r="30">
      <c r="A30" s="5" t="n">
        <v>2</v>
      </c>
      <c r="B30" s="5" t="n">
        <v>4</v>
      </c>
      <c r="C30" s="40">
        <f>Raw_Data_IF!B9</f>
        <v/>
      </c>
      <c r="D30" s="18">
        <f>Raw_Data_IF!E9</f>
        <v/>
      </c>
      <c r="E30" s="17">
        <f>Raw_Data_IF!K9</f>
        <v/>
      </c>
      <c r="F30" s="17">
        <f>Raw_Data_IF!E9-MEDIAN(Raw_Data_IF!D9:I9)</f>
        <v/>
      </c>
      <c r="G30" s="17">
        <f>Raw_Data_IF!K9-MEDIAN(Raw_Data_IF!J9:O9)</f>
        <v/>
      </c>
      <c r="H30" s="15">
        <f>Raw_Data_IF!E9/MAX(Raw_Data_IF!K9,cfg_if_i_floor)</f>
        <v/>
      </c>
      <c r="I30" s="17">
        <f>ABS(D30-$V$5)</f>
        <v/>
      </c>
      <c r="J30" s="17">
        <f>ABS(E30-$V$6)</f>
        <v/>
      </c>
      <c r="K30" s="17">
        <f>ABS(F30-$V$7)</f>
        <v/>
      </c>
      <c r="L30" s="17">
        <f>ABS(G30-$V$8)</f>
        <v/>
      </c>
      <c r="M30" s="17">
        <f>ABS(H30-$V$9)</f>
        <v/>
      </c>
      <c r="N30" s="17">
        <f>I30/$X$5</f>
        <v/>
      </c>
      <c r="O30" s="17">
        <f>J30/$X$6</f>
        <v/>
      </c>
      <c r="P30" s="17">
        <f>K30/$X$7</f>
        <v/>
      </c>
      <c r="Q30" s="17">
        <f>L30/$X$8</f>
        <v/>
      </c>
      <c r="R30" s="17">
        <f>M30/$X$9</f>
        <v/>
      </c>
      <c r="S30" s="17">
        <f>MAX(N30:R30)</f>
        <v/>
      </c>
    </row>
    <row r="31">
      <c r="A31" s="5" t="n">
        <v>3</v>
      </c>
      <c r="B31" s="5" t="n">
        <v>4</v>
      </c>
      <c r="C31" s="40">
        <f>Raw_Data_IF!B9</f>
        <v/>
      </c>
      <c r="D31" s="18">
        <f>Raw_Data_IF!F9</f>
        <v/>
      </c>
      <c r="E31" s="17">
        <f>Raw_Data_IF!L9</f>
        <v/>
      </c>
      <c r="F31" s="17">
        <f>Raw_Data_IF!F9-MEDIAN(Raw_Data_IF!D9:I9)</f>
        <v/>
      </c>
      <c r="G31" s="17">
        <f>Raw_Data_IF!L9-MEDIAN(Raw_Data_IF!J9:O9)</f>
        <v/>
      </c>
      <c r="H31" s="15">
        <f>Raw_Data_IF!F9/MAX(Raw_Data_IF!L9,cfg_if_i_floor)</f>
        <v/>
      </c>
      <c r="I31" s="17">
        <f>ABS(D31-$V$5)</f>
        <v/>
      </c>
      <c r="J31" s="17">
        <f>ABS(E31-$V$6)</f>
        <v/>
      </c>
      <c r="K31" s="17">
        <f>ABS(F31-$V$7)</f>
        <v/>
      </c>
      <c r="L31" s="17">
        <f>ABS(G31-$V$8)</f>
        <v/>
      </c>
      <c r="M31" s="17">
        <f>ABS(H31-$V$9)</f>
        <v/>
      </c>
      <c r="N31" s="17">
        <f>I31/$X$5</f>
        <v/>
      </c>
      <c r="O31" s="17">
        <f>J31/$X$6</f>
        <v/>
      </c>
      <c r="P31" s="17">
        <f>K31/$X$7</f>
        <v/>
      </c>
      <c r="Q31" s="17">
        <f>L31/$X$8</f>
        <v/>
      </c>
      <c r="R31" s="17">
        <f>M31/$X$9</f>
        <v/>
      </c>
      <c r="S31" s="17">
        <f>MAX(N31:R31)</f>
        <v/>
      </c>
    </row>
    <row r="32">
      <c r="A32" s="5" t="n">
        <v>4</v>
      </c>
      <c r="B32" s="5" t="n">
        <v>4</v>
      </c>
      <c r="C32" s="40">
        <f>Raw_Data_IF!B9</f>
        <v/>
      </c>
      <c r="D32" s="18">
        <f>Raw_Data_IF!G9</f>
        <v/>
      </c>
      <c r="E32" s="17">
        <f>Raw_Data_IF!M9</f>
        <v/>
      </c>
      <c r="F32" s="17">
        <f>Raw_Data_IF!G9-MEDIAN(Raw_Data_IF!D9:I9)</f>
        <v/>
      </c>
      <c r="G32" s="17">
        <f>Raw_Data_IF!M9-MEDIAN(Raw_Data_IF!J9:O9)</f>
        <v/>
      </c>
      <c r="H32" s="15">
        <f>Raw_Data_IF!G9/MAX(Raw_Data_IF!M9,cfg_if_i_floor)</f>
        <v/>
      </c>
      <c r="I32" s="17">
        <f>ABS(D32-$V$5)</f>
        <v/>
      </c>
      <c r="J32" s="17">
        <f>ABS(E32-$V$6)</f>
        <v/>
      </c>
      <c r="K32" s="17">
        <f>ABS(F32-$V$7)</f>
        <v/>
      </c>
      <c r="L32" s="17">
        <f>ABS(G32-$V$8)</f>
        <v/>
      </c>
      <c r="M32" s="17">
        <f>ABS(H32-$V$9)</f>
        <v/>
      </c>
      <c r="N32" s="17">
        <f>I32/$X$5</f>
        <v/>
      </c>
      <c r="O32" s="17">
        <f>J32/$X$6</f>
        <v/>
      </c>
      <c r="P32" s="17">
        <f>K32/$X$7</f>
        <v/>
      </c>
      <c r="Q32" s="17">
        <f>L32/$X$8</f>
        <v/>
      </c>
      <c r="R32" s="17">
        <f>M32/$X$9</f>
        <v/>
      </c>
      <c r="S32" s="17">
        <f>MAX(N32:R32)</f>
        <v/>
      </c>
    </row>
    <row r="33">
      <c r="A33" s="5" t="n">
        <v>5</v>
      </c>
      <c r="B33" s="5" t="n">
        <v>4</v>
      </c>
      <c r="C33" s="40">
        <f>Raw_Data_IF!B9</f>
        <v/>
      </c>
      <c r="D33" s="18">
        <f>Raw_Data_IF!H9</f>
        <v/>
      </c>
      <c r="E33" s="17">
        <f>Raw_Data_IF!N9</f>
        <v/>
      </c>
      <c r="F33" s="17">
        <f>Raw_Data_IF!H9-MEDIAN(Raw_Data_IF!D9:I9)</f>
        <v/>
      </c>
      <c r="G33" s="17">
        <f>Raw_Data_IF!N9-MEDIAN(Raw_Data_IF!J9:O9)</f>
        <v/>
      </c>
      <c r="H33" s="15">
        <f>Raw_Data_IF!H9/MAX(Raw_Data_IF!N9,cfg_if_i_floor)</f>
        <v/>
      </c>
      <c r="I33" s="17">
        <f>ABS(D33-$V$5)</f>
        <v/>
      </c>
      <c r="J33" s="17">
        <f>ABS(E33-$V$6)</f>
        <v/>
      </c>
      <c r="K33" s="17">
        <f>ABS(F33-$V$7)</f>
        <v/>
      </c>
      <c r="L33" s="17">
        <f>ABS(G33-$V$8)</f>
        <v/>
      </c>
      <c r="M33" s="17">
        <f>ABS(H33-$V$9)</f>
        <v/>
      </c>
      <c r="N33" s="17">
        <f>I33/$X$5</f>
        <v/>
      </c>
      <c r="O33" s="17">
        <f>J33/$X$6</f>
        <v/>
      </c>
      <c r="P33" s="17">
        <f>K33/$X$7</f>
        <v/>
      </c>
      <c r="Q33" s="17">
        <f>L33/$X$8</f>
        <v/>
      </c>
      <c r="R33" s="17">
        <f>M33/$X$9</f>
        <v/>
      </c>
      <c r="S33" s="17">
        <f>MAX(N33:R33)</f>
        <v/>
      </c>
    </row>
    <row r="34">
      <c r="A34" s="5" t="n">
        <v>6</v>
      </c>
      <c r="B34" s="5" t="n">
        <v>4</v>
      </c>
      <c r="C34" s="40">
        <f>Raw_Data_IF!B9</f>
        <v/>
      </c>
      <c r="D34" s="18">
        <f>Raw_Data_IF!I9</f>
        <v/>
      </c>
      <c r="E34" s="17">
        <f>Raw_Data_IF!O9</f>
        <v/>
      </c>
      <c r="F34" s="17">
        <f>Raw_Data_IF!I9-MEDIAN(Raw_Data_IF!D9:I9)</f>
        <v/>
      </c>
      <c r="G34" s="17">
        <f>Raw_Data_IF!O9-MEDIAN(Raw_Data_IF!J9:O9)</f>
        <v/>
      </c>
      <c r="H34" s="15">
        <f>Raw_Data_IF!I9/MAX(Raw_Data_IF!O9,cfg_if_i_floor)</f>
        <v/>
      </c>
      <c r="I34" s="17">
        <f>ABS(D34-$V$5)</f>
        <v/>
      </c>
      <c r="J34" s="17">
        <f>ABS(E34-$V$6)</f>
        <v/>
      </c>
      <c r="K34" s="17">
        <f>ABS(F34-$V$7)</f>
        <v/>
      </c>
      <c r="L34" s="17">
        <f>ABS(G34-$V$8)</f>
        <v/>
      </c>
      <c r="M34" s="17">
        <f>ABS(H34-$V$9)</f>
        <v/>
      </c>
      <c r="N34" s="17">
        <f>I34/$X$5</f>
        <v/>
      </c>
      <c r="O34" s="17">
        <f>J34/$X$6</f>
        <v/>
      </c>
      <c r="P34" s="17">
        <f>K34/$X$7</f>
        <v/>
      </c>
      <c r="Q34" s="17">
        <f>L34/$X$8</f>
        <v/>
      </c>
      <c r="R34" s="17">
        <f>M34/$X$9</f>
        <v/>
      </c>
      <c r="S34" s="17">
        <f>MAX(N34:R34)</f>
        <v/>
      </c>
    </row>
    <row r="35">
      <c r="A35" s="5" t="n">
        <v>1</v>
      </c>
      <c r="B35" s="5" t="n">
        <v>5</v>
      </c>
      <c r="C35" s="40">
        <f>Raw_Data_IF!B10</f>
        <v/>
      </c>
      <c r="D35" s="18">
        <f>Raw_Data_IF!D10</f>
        <v/>
      </c>
      <c r="E35" s="17">
        <f>Raw_Data_IF!J10</f>
        <v/>
      </c>
      <c r="F35" s="17">
        <f>Raw_Data_IF!D10-MEDIAN(Raw_Data_IF!D10:I10)</f>
        <v/>
      </c>
      <c r="G35" s="17">
        <f>Raw_Data_IF!J10-MEDIAN(Raw_Data_IF!J10:O10)</f>
        <v/>
      </c>
      <c r="H35" s="15">
        <f>Raw_Data_IF!D10/MAX(Raw_Data_IF!J10,cfg_if_i_floor)</f>
        <v/>
      </c>
      <c r="I35" s="17">
        <f>ABS(D35-$V$5)</f>
        <v/>
      </c>
      <c r="J35" s="17">
        <f>ABS(E35-$V$6)</f>
        <v/>
      </c>
      <c r="K35" s="17">
        <f>ABS(F35-$V$7)</f>
        <v/>
      </c>
      <c r="L35" s="17">
        <f>ABS(G35-$V$8)</f>
        <v/>
      </c>
      <c r="M35" s="17">
        <f>ABS(H35-$V$9)</f>
        <v/>
      </c>
      <c r="N35" s="17">
        <f>I35/$X$5</f>
        <v/>
      </c>
      <c r="O35" s="17">
        <f>J35/$X$6</f>
        <v/>
      </c>
      <c r="P35" s="17">
        <f>K35/$X$7</f>
        <v/>
      </c>
      <c r="Q35" s="17">
        <f>L35/$X$8</f>
        <v/>
      </c>
      <c r="R35" s="17">
        <f>M35/$X$9</f>
        <v/>
      </c>
      <c r="S35" s="17">
        <f>MAX(N35:R35)</f>
        <v/>
      </c>
    </row>
    <row r="36">
      <c r="A36" s="5" t="n">
        <v>2</v>
      </c>
      <c r="B36" s="5" t="n">
        <v>5</v>
      </c>
      <c r="C36" s="40">
        <f>Raw_Data_IF!B10</f>
        <v/>
      </c>
      <c r="D36" s="18">
        <f>Raw_Data_IF!E10</f>
        <v/>
      </c>
      <c r="E36" s="17">
        <f>Raw_Data_IF!K10</f>
        <v/>
      </c>
      <c r="F36" s="17">
        <f>Raw_Data_IF!E10-MEDIAN(Raw_Data_IF!D10:I10)</f>
        <v/>
      </c>
      <c r="G36" s="17">
        <f>Raw_Data_IF!K10-MEDIAN(Raw_Data_IF!J10:O10)</f>
        <v/>
      </c>
      <c r="H36" s="15">
        <f>Raw_Data_IF!E10/MAX(Raw_Data_IF!K10,cfg_if_i_floor)</f>
        <v/>
      </c>
      <c r="I36" s="17">
        <f>ABS(D36-$V$5)</f>
        <v/>
      </c>
      <c r="J36" s="17">
        <f>ABS(E36-$V$6)</f>
        <v/>
      </c>
      <c r="K36" s="17">
        <f>ABS(F36-$V$7)</f>
        <v/>
      </c>
      <c r="L36" s="17">
        <f>ABS(G36-$V$8)</f>
        <v/>
      </c>
      <c r="M36" s="17">
        <f>ABS(H36-$V$9)</f>
        <v/>
      </c>
      <c r="N36" s="17">
        <f>I36/$X$5</f>
        <v/>
      </c>
      <c r="O36" s="17">
        <f>J36/$X$6</f>
        <v/>
      </c>
      <c r="P36" s="17">
        <f>K36/$X$7</f>
        <v/>
      </c>
      <c r="Q36" s="17">
        <f>L36/$X$8</f>
        <v/>
      </c>
      <c r="R36" s="17">
        <f>M36/$X$9</f>
        <v/>
      </c>
      <c r="S36" s="17">
        <f>MAX(N36:R36)</f>
        <v/>
      </c>
    </row>
    <row r="37">
      <c r="A37" s="5" t="n">
        <v>3</v>
      </c>
      <c r="B37" s="5" t="n">
        <v>5</v>
      </c>
      <c r="C37" s="40">
        <f>Raw_Data_IF!B10</f>
        <v/>
      </c>
      <c r="D37" s="18">
        <f>Raw_Data_IF!F10</f>
        <v/>
      </c>
      <c r="E37" s="17">
        <f>Raw_Data_IF!L10</f>
        <v/>
      </c>
      <c r="F37" s="17">
        <f>Raw_Data_IF!F10-MEDIAN(Raw_Data_IF!D10:I10)</f>
        <v/>
      </c>
      <c r="G37" s="17">
        <f>Raw_Data_IF!L10-MEDIAN(Raw_Data_IF!J10:O10)</f>
        <v/>
      </c>
      <c r="H37" s="15">
        <f>Raw_Data_IF!F10/MAX(Raw_Data_IF!L10,cfg_if_i_floor)</f>
        <v/>
      </c>
      <c r="I37" s="17">
        <f>ABS(D37-$V$5)</f>
        <v/>
      </c>
      <c r="J37" s="17">
        <f>ABS(E37-$V$6)</f>
        <v/>
      </c>
      <c r="K37" s="17">
        <f>ABS(F37-$V$7)</f>
        <v/>
      </c>
      <c r="L37" s="17">
        <f>ABS(G37-$V$8)</f>
        <v/>
      </c>
      <c r="M37" s="17">
        <f>ABS(H37-$V$9)</f>
        <v/>
      </c>
      <c r="N37" s="17">
        <f>I37/$X$5</f>
        <v/>
      </c>
      <c r="O37" s="17">
        <f>J37/$X$6</f>
        <v/>
      </c>
      <c r="P37" s="17">
        <f>K37/$X$7</f>
        <v/>
      </c>
      <c r="Q37" s="17">
        <f>L37/$X$8</f>
        <v/>
      </c>
      <c r="R37" s="17">
        <f>M37/$X$9</f>
        <v/>
      </c>
      <c r="S37" s="17">
        <f>MAX(N37:R37)</f>
        <v/>
      </c>
    </row>
    <row r="38">
      <c r="A38" s="5" t="n">
        <v>4</v>
      </c>
      <c r="B38" s="5" t="n">
        <v>5</v>
      </c>
      <c r="C38" s="40">
        <f>Raw_Data_IF!B10</f>
        <v/>
      </c>
      <c r="D38" s="18">
        <f>Raw_Data_IF!G10</f>
        <v/>
      </c>
      <c r="E38" s="17">
        <f>Raw_Data_IF!M10</f>
        <v/>
      </c>
      <c r="F38" s="17">
        <f>Raw_Data_IF!G10-MEDIAN(Raw_Data_IF!D10:I10)</f>
        <v/>
      </c>
      <c r="G38" s="17">
        <f>Raw_Data_IF!M10-MEDIAN(Raw_Data_IF!J10:O10)</f>
        <v/>
      </c>
      <c r="H38" s="15">
        <f>Raw_Data_IF!G10/MAX(Raw_Data_IF!M10,cfg_if_i_floor)</f>
        <v/>
      </c>
      <c r="I38" s="17">
        <f>ABS(D38-$V$5)</f>
        <v/>
      </c>
      <c r="J38" s="17">
        <f>ABS(E38-$V$6)</f>
        <v/>
      </c>
      <c r="K38" s="17">
        <f>ABS(F38-$V$7)</f>
        <v/>
      </c>
      <c r="L38" s="17">
        <f>ABS(G38-$V$8)</f>
        <v/>
      </c>
      <c r="M38" s="17">
        <f>ABS(H38-$V$9)</f>
        <v/>
      </c>
      <c r="N38" s="17">
        <f>I38/$X$5</f>
        <v/>
      </c>
      <c r="O38" s="17">
        <f>J38/$X$6</f>
        <v/>
      </c>
      <c r="P38" s="17">
        <f>K38/$X$7</f>
        <v/>
      </c>
      <c r="Q38" s="17">
        <f>L38/$X$8</f>
        <v/>
      </c>
      <c r="R38" s="17">
        <f>M38/$X$9</f>
        <v/>
      </c>
      <c r="S38" s="17">
        <f>MAX(N38:R38)</f>
        <v/>
      </c>
    </row>
    <row r="39">
      <c r="A39" s="5" t="n">
        <v>5</v>
      </c>
      <c r="B39" s="5" t="n">
        <v>5</v>
      </c>
      <c r="C39" s="40">
        <f>Raw_Data_IF!B10</f>
        <v/>
      </c>
      <c r="D39" s="18">
        <f>Raw_Data_IF!H10</f>
        <v/>
      </c>
      <c r="E39" s="17">
        <f>Raw_Data_IF!N10</f>
        <v/>
      </c>
      <c r="F39" s="17">
        <f>Raw_Data_IF!H10-MEDIAN(Raw_Data_IF!D10:I10)</f>
        <v/>
      </c>
      <c r="G39" s="17">
        <f>Raw_Data_IF!N10-MEDIAN(Raw_Data_IF!J10:O10)</f>
        <v/>
      </c>
      <c r="H39" s="15">
        <f>Raw_Data_IF!H10/MAX(Raw_Data_IF!N10,cfg_if_i_floor)</f>
        <v/>
      </c>
      <c r="I39" s="17">
        <f>ABS(D39-$V$5)</f>
        <v/>
      </c>
      <c r="J39" s="17">
        <f>ABS(E39-$V$6)</f>
        <v/>
      </c>
      <c r="K39" s="17">
        <f>ABS(F39-$V$7)</f>
        <v/>
      </c>
      <c r="L39" s="17">
        <f>ABS(G39-$V$8)</f>
        <v/>
      </c>
      <c r="M39" s="17">
        <f>ABS(H39-$V$9)</f>
        <v/>
      </c>
      <c r="N39" s="17">
        <f>I39/$X$5</f>
        <v/>
      </c>
      <c r="O39" s="17">
        <f>J39/$X$6</f>
        <v/>
      </c>
      <c r="P39" s="17">
        <f>K39/$X$7</f>
        <v/>
      </c>
      <c r="Q39" s="17">
        <f>L39/$X$8</f>
        <v/>
      </c>
      <c r="R39" s="17">
        <f>M39/$X$9</f>
        <v/>
      </c>
      <c r="S39" s="17">
        <f>MAX(N39:R39)</f>
        <v/>
      </c>
    </row>
    <row r="40">
      <c r="A40" s="5" t="n">
        <v>6</v>
      </c>
      <c r="B40" s="5" t="n">
        <v>5</v>
      </c>
      <c r="C40" s="40">
        <f>Raw_Data_IF!B10</f>
        <v/>
      </c>
      <c r="D40" s="18">
        <f>Raw_Data_IF!I10</f>
        <v/>
      </c>
      <c r="E40" s="17">
        <f>Raw_Data_IF!O10</f>
        <v/>
      </c>
      <c r="F40" s="17">
        <f>Raw_Data_IF!I10-MEDIAN(Raw_Data_IF!D10:I10)</f>
        <v/>
      </c>
      <c r="G40" s="17">
        <f>Raw_Data_IF!O10-MEDIAN(Raw_Data_IF!J10:O10)</f>
        <v/>
      </c>
      <c r="H40" s="15">
        <f>Raw_Data_IF!I10/MAX(Raw_Data_IF!O10,cfg_if_i_floor)</f>
        <v/>
      </c>
      <c r="I40" s="17">
        <f>ABS(D40-$V$5)</f>
        <v/>
      </c>
      <c r="J40" s="17">
        <f>ABS(E40-$V$6)</f>
        <v/>
      </c>
      <c r="K40" s="17">
        <f>ABS(F40-$V$7)</f>
        <v/>
      </c>
      <c r="L40" s="17">
        <f>ABS(G40-$V$8)</f>
        <v/>
      </c>
      <c r="M40" s="17">
        <f>ABS(H40-$V$9)</f>
        <v/>
      </c>
      <c r="N40" s="17">
        <f>I40/$X$5</f>
        <v/>
      </c>
      <c r="O40" s="17">
        <f>J40/$X$6</f>
        <v/>
      </c>
      <c r="P40" s="17">
        <f>K40/$X$7</f>
        <v/>
      </c>
      <c r="Q40" s="17">
        <f>L40/$X$8</f>
        <v/>
      </c>
      <c r="R40" s="17">
        <f>M40/$X$9</f>
        <v/>
      </c>
      <c r="S40" s="17">
        <f>MAX(N40:R40)</f>
        <v/>
      </c>
    </row>
    <row r="41">
      <c r="A41" s="5" t="n">
        <v>1</v>
      </c>
      <c r="B41" s="5" t="n">
        <v>6</v>
      </c>
      <c r="C41" s="40">
        <f>Raw_Data_IF!B11</f>
        <v/>
      </c>
      <c r="D41" s="18">
        <f>Raw_Data_IF!D11</f>
        <v/>
      </c>
      <c r="E41" s="17">
        <f>Raw_Data_IF!J11</f>
        <v/>
      </c>
      <c r="F41" s="17">
        <f>Raw_Data_IF!D11-MEDIAN(Raw_Data_IF!D11:I11)</f>
        <v/>
      </c>
      <c r="G41" s="17">
        <f>Raw_Data_IF!J11-MEDIAN(Raw_Data_IF!J11:O11)</f>
        <v/>
      </c>
      <c r="H41" s="15">
        <f>Raw_Data_IF!D11/MAX(Raw_Data_IF!J11,cfg_if_i_floor)</f>
        <v/>
      </c>
      <c r="I41" s="17">
        <f>ABS(D41-$V$5)</f>
        <v/>
      </c>
      <c r="J41" s="17">
        <f>ABS(E41-$V$6)</f>
        <v/>
      </c>
      <c r="K41" s="17">
        <f>ABS(F41-$V$7)</f>
        <v/>
      </c>
      <c r="L41" s="17">
        <f>ABS(G41-$V$8)</f>
        <v/>
      </c>
      <c r="M41" s="17">
        <f>ABS(H41-$V$9)</f>
        <v/>
      </c>
      <c r="N41" s="17">
        <f>I41/$X$5</f>
        <v/>
      </c>
      <c r="O41" s="17">
        <f>J41/$X$6</f>
        <v/>
      </c>
      <c r="P41" s="17">
        <f>K41/$X$7</f>
        <v/>
      </c>
      <c r="Q41" s="17">
        <f>L41/$X$8</f>
        <v/>
      </c>
      <c r="R41" s="17">
        <f>M41/$X$9</f>
        <v/>
      </c>
      <c r="S41" s="17">
        <f>MAX(N41:R41)</f>
        <v/>
      </c>
    </row>
    <row r="42">
      <c r="A42" s="5" t="n">
        <v>2</v>
      </c>
      <c r="B42" s="5" t="n">
        <v>6</v>
      </c>
      <c r="C42" s="40">
        <f>Raw_Data_IF!B11</f>
        <v/>
      </c>
      <c r="D42" s="18">
        <f>Raw_Data_IF!E11</f>
        <v/>
      </c>
      <c r="E42" s="17">
        <f>Raw_Data_IF!K11</f>
        <v/>
      </c>
      <c r="F42" s="17">
        <f>Raw_Data_IF!E11-MEDIAN(Raw_Data_IF!D11:I11)</f>
        <v/>
      </c>
      <c r="G42" s="17">
        <f>Raw_Data_IF!K11-MEDIAN(Raw_Data_IF!J11:O11)</f>
        <v/>
      </c>
      <c r="H42" s="15">
        <f>Raw_Data_IF!E11/MAX(Raw_Data_IF!K11,cfg_if_i_floor)</f>
        <v/>
      </c>
      <c r="I42" s="17">
        <f>ABS(D42-$V$5)</f>
        <v/>
      </c>
      <c r="J42" s="17">
        <f>ABS(E42-$V$6)</f>
        <v/>
      </c>
      <c r="K42" s="17">
        <f>ABS(F42-$V$7)</f>
        <v/>
      </c>
      <c r="L42" s="17">
        <f>ABS(G42-$V$8)</f>
        <v/>
      </c>
      <c r="M42" s="17">
        <f>ABS(H42-$V$9)</f>
        <v/>
      </c>
      <c r="N42" s="17">
        <f>I42/$X$5</f>
        <v/>
      </c>
      <c r="O42" s="17">
        <f>J42/$X$6</f>
        <v/>
      </c>
      <c r="P42" s="17">
        <f>K42/$X$7</f>
        <v/>
      </c>
      <c r="Q42" s="17">
        <f>L42/$X$8</f>
        <v/>
      </c>
      <c r="R42" s="17">
        <f>M42/$X$9</f>
        <v/>
      </c>
      <c r="S42" s="17">
        <f>MAX(N42:R42)</f>
        <v/>
      </c>
    </row>
    <row r="43">
      <c r="A43" s="5" t="n">
        <v>3</v>
      </c>
      <c r="B43" s="5" t="n">
        <v>6</v>
      </c>
      <c r="C43" s="40">
        <f>Raw_Data_IF!B11</f>
        <v/>
      </c>
      <c r="D43" s="18">
        <f>Raw_Data_IF!F11</f>
        <v/>
      </c>
      <c r="E43" s="17">
        <f>Raw_Data_IF!L11</f>
        <v/>
      </c>
      <c r="F43" s="17">
        <f>Raw_Data_IF!F11-MEDIAN(Raw_Data_IF!D11:I11)</f>
        <v/>
      </c>
      <c r="G43" s="17">
        <f>Raw_Data_IF!L11-MEDIAN(Raw_Data_IF!J11:O11)</f>
        <v/>
      </c>
      <c r="H43" s="15">
        <f>Raw_Data_IF!F11/MAX(Raw_Data_IF!L11,cfg_if_i_floor)</f>
        <v/>
      </c>
      <c r="I43" s="17">
        <f>ABS(D43-$V$5)</f>
        <v/>
      </c>
      <c r="J43" s="17">
        <f>ABS(E43-$V$6)</f>
        <v/>
      </c>
      <c r="K43" s="17">
        <f>ABS(F43-$V$7)</f>
        <v/>
      </c>
      <c r="L43" s="17">
        <f>ABS(G43-$V$8)</f>
        <v/>
      </c>
      <c r="M43" s="17">
        <f>ABS(H43-$V$9)</f>
        <v/>
      </c>
      <c r="N43" s="17">
        <f>I43/$X$5</f>
        <v/>
      </c>
      <c r="O43" s="17">
        <f>J43/$X$6</f>
        <v/>
      </c>
      <c r="P43" s="17">
        <f>K43/$X$7</f>
        <v/>
      </c>
      <c r="Q43" s="17">
        <f>L43/$X$8</f>
        <v/>
      </c>
      <c r="R43" s="17">
        <f>M43/$X$9</f>
        <v/>
      </c>
      <c r="S43" s="17">
        <f>MAX(N43:R43)</f>
        <v/>
      </c>
    </row>
    <row r="44">
      <c r="A44" s="5" t="n">
        <v>4</v>
      </c>
      <c r="B44" s="5" t="n">
        <v>6</v>
      </c>
      <c r="C44" s="40">
        <f>Raw_Data_IF!B11</f>
        <v/>
      </c>
      <c r="D44" s="18">
        <f>Raw_Data_IF!G11</f>
        <v/>
      </c>
      <c r="E44" s="17">
        <f>Raw_Data_IF!M11</f>
        <v/>
      </c>
      <c r="F44" s="17">
        <f>Raw_Data_IF!G11-MEDIAN(Raw_Data_IF!D11:I11)</f>
        <v/>
      </c>
      <c r="G44" s="17">
        <f>Raw_Data_IF!M11-MEDIAN(Raw_Data_IF!J11:O11)</f>
        <v/>
      </c>
      <c r="H44" s="15">
        <f>Raw_Data_IF!G11/MAX(Raw_Data_IF!M11,cfg_if_i_floor)</f>
        <v/>
      </c>
      <c r="I44" s="17">
        <f>ABS(D44-$V$5)</f>
        <v/>
      </c>
      <c r="J44" s="17">
        <f>ABS(E44-$V$6)</f>
        <v/>
      </c>
      <c r="K44" s="17">
        <f>ABS(F44-$V$7)</f>
        <v/>
      </c>
      <c r="L44" s="17">
        <f>ABS(G44-$V$8)</f>
        <v/>
      </c>
      <c r="M44" s="17">
        <f>ABS(H44-$V$9)</f>
        <v/>
      </c>
      <c r="N44" s="17">
        <f>I44/$X$5</f>
        <v/>
      </c>
      <c r="O44" s="17">
        <f>J44/$X$6</f>
        <v/>
      </c>
      <c r="P44" s="17">
        <f>K44/$X$7</f>
        <v/>
      </c>
      <c r="Q44" s="17">
        <f>L44/$X$8</f>
        <v/>
      </c>
      <c r="R44" s="17">
        <f>M44/$X$9</f>
        <v/>
      </c>
      <c r="S44" s="17">
        <f>MAX(N44:R44)</f>
        <v/>
      </c>
    </row>
    <row r="45">
      <c r="A45" s="5" t="n">
        <v>5</v>
      </c>
      <c r="B45" s="5" t="n">
        <v>6</v>
      </c>
      <c r="C45" s="40">
        <f>Raw_Data_IF!B11</f>
        <v/>
      </c>
      <c r="D45" s="18">
        <f>Raw_Data_IF!H11</f>
        <v/>
      </c>
      <c r="E45" s="17">
        <f>Raw_Data_IF!N11</f>
        <v/>
      </c>
      <c r="F45" s="17">
        <f>Raw_Data_IF!H11-MEDIAN(Raw_Data_IF!D11:I11)</f>
        <v/>
      </c>
      <c r="G45" s="17">
        <f>Raw_Data_IF!N11-MEDIAN(Raw_Data_IF!J11:O11)</f>
        <v/>
      </c>
      <c r="H45" s="15">
        <f>Raw_Data_IF!H11/MAX(Raw_Data_IF!N11,cfg_if_i_floor)</f>
        <v/>
      </c>
      <c r="I45" s="17">
        <f>ABS(D45-$V$5)</f>
        <v/>
      </c>
      <c r="J45" s="17">
        <f>ABS(E45-$V$6)</f>
        <v/>
      </c>
      <c r="K45" s="17">
        <f>ABS(F45-$V$7)</f>
        <v/>
      </c>
      <c r="L45" s="17">
        <f>ABS(G45-$V$8)</f>
        <v/>
      </c>
      <c r="M45" s="17">
        <f>ABS(H45-$V$9)</f>
        <v/>
      </c>
      <c r="N45" s="17">
        <f>I45/$X$5</f>
        <v/>
      </c>
      <c r="O45" s="17">
        <f>J45/$X$6</f>
        <v/>
      </c>
      <c r="P45" s="17">
        <f>K45/$X$7</f>
        <v/>
      </c>
      <c r="Q45" s="17">
        <f>L45/$X$8</f>
        <v/>
      </c>
      <c r="R45" s="17">
        <f>M45/$X$9</f>
        <v/>
      </c>
      <c r="S45" s="17">
        <f>MAX(N45:R45)</f>
        <v/>
      </c>
    </row>
    <row r="46">
      <c r="A46" s="5" t="n">
        <v>6</v>
      </c>
      <c r="B46" s="5" t="n">
        <v>6</v>
      </c>
      <c r="C46" s="40">
        <f>Raw_Data_IF!B11</f>
        <v/>
      </c>
      <c r="D46" s="18">
        <f>Raw_Data_IF!I11</f>
        <v/>
      </c>
      <c r="E46" s="17">
        <f>Raw_Data_IF!O11</f>
        <v/>
      </c>
      <c r="F46" s="17">
        <f>Raw_Data_IF!I11-MEDIAN(Raw_Data_IF!D11:I11)</f>
        <v/>
      </c>
      <c r="G46" s="17">
        <f>Raw_Data_IF!O11-MEDIAN(Raw_Data_IF!J11:O11)</f>
        <v/>
      </c>
      <c r="H46" s="15">
        <f>Raw_Data_IF!I11/MAX(Raw_Data_IF!O11,cfg_if_i_floor)</f>
        <v/>
      </c>
      <c r="I46" s="17">
        <f>ABS(D46-$V$5)</f>
        <v/>
      </c>
      <c r="J46" s="17">
        <f>ABS(E46-$V$6)</f>
        <v/>
      </c>
      <c r="K46" s="17">
        <f>ABS(F46-$V$7)</f>
        <v/>
      </c>
      <c r="L46" s="17">
        <f>ABS(G46-$V$8)</f>
        <v/>
      </c>
      <c r="M46" s="17">
        <f>ABS(H46-$V$9)</f>
        <v/>
      </c>
      <c r="N46" s="17">
        <f>I46/$X$5</f>
        <v/>
      </c>
      <c r="O46" s="17">
        <f>J46/$X$6</f>
        <v/>
      </c>
      <c r="P46" s="17">
        <f>K46/$X$7</f>
        <v/>
      </c>
      <c r="Q46" s="17">
        <f>L46/$X$8</f>
        <v/>
      </c>
      <c r="R46" s="17">
        <f>M46/$X$9</f>
        <v/>
      </c>
      <c r="S46" s="17">
        <f>MAX(N46:R46)</f>
        <v/>
      </c>
    </row>
    <row r="47">
      <c r="A47" s="5" t="n">
        <v>1</v>
      </c>
      <c r="B47" s="5" t="n">
        <v>7</v>
      </c>
      <c r="C47" s="40">
        <f>Raw_Data_IF!B12</f>
        <v/>
      </c>
      <c r="D47" s="18">
        <f>Raw_Data_IF!D12</f>
        <v/>
      </c>
      <c r="E47" s="17">
        <f>Raw_Data_IF!J12</f>
        <v/>
      </c>
      <c r="F47" s="17">
        <f>Raw_Data_IF!D12-MEDIAN(Raw_Data_IF!D12:I12)</f>
        <v/>
      </c>
      <c r="G47" s="17">
        <f>Raw_Data_IF!J12-MEDIAN(Raw_Data_IF!J12:O12)</f>
        <v/>
      </c>
      <c r="H47" s="15">
        <f>Raw_Data_IF!D12/MAX(Raw_Data_IF!J12,cfg_if_i_floor)</f>
        <v/>
      </c>
      <c r="I47" s="17">
        <f>ABS(D47-$V$5)</f>
        <v/>
      </c>
      <c r="J47" s="17">
        <f>ABS(E47-$V$6)</f>
        <v/>
      </c>
      <c r="K47" s="17">
        <f>ABS(F47-$V$7)</f>
        <v/>
      </c>
      <c r="L47" s="17">
        <f>ABS(G47-$V$8)</f>
        <v/>
      </c>
      <c r="M47" s="17">
        <f>ABS(H47-$V$9)</f>
        <v/>
      </c>
      <c r="N47" s="17">
        <f>I47/$X$5</f>
        <v/>
      </c>
      <c r="O47" s="17">
        <f>J47/$X$6</f>
        <v/>
      </c>
      <c r="P47" s="17">
        <f>K47/$X$7</f>
        <v/>
      </c>
      <c r="Q47" s="17">
        <f>L47/$X$8</f>
        <v/>
      </c>
      <c r="R47" s="17">
        <f>M47/$X$9</f>
        <v/>
      </c>
      <c r="S47" s="17">
        <f>MAX(N47:R47)</f>
        <v/>
      </c>
    </row>
    <row r="48">
      <c r="A48" s="5" t="n">
        <v>2</v>
      </c>
      <c r="B48" s="5" t="n">
        <v>7</v>
      </c>
      <c r="C48" s="40">
        <f>Raw_Data_IF!B12</f>
        <v/>
      </c>
      <c r="D48" s="18">
        <f>Raw_Data_IF!E12</f>
        <v/>
      </c>
      <c r="E48" s="17">
        <f>Raw_Data_IF!K12</f>
        <v/>
      </c>
      <c r="F48" s="17">
        <f>Raw_Data_IF!E12-MEDIAN(Raw_Data_IF!D12:I12)</f>
        <v/>
      </c>
      <c r="G48" s="17">
        <f>Raw_Data_IF!K12-MEDIAN(Raw_Data_IF!J12:O12)</f>
        <v/>
      </c>
      <c r="H48" s="15">
        <f>Raw_Data_IF!E12/MAX(Raw_Data_IF!K12,cfg_if_i_floor)</f>
        <v/>
      </c>
      <c r="I48" s="17">
        <f>ABS(D48-$V$5)</f>
        <v/>
      </c>
      <c r="J48" s="17">
        <f>ABS(E48-$V$6)</f>
        <v/>
      </c>
      <c r="K48" s="17">
        <f>ABS(F48-$V$7)</f>
        <v/>
      </c>
      <c r="L48" s="17">
        <f>ABS(G48-$V$8)</f>
        <v/>
      </c>
      <c r="M48" s="17">
        <f>ABS(H48-$V$9)</f>
        <v/>
      </c>
      <c r="N48" s="17">
        <f>I48/$X$5</f>
        <v/>
      </c>
      <c r="O48" s="17">
        <f>J48/$X$6</f>
        <v/>
      </c>
      <c r="P48" s="17">
        <f>K48/$X$7</f>
        <v/>
      </c>
      <c r="Q48" s="17">
        <f>L48/$X$8</f>
        <v/>
      </c>
      <c r="R48" s="17">
        <f>M48/$X$9</f>
        <v/>
      </c>
      <c r="S48" s="17">
        <f>MAX(N48:R48)</f>
        <v/>
      </c>
    </row>
    <row r="49">
      <c r="A49" s="5" t="n">
        <v>3</v>
      </c>
      <c r="B49" s="5" t="n">
        <v>7</v>
      </c>
      <c r="C49" s="40">
        <f>Raw_Data_IF!B12</f>
        <v/>
      </c>
      <c r="D49" s="18">
        <f>Raw_Data_IF!F12</f>
        <v/>
      </c>
      <c r="E49" s="17">
        <f>Raw_Data_IF!L12</f>
        <v/>
      </c>
      <c r="F49" s="17">
        <f>Raw_Data_IF!F12-MEDIAN(Raw_Data_IF!D12:I12)</f>
        <v/>
      </c>
      <c r="G49" s="17">
        <f>Raw_Data_IF!L12-MEDIAN(Raw_Data_IF!J12:O12)</f>
        <v/>
      </c>
      <c r="H49" s="15">
        <f>Raw_Data_IF!F12/MAX(Raw_Data_IF!L12,cfg_if_i_floor)</f>
        <v/>
      </c>
      <c r="I49" s="17">
        <f>ABS(D49-$V$5)</f>
        <v/>
      </c>
      <c r="J49" s="17">
        <f>ABS(E49-$V$6)</f>
        <v/>
      </c>
      <c r="K49" s="17">
        <f>ABS(F49-$V$7)</f>
        <v/>
      </c>
      <c r="L49" s="17">
        <f>ABS(G49-$V$8)</f>
        <v/>
      </c>
      <c r="M49" s="17">
        <f>ABS(H49-$V$9)</f>
        <v/>
      </c>
      <c r="N49" s="17">
        <f>I49/$X$5</f>
        <v/>
      </c>
      <c r="O49" s="17">
        <f>J49/$X$6</f>
        <v/>
      </c>
      <c r="P49" s="17">
        <f>K49/$X$7</f>
        <v/>
      </c>
      <c r="Q49" s="17">
        <f>L49/$X$8</f>
        <v/>
      </c>
      <c r="R49" s="17">
        <f>M49/$X$9</f>
        <v/>
      </c>
      <c r="S49" s="17">
        <f>MAX(N49:R49)</f>
        <v/>
      </c>
    </row>
    <row r="50">
      <c r="A50" s="5" t="n">
        <v>4</v>
      </c>
      <c r="B50" s="5" t="n">
        <v>7</v>
      </c>
      <c r="C50" s="40">
        <f>Raw_Data_IF!B12</f>
        <v/>
      </c>
      <c r="D50" s="18">
        <f>Raw_Data_IF!G12</f>
        <v/>
      </c>
      <c r="E50" s="17">
        <f>Raw_Data_IF!M12</f>
        <v/>
      </c>
      <c r="F50" s="17">
        <f>Raw_Data_IF!G12-MEDIAN(Raw_Data_IF!D12:I12)</f>
        <v/>
      </c>
      <c r="G50" s="17">
        <f>Raw_Data_IF!M12-MEDIAN(Raw_Data_IF!J12:O12)</f>
        <v/>
      </c>
      <c r="H50" s="15">
        <f>Raw_Data_IF!G12/MAX(Raw_Data_IF!M12,cfg_if_i_floor)</f>
        <v/>
      </c>
      <c r="I50" s="17">
        <f>ABS(D50-$V$5)</f>
        <v/>
      </c>
      <c r="J50" s="17">
        <f>ABS(E50-$V$6)</f>
        <v/>
      </c>
      <c r="K50" s="17">
        <f>ABS(F50-$V$7)</f>
        <v/>
      </c>
      <c r="L50" s="17">
        <f>ABS(G50-$V$8)</f>
        <v/>
      </c>
      <c r="M50" s="17">
        <f>ABS(H50-$V$9)</f>
        <v/>
      </c>
      <c r="N50" s="17">
        <f>I50/$X$5</f>
        <v/>
      </c>
      <c r="O50" s="17">
        <f>J50/$X$6</f>
        <v/>
      </c>
      <c r="P50" s="17">
        <f>K50/$X$7</f>
        <v/>
      </c>
      <c r="Q50" s="17">
        <f>L50/$X$8</f>
        <v/>
      </c>
      <c r="R50" s="17">
        <f>M50/$X$9</f>
        <v/>
      </c>
      <c r="S50" s="17">
        <f>MAX(N50:R50)</f>
        <v/>
      </c>
    </row>
    <row r="51">
      <c r="A51" s="5" t="n">
        <v>5</v>
      </c>
      <c r="B51" s="5" t="n">
        <v>7</v>
      </c>
      <c r="C51" s="40">
        <f>Raw_Data_IF!B12</f>
        <v/>
      </c>
      <c r="D51" s="18">
        <f>Raw_Data_IF!H12</f>
        <v/>
      </c>
      <c r="E51" s="17">
        <f>Raw_Data_IF!N12</f>
        <v/>
      </c>
      <c r="F51" s="17">
        <f>Raw_Data_IF!H12-MEDIAN(Raw_Data_IF!D12:I12)</f>
        <v/>
      </c>
      <c r="G51" s="17">
        <f>Raw_Data_IF!N12-MEDIAN(Raw_Data_IF!J12:O12)</f>
        <v/>
      </c>
      <c r="H51" s="15">
        <f>Raw_Data_IF!H12/MAX(Raw_Data_IF!N12,cfg_if_i_floor)</f>
        <v/>
      </c>
      <c r="I51" s="17">
        <f>ABS(D51-$V$5)</f>
        <v/>
      </c>
      <c r="J51" s="17">
        <f>ABS(E51-$V$6)</f>
        <v/>
      </c>
      <c r="K51" s="17">
        <f>ABS(F51-$V$7)</f>
        <v/>
      </c>
      <c r="L51" s="17">
        <f>ABS(G51-$V$8)</f>
        <v/>
      </c>
      <c r="M51" s="17">
        <f>ABS(H51-$V$9)</f>
        <v/>
      </c>
      <c r="N51" s="17">
        <f>I51/$X$5</f>
        <v/>
      </c>
      <c r="O51" s="17">
        <f>J51/$X$6</f>
        <v/>
      </c>
      <c r="P51" s="17">
        <f>K51/$X$7</f>
        <v/>
      </c>
      <c r="Q51" s="17">
        <f>L51/$X$8</f>
        <v/>
      </c>
      <c r="R51" s="17">
        <f>M51/$X$9</f>
        <v/>
      </c>
      <c r="S51" s="17">
        <f>MAX(N51:R51)</f>
        <v/>
      </c>
    </row>
    <row r="52">
      <c r="A52" s="5" t="n">
        <v>6</v>
      </c>
      <c r="B52" s="5" t="n">
        <v>7</v>
      </c>
      <c r="C52" s="40">
        <f>Raw_Data_IF!B12</f>
        <v/>
      </c>
      <c r="D52" s="18">
        <f>Raw_Data_IF!I12</f>
        <v/>
      </c>
      <c r="E52" s="17">
        <f>Raw_Data_IF!O12</f>
        <v/>
      </c>
      <c r="F52" s="17">
        <f>Raw_Data_IF!I12-MEDIAN(Raw_Data_IF!D12:I12)</f>
        <v/>
      </c>
      <c r="G52" s="17">
        <f>Raw_Data_IF!O12-MEDIAN(Raw_Data_IF!J12:O12)</f>
        <v/>
      </c>
      <c r="H52" s="15">
        <f>Raw_Data_IF!I12/MAX(Raw_Data_IF!O12,cfg_if_i_floor)</f>
        <v/>
      </c>
      <c r="I52" s="17">
        <f>ABS(D52-$V$5)</f>
        <v/>
      </c>
      <c r="J52" s="17">
        <f>ABS(E52-$V$6)</f>
        <v/>
      </c>
      <c r="K52" s="17">
        <f>ABS(F52-$V$7)</f>
        <v/>
      </c>
      <c r="L52" s="17">
        <f>ABS(G52-$V$8)</f>
        <v/>
      </c>
      <c r="M52" s="17">
        <f>ABS(H52-$V$9)</f>
        <v/>
      </c>
      <c r="N52" s="17">
        <f>I52/$X$5</f>
        <v/>
      </c>
      <c r="O52" s="17">
        <f>J52/$X$6</f>
        <v/>
      </c>
      <c r="P52" s="17">
        <f>K52/$X$7</f>
        <v/>
      </c>
      <c r="Q52" s="17">
        <f>L52/$X$8</f>
        <v/>
      </c>
      <c r="R52" s="17">
        <f>M52/$X$9</f>
        <v/>
      </c>
      <c r="S52" s="17">
        <f>MAX(N52:R52)</f>
        <v/>
      </c>
    </row>
    <row r="53">
      <c r="A53" s="5" t="n">
        <v>1</v>
      </c>
      <c r="B53" s="5" t="n">
        <v>8</v>
      </c>
      <c r="C53" s="40">
        <f>Raw_Data_IF!B13</f>
        <v/>
      </c>
      <c r="D53" s="18">
        <f>Raw_Data_IF!D13</f>
        <v/>
      </c>
      <c r="E53" s="17">
        <f>Raw_Data_IF!J13</f>
        <v/>
      </c>
      <c r="F53" s="17">
        <f>Raw_Data_IF!D13-MEDIAN(Raw_Data_IF!D13:I13)</f>
        <v/>
      </c>
      <c r="G53" s="17">
        <f>Raw_Data_IF!J13-MEDIAN(Raw_Data_IF!J13:O13)</f>
        <v/>
      </c>
      <c r="H53" s="15">
        <f>Raw_Data_IF!D13/MAX(Raw_Data_IF!J13,cfg_if_i_floor)</f>
        <v/>
      </c>
      <c r="I53" s="17">
        <f>ABS(D53-$V$5)</f>
        <v/>
      </c>
      <c r="J53" s="17">
        <f>ABS(E53-$V$6)</f>
        <v/>
      </c>
      <c r="K53" s="17">
        <f>ABS(F53-$V$7)</f>
        <v/>
      </c>
      <c r="L53" s="17">
        <f>ABS(G53-$V$8)</f>
        <v/>
      </c>
      <c r="M53" s="17">
        <f>ABS(H53-$V$9)</f>
        <v/>
      </c>
      <c r="N53" s="17">
        <f>I53/$X$5</f>
        <v/>
      </c>
      <c r="O53" s="17">
        <f>J53/$X$6</f>
        <v/>
      </c>
      <c r="P53" s="17">
        <f>K53/$X$7</f>
        <v/>
      </c>
      <c r="Q53" s="17">
        <f>L53/$X$8</f>
        <v/>
      </c>
      <c r="R53" s="17">
        <f>M53/$X$9</f>
        <v/>
      </c>
      <c r="S53" s="17">
        <f>MAX(N53:R53)</f>
        <v/>
      </c>
    </row>
    <row r="54">
      <c r="A54" s="5" t="n">
        <v>2</v>
      </c>
      <c r="B54" s="5" t="n">
        <v>8</v>
      </c>
      <c r="C54" s="40">
        <f>Raw_Data_IF!B13</f>
        <v/>
      </c>
      <c r="D54" s="18">
        <f>Raw_Data_IF!E13</f>
        <v/>
      </c>
      <c r="E54" s="17">
        <f>Raw_Data_IF!K13</f>
        <v/>
      </c>
      <c r="F54" s="17">
        <f>Raw_Data_IF!E13-MEDIAN(Raw_Data_IF!D13:I13)</f>
        <v/>
      </c>
      <c r="G54" s="17">
        <f>Raw_Data_IF!K13-MEDIAN(Raw_Data_IF!J13:O13)</f>
        <v/>
      </c>
      <c r="H54" s="15">
        <f>Raw_Data_IF!E13/MAX(Raw_Data_IF!K13,cfg_if_i_floor)</f>
        <v/>
      </c>
      <c r="I54" s="17">
        <f>ABS(D54-$V$5)</f>
        <v/>
      </c>
      <c r="J54" s="17">
        <f>ABS(E54-$V$6)</f>
        <v/>
      </c>
      <c r="K54" s="17">
        <f>ABS(F54-$V$7)</f>
        <v/>
      </c>
      <c r="L54" s="17">
        <f>ABS(G54-$V$8)</f>
        <v/>
      </c>
      <c r="M54" s="17">
        <f>ABS(H54-$V$9)</f>
        <v/>
      </c>
      <c r="N54" s="17">
        <f>I54/$X$5</f>
        <v/>
      </c>
      <c r="O54" s="17">
        <f>J54/$X$6</f>
        <v/>
      </c>
      <c r="P54" s="17">
        <f>K54/$X$7</f>
        <v/>
      </c>
      <c r="Q54" s="17">
        <f>L54/$X$8</f>
        <v/>
      </c>
      <c r="R54" s="17">
        <f>M54/$X$9</f>
        <v/>
      </c>
      <c r="S54" s="17">
        <f>MAX(N54:R54)</f>
        <v/>
      </c>
    </row>
    <row r="55">
      <c r="A55" s="5" t="n">
        <v>3</v>
      </c>
      <c r="B55" s="5" t="n">
        <v>8</v>
      </c>
      <c r="C55" s="40">
        <f>Raw_Data_IF!B13</f>
        <v/>
      </c>
      <c r="D55" s="18">
        <f>Raw_Data_IF!F13</f>
        <v/>
      </c>
      <c r="E55" s="17">
        <f>Raw_Data_IF!L13</f>
        <v/>
      </c>
      <c r="F55" s="17">
        <f>Raw_Data_IF!F13-MEDIAN(Raw_Data_IF!D13:I13)</f>
        <v/>
      </c>
      <c r="G55" s="17">
        <f>Raw_Data_IF!L13-MEDIAN(Raw_Data_IF!J13:O13)</f>
        <v/>
      </c>
      <c r="H55" s="15">
        <f>Raw_Data_IF!F13/MAX(Raw_Data_IF!L13,cfg_if_i_floor)</f>
        <v/>
      </c>
      <c r="I55" s="17">
        <f>ABS(D55-$V$5)</f>
        <v/>
      </c>
      <c r="J55" s="17">
        <f>ABS(E55-$V$6)</f>
        <v/>
      </c>
      <c r="K55" s="17">
        <f>ABS(F55-$V$7)</f>
        <v/>
      </c>
      <c r="L55" s="17">
        <f>ABS(G55-$V$8)</f>
        <v/>
      </c>
      <c r="M55" s="17">
        <f>ABS(H55-$V$9)</f>
        <v/>
      </c>
      <c r="N55" s="17">
        <f>I55/$X$5</f>
        <v/>
      </c>
      <c r="O55" s="17">
        <f>J55/$X$6</f>
        <v/>
      </c>
      <c r="P55" s="17">
        <f>K55/$X$7</f>
        <v/>
      </c>
      <c r="Q55" s="17">
        <f>L55/$X$8</f>
        <v/>
      </c>
      <c r="R55" s="17">
        <f>M55/$X$9</f>
        <v/>
      </c>
      <c r="S55" s="17">
        <f>MAX(N55:R55)</f>
        <v/>
      </c>
    </row>
    <row r="56">
      <c r="A56" s="5" t="n">
        <v>4</v>
      </c>
      <c r="B56" s="5" t="n">
        <v>8</v>
      </c>
      <c r="C56" s="40">
        <f>Raw_Data_IF!B13</f>
        <v/>
      </c>
      <c r="D56" s="18">
        <f>Raw_Data_IF!G13</f>
        <v/>
      </c>
      <c r="E56" s="17">
        <f>Raw_Data_IF!M13</f>
        <v/>
      </c>
      <c r="F56" s="17">
        <f>Raw_Data_IF!G13-MEDIAN(Raw_Data_IF!D13:I13)</f>
        <v/>
      </c>
      <c r="G56" s="17">
        <f>Raw_Data_IF!M13-MEDIAN(Raw_Data_IF!J13:O13)</f>
        <v/>
      </c>
      <c r="H56" s="15">
        <f>Raw_Data_IF!G13/MAX(Raw_Data_IF!M13,cfg_if_i_floor)</f>
        <v/>
      </c>
      <c r="I56" s="17">
        <f>ABS(D56-$V$5)</f>
        <v/>
      </c>
      <c r="J56" s="17">
        <f>ABS(E56-$V$6)</f>
        <v/>
      </c>
      <c r="K56" s="17">
        <f>ABS(F56-$V$7)</f>
        <v/>
      </c>
      <c r="L56" s="17">
        <f>ABS(G56-$V$8)</f>
        <v/>
      </c>
      <c r="M56" s="17">
        <f>ABS(H56-$V$9)</f>
        <v/>
      </c>
      <c r="N56" s="17">
        <f>I56/$X$5</f>
        <v/>
      </c>
      <c r="O56" s="17">
        <f>J56/$X$6</f>
        <v/>
      </c>
      <c r="P56" s="17">
        <f>K56/$X$7</f>
        <v/>
      </c>
      <c r="Q56" s="17">
        <f>L56/$X$8</f>
        <v/>
      </c>
      <c r="R56" s="17">
        <f>M56/$X$9</f>
        <v/>
      </c>
      <c r="S56" s="17">
        <f>MAX(N56:R56)</f>
        <v/>
      </c>
    </row>
    <row r="57">
      <c r="A57" s="5" t="n">
        <v>5</v>
      </c>
      <c r="B57" s="5" t="n">
        <v>8</v>
      </c>
      <c r="C57" s="40">
        <f>Raw_Data_IF!B13</f>
        <v/>
      </c>
      <c r="D57" s="18">
        <f>Raw_Data_IF!H13</f>
        <v/>
      </c>
      <c r="E57" s="17">
        <f>Raw_Data_IF!N13</f>
        <v/>
      </c>
      <c r="F57" s="17">
        <f>Raw_Data_IF!H13-MEDIAN(Raw_Data_IF!D13:I13)</f>
        <v/>
      </c>
      <c r="G57" s="17">
        <f>Raw_Data_IF!N13-MEDIAN(Raw_Data_IF!J13:O13)</f>
        <v/>
      </c>
      <c r="H57" s="15">
        <f>Raw_Data_IF!H13/MAX(Raw_Data_IF!N13,cfg_if_i_floor)</f>
        <v/>
      </c>
      <c r="I57" s="17">
        <f>ABS(D57-$V$5)</f>
        <v/>
      </c>
      <c r="J57" s="17">
        <f>ABS(E57-$V$6)</f>
        <v/>
      </c>
      <c r="K57" s="17">
        <f>ABS(F57-$V$7)</f>
        <v/>
      </c>
      <c r="L57" s="17">
        <f>ABS(G57-$V$8)</f>
        <v/>
      </c>
      <c r="M57" s="17">
        <f>ABS(H57-$V$9)</f>
        <v/>
      </c>
      <c r="N57" s="17">
        <f>I57/$X$5</f>
        <v/>
      </c>
      <c r="O57" s="17">
        <f>J57/$X$6</f>
        <v/>
      </c>
      <c r="P57" s="17">
        <f>K57/$X$7</f>
        <v/>
      </c>
      <c r="Q57" s="17">
        <f>L57/$X$8</f>
        <v/>
      </c>
      <c r="R57" s="17">
        <f>M57/$X$9</f>
        <v/>
      </c>
      <c r="S57" s="17">
        <f>MAX(N57:R57)</f>
        <v/>
      </c>
    </row>
    <row r="58">
      <c r="A58" s="5" t="n">
        <v>6</v>
      </c>
      <c r="B58" s="5" t="n">
        <v>8</v>
      </c>
      <c r="C58" s="40">
        <f>Raw_Data_IF!B13</f>
        <v/>
      </c>
      <c r="D58" s="18">
        <f>Raw_Data_IF!I13</f>
        <v/>
      </c>
      <c r="E58" s="17">
        <f>Raw_Data_IF!O13</f>
        <v/>
      </c>
      <c r="F58" s="17">
        <f>Raw_Data_IF!I13-MEDIAN(Raw_Data_IF!D13:I13)</f>
        <v/>
      </c>
      <c r="G58" s="17">
        <f>Raw_Data_IF!O13-MEDIAN(Raw_Data_IF!J13:O13)</f>
        <v/>
      </c>
      <c r="H58" s="15">
        <f>Raw_Data_IF!I13/MAX(Raw_Data_IF!O13,cfg_if_i_floor)</f>
        <v/>
      </c>
      <c r="I58" s="17">
        <f>ABS(D58-$V$5)</f>
        <v/>
      </c>
      <c r="J58" s="17">
        <f>ABS(E58-$V$6)</f>
        <v/>
      </c>
      <c r="K58" s="17">
        <f>ABS(F58-$V$7)</f>
        <v/>
      </c>
      <c r="L58" s="17">
        <f>ABS(G58-$V$8)</f>
        <v/>
      </c>
      <c r="M58" s="17">
        <f>ABS(H58-$V$9)</f>
        <v/>
      </c>
      <c r="N58" s="17">
        <f>I58/$X$5</f>
        <v/>
      </c>
      <c r="O58" s="17">
        <f>J58/$X$6</f>
        <v/>
      </c>
      <c r="P58" s="17">
        <f>K58/$X$7</f>
        <v/>
      </c>
      <c r="Q58" s="17">
        <f>L58/$X$8</f>
        <v/>
      </c>
      <c r="R58" s="17">
        <f>M58/$X$9</f>
        <v/>
      </c>
      <c r="S58" s="17">
        <f>MAX(N58:R58)</f>
        <v/>
      </c>
    </row>
    <row r="59">
      <c r="A59" s="5" t="n">
        <v>1</v>
      </c>
      <c r="B59" s="5" t="n">
        <v>9</v>
      </c>
      <c r="C59" s="40">
        <f>Raw_Data_IF!B14</f>
        <v/>
      </c>
      <c r="D59" s="18">
        <f>Raw_Data_IF!D14</f>
        <v/>
      </c>
      <c r="E59" s="17">
        <f>Raw_Data_IF!J14</f>
        <v/>
      </c>
      <c r="F59" s="17">
        <f>Raw_Data_IF!D14-MEDIAN(Raw_Data_IF!D14:I14)</f>
        <v/>
      </c>
      <c r="G59" s="17">
        <f>Raw_Data_IF!J14-MEDIAN(Raw_Data_IF!J14:O14)</f>
        <v/>
      </c>
      <c r="H59" s="15">
        <f>Raw_Data_IF!D14/MAX(Raw_Data_IF!J14,cfg_if_i_floor)</f>
        <v/>
      </c>
      <c r="I59" s="17">
        <f>ABS(D59-$V$5)</f>
        <v/>
      </c>
      <c r="J59" s="17">
        <f>ABS(E59-$V$6)</f>
        <v/>
      </c>
      <c r="K59" s="17">
        <f>ABS(F59-$V$7)</f>
        <v/>
      </c>
      <c r="L59" s="17">
        <f>ABS(G59-$V$8)</f>
        <v/>
      </c>
      <c r="M59" s="17">
        <f>ABS(H59-$V$9)</f>
        <v/>
      </c>
      <c r="N59" s="17">
        <f>I59/$X$5</f>
        <v/>
      </c>
      <c r="O59" s="17">
        <f>J59/$X$6</f>
        <v/>
      </c>
      <c r="P59" s="17">
        <f>K59/$X$7</f>
        <v/>
      </c>
      <c r="Q59" s="17">
        <f>L59/$X$8</f>
        <v/>
      </c>
      <c r="R59" s="17">
        <f>M59/$X$9</f>
        <v/>
      </c>
      <c r="S59" s="17">
        <f>MAX(N59:R59)</f>
        <v/>
      </c>
    </row>
    <row r="60">
      <c r="A60" s="5" t="n">
        <v>2</v>
      </c>
      <c r="B60" s="5" t="n">
        <v>9</v>
      </c>
      <c r="C60" s="40">
        <f>Raw_Data_IF!B14</f>
        <v/>
      </c>
      <c r="D60" s="18">
        <f>Raw_Data_IF!E14</f>
        <v/>
      </c>
      <c r="E60" s="17">
        <f>Raw_Data_IF!K14</f>
        <v/>
      </c>
      <c r="F60" s="17">
        <f>Raw_Data_IF!E14-MEDIAN(Raw_Data_IF!D14:I14)</f>
        <v/>
      </c>
      <c r="G60" s="17">
        <f>Raw_Data_IF!K14-MEDIAN(Raw_Data_IF!J14:O14)</f>
        <v/>
      </c>
      <c r="H60" s="15">
        <f>Raw_Data_IF!E14/MAX(Raw_Data_IF!K14,cfg_if_i_floor)</f>
        <v/>
      </c>
      <c r="I60" s="17">
        <f>ABS(D60-$V$5)</f>
        <v/>
      </c>
      <c r="J60" s="17">
        <f>ABS(E60-$V$6)</f>
        <v/>
      </c>
      <c r="K60" s="17">
        <f>ABS(F60-$V$7)</f>
        <v/>
      </c>
      <c r="L60" s="17">
        <f>ABS(G60-$V$8)</f>
        <v/>
      </c>
      <c r="M60" s="17">
        <f>ABS(H60-$V$9)</f>
        <v/>
      </c>
      <c r="N60" s="17">
        <f>I60/$X$5</f>
        <v/>
      </c>
      <c r="O60" s="17">
        <f>J60/$X$6</f>
        <v/>
      </c>
      <c r="P60" s="17">
        <f>K60/$X$7</f>
        <v/>
      </c>
      <c r="Q60" s="17">
        <f>L60/$X$8</f>
        <v/>
      </c>
      <c r="R60" s="17">
        <f>M60/$X$9</f>
        <v/>
      </c>
      <c r="S60" s="17">
        <f>MAX(N60:R60)</f>
        <v/>
      </c>
    </row>
    <row r="61">
      <c r="A61" s="5" t="n">
        <v>3</v>
      </c>
      <c r="B61" s="5" t="n">
        <v>9</v>
      </c>
      <c r="C61" s="40">
        <f>Raw_Data_IF!B14</f>
        <v/>
      </c>
      <c r="D61" s="18">
        <f>Raw_Data_IF!F14</f>
        <v/>
      </c>
      <c r="E61" s="17">
        <f>Raw_Data_IF!L14</f>
        <v/>
      </c>
      <c r="F61" s="17">
        <f>Raw_Data_IF!F14-MEDIAN(Raw_Data_IF!D14:I14)</f>
        <v/>
      </c>
      <c r="G61" s="17">
        <f>Raw_Data_IF!L14-MEDIAN(Raw_Data_IF!J14:O14)</f>
        <v/>
      </c>
      <c r="H61" s="15">
        <f>Raw_Data_IF!F14/MAX(Raw_Data_IF!L14,cfg_if_i_floor)</f>
        <v/>
      </c>
      <c r="I61" s="17">
        <f>ABS(D61-$V$5)</f>
        <v/>
      </c>
      <c r="J61" s="17">
        <f>ABS(E61-$V$6)</f>
        <v/>
      </c>
      <c r="K61" s="17">
        <f>ABS(F61-$V$7)</f>
        <v/>
      </c>
      <c r="L61" s="17">
        <f>ABS(G61-$V$8)</f>
        <v/>
      </c>
      <c r="M61" s="17">
        <f>ABS(H61-$V$9)</f>
        <v/>
      </c>
      <c r="N61" s="17">
        <f>I61/$X$5</f>
        <v/>
      </c>
      <c r="O61" s="17">
        <f>J61/$X$6</f>
        <v/>
      </c>
      <c r="P61" s="17">
        <f>K61/$X$7</f>
        <v/>
      </c>
      <c r="Q61" s="17">
        <f>L61/$X$8</f>
        <v/>
      </c>
      <c r="R61" s="17">
        <f>M61/$X$9</f>
        <v/>
      </c>
      <c r="S61" s="17">
        <f>MAX(N61:R61)</f>
        <v/>
      </c>
    </row>
    <row r="62">
      <c r="A62" s="5" t="n">
        <v>4</v>
      </c>
      <c r="B62" s="5" t="n">
        <v>9</v>
      </c>
      <c r="C62" s="40">
        <f>Raw_Data_IF!B14</f>
        <v/>
      </c>
      <c r="D62" s="18">
        <f>Raw_Data_IF!G14</f>
        <v/>
      </c>
      <c r="E62" s="17">
        <f>Raw_Data_IF!M14</f>
        <v/>
      </c>
      <c r="F62" s="17">
        <f>Raw_Data_IF!G14-MEDIAN(Raw_Data_IF!D14:I14)</f>
        <v/>
      </c>
      <c r="G62" s="17">
        <f>Raw_Data_IF!M14-MEDIAN(Raw_Data_IF!J14:O14)</f>
        <v/>
      </c>
      <c r="H62" s="15">
        <f>Raw_Data_IF!G14/MAX(Raw_Data_IF!M14,cfg_if_i_floor)</f>
        <v/>
      </c>
      <c r="I62" s="17">
        <f>ABS(D62-$V$5)</f>
        <v/>
      </c>
      <c r="J62" s="17">
        <f>ABS(E62-$V$6)</f>
        <v/>
      </c>
      <c r="K62" s="17">
        <f>ABS(F62-$V$7)</f>
        <v/>
      </c>
      <c r="L62" s="17">
        <f>ABS(G62-$V$8)</f>
        <v/>
      </c>
      <c r="M62" s="17">
        <f>ABS(H62-$V$9)</f>
        <v/>
      </c>
      <c r="N62" s="17">
        <f>I62/$X$5</f>
        <v/>
      </c>
      <c r="O62" s="17">
        <f>J62/$X$6</f>
        <v/>
      </c>
      <c r="P62" s="17">
        <f>K62/$X$7</f>
        <v/>
      </c>
      <c r="Q62" s="17">
        <f>L62/$X$8</f>
        <v/>
      </c>
      <c r="R62" s="17">
        <f>M62/$X$9</f>
        <v/>
      </c>
      <c r="S62" s="17">
        <f>MAX(N62:R62)</f>
        <v/>
      </c>
    </row>
    <row r="63">
      <c r="A63" s="5" t="n">
        <v>5</v>
      </c>
      <c r="B63" s="5" t="n">
        <v>9</v>
      </c>
      <c r="C63" s="40">
        <f>Raw_Data_IF!B14</f>
        <v/>
      </c>
      <c r="D63" s="18">
        <f>Raw_Data_IF!H14</f>
        <v/>
      </c>
      <c r="E63" s="17">
        <f>Raw_Data_IF!N14</f>
        <v/>
      </c>
      <c r="F63" s="17">
        <f>Raw_Data_IF!H14-MEDIAN(Raw_Data_IF!D14:I14)</f>
        <v/>
      </c>
      <c r="G63" s="17">
        <f>Raw_Data_IF!N14-MEDIAN(Raw_Data_IF!J14:O14)</f>
        <v/>
      </c>
      <c r="H63" s="15">
        <f>Raw_Data_IF!H14/MAX(Raw_Data_IF!N14,cfg_if_i_floor)</f>
        <v/>
      </c>
      <c r="I63" s="17">
        <f>ABS(D63-$V$5)</f>
        <v/>
      </c>
      <c r="J63" s="17">
        <f>ABS(E63-$V$6)</f>
        <v/>
      </c>
      <c r="K63" s="17">
        <f>ABS(F63-$V$7)</f>
        <v/>
      </c>
      <c r="L63" s="17">
        <f>ABS(G63-$V$8)</f>
        <v/>
      </c>
      <c r="M63" s="17">
        <f>ABS(H63-$V$9)</f>
        <v/>
      </c>
      <c r="N63" s="17">
        <f>I63/$X$5</f>
        <v/>
      </c>
      <c r="O63" s="17">
        <f>J63/$X$6</f>
        <v/>
      </c>
      <c r="P63" s="17">
        <f>K63/$X$7</f>
        <v/>
      </c>
      <c r="Q63" s="17">
        <f>L63/$X$8</f>
        <v/>
      </c>
      <c r="R63" s="17">
        <f>M63/$X$9</f>
        <v/>
      </c>
      <c r="S63" s="17">
        <f>MAX(N63:R63)</f>
        <v/>
      </c>
    </row>
    <row r="64">
      <c r="A64" s="5" t="n">
        <v>6</v>
      </c>
      <c r="B64" s="5" t="n">
        <v>9</v>
      </c>
      <c r="C64" s="40">
        <f>Raw_Data_IF!B14</f>
        <v/>
      </c>
      <c r="D64" s="18">
        <f>Raw_Data_IF!I14</f>
        <v/>
      </c>
      <c r="E64" s="17">
        <f>Raw_Data_IF!O14</f>
        <v/>
      </c>
      <c r="F64" s="17">
        <f>Raw_Data_IF!I14-MEDIAN(Raw_Data_IF!D14:I14)</f>
        <v/>
      </c>
      <c r="G64" s="17">
        <f>Raw_Data_IF!O14-MEDIAN(Raw_Data_IF!J14:O14)</f>
        <v/>
      </c>
      <c r="H64" s="15">
        <f>Raw_Data_IF!I14/MAX(Raw_Data_IF!O14,cfg_if_i_floor)</f>
        <v/>
      </c>
      <c r="I64" s="17">
        <f>ABS(D64-$V$5)</f>
        <v/>
      </c>
      <c r="J64" s="17">
        <f>ABS(E64-$V$6)</f>
        <v/>
      </c>
      <c r="K64" s="17">
        <f>ABS(F64-$V$7)</f>
        <v/>
      </c>
      <c r="L64" s="17">
        <f>ABS(G64-$V$8)</f>
        <v/>
      </c>
      <c r="M64" s="17">
        <f>ABS(H64-$V$9)</f>
        <v/>
      </c>
      <c r="N64" s="17">
        <f>I64/$X$5</f>
        <v/>
      </c>
      <c r="O64" s="17">
        <f>J64/$X$6</f>
        <v/>
      </c>
      <c r="P64" s="17">
        <f>K64/$X$7</f>
        <v/>
      </c>
      <c r="Q64" s="17">
        <f>L64/$X$8</f>
        <v/>
      </c>
      <c r="R64" s="17">
        <f>M64/$X$9</f>
        <v/>
      </c>
      <c r="S64" s="17">
        <f>MAX(N64:R64)</f>
        <v/>
      </c>
    </row>
    <row r="65">
      <c r="A65" s="5" t="n">
        <v>1</v>
      </c>
      <c r="B65" s="5" t="n">
        <v>10</v>
      </c>
      <c r="C65" s="40">
        <f>Raw_Data_IF!B15</f>
        <v/>
      </c>
      <c r="D65" s="18">
        <f>Raw_Data_IF!D15</f>
        <v/>
      </c>
      <c r="E65" s="17">
        <f>Raw_Data_IF!J15</f>
        <v/>
      </c>
      <c r="F65" s="17">
        <f>Raw_Data_IF!D15-MEDIAN(Raw_Data_IF!D15:I15)</f>
        <v/>
      </c>
      <c r="G65" s="17">
        <f>Raw_Data_IF!J15-MEDIAN(Raw_Data_IF!J15:O15)</f>
        <v/>
      </c>
      <c r="H65" s="15">
        <f>Raw_Data_IF!D15/MAX(Raw_Data_IF!J15,cfg_if_i_floor)</f>
        <v/>
      </c>
      <c r="I65" s="17">
        <f>ABS(D65-$V$5)</f>
        <v/>
      </c>
      <c r="J65" s="17">
        <f>ABS(E65-$V$6)</f>
        <v/>
      </c>
      <c r="K65" s="17">
        <f>ABS(F65-$V$7)</f>
        <v/>
      </c>
      <c r="L65" s="17">
        <f>ABS(G65-$V$8)</f>
        <v/>
      </c>
      <c r="M65" s="17">
        <f>ABS(H65-$V$9)</f>
        <v/>
      </c>
      <c r="N65" s="17">
        <f>I65/$X$5</f>
        <v/>
      </c>
      <c r="O65" s="17">
        <f>J65/$X$6</f>
        <v/>
      </c>
      <c r="P65" s="17">
        <f>K65/$X$7</f>
        <v/>
      </c>
      <c r="Q65" s="17">
        <f>L65/$X$8</f>
        <v/>
      </c>
      <c r="R65" s="17">
        <f>M65/$X$9</f>
        <v/>
      </c>
      <c r="S65" s="17">
        <f>MAX(N65:R65)</f>
        <v/>
      </c>
    </row>
    <row r="66">
      <c r="A66" s="5" t="n">
        <v>2</v>
      </c>
      <c r="B66" s="5" t="n">
        <v>10</v>
      </c>
      <c r="C66" s="40">
        <f>Raw_Data_IF!B15</f>
        <v/>
      </c>
      <c r="D66" s="18">
        <f>Raw_Data_IF!E15</f>
        <v/>
      </c>
      <c r="E66" s="17">
        <f>Raw_Data_IF!K15</f>
        <v/>
      </c>
      <c r="F66" s="17">
        <f>Raw_Data_IF!E15-MEDIAN(Raw_Data_IF!D15:I15)</f>
        <v/>
      </c>
      <c r="G66" s="17">
        <f>Raw_Data_IF!K15-MEDIAN(Raw_Data_IF!J15:O15)</f>
        <v/>
      </c>
      <c r="H66" s="15">
        <f>Raw_Data_IF!E15/MAX(Raw_Data_IF!K15,cfg_if_i_floor)</f>
        <v/>
      </c>
      <c r="I66" s="17">
        <f>ABS(D66-$V$5)</f>
        <v/>
      </c>
      <c r="J66" s="17">
        <f>ABS(E66-$V$6)</f>
        <v/>
      </c>
      <c r="K66" s="17">
        <f>ABS(F66-$V$7)</f>
        <v/>
      </c>
      <c r="L66" s="17">
        <f>ABS(G66-$V$8)</f>
        <v/>
      </c>
      <c r="M66" s="17">
        <f>ABS(H66-$V$9)</f>
        <v/>
      </c>
      <c r="N66" s="17">
        <f>I66/$X$5</f>
        <v/>
      </c>
      <c r="O66" s="17">
        <f>J66/$X$6</f>
        <v/>
      </c>
      <c r="P66" s="17">
        <f>K66/$X$7</f>
        <v/>
      </c>
      <c r="Q66" s="17">
        <f>L66/$X$8</f>
        <v/>
      </c>
      <c r="R66" s="17">
        <f>M66/$X$9</f>
        <v/>
      </c>
      <c r="S66" s="17">
        <f>MAX(N66:R66)</f>
        <v/>
      </c>
    </row>
    <row r="67">
      <c r="A67" s="5" t="n">
        <v>3</v>
      </c>
      <c r="B67" s="5" t="n">
        <v>10</v>
      </c>
      <c r="C67" s="40">
        <f>Raw_Data_IF!B15</f>
        <v/>
      </c>
      <c r="D67" s="18">
        <f>Raw_Data_IF!F15</f>
        <v/>
      </c>
      <c r="E67" s="17">
        <f>Raw_Data_IF!L15</f>
        <v/>
      </c>
      <c r="F67" s="17">
        <f>Raw_Data_IF!F15-MEDIAN(Raw_Data_IF!D15:I15)</f>
        <v/>
      </c>
      <c r="G67" s="17">
        <f>Raw_Data_IF!L15-MEDIAN(Raw_Data_IF!J15:O15)</f>
        <v/>
      </c>
      <c r="H67" s="15">
        <f>Raw_Data_IF!F15/MAX(Raw_Data_IF!L15,cfg_if_i_floor)</f>
        <v/>
      </c>
      <c r="I67" s="17">
        <f>ABS(D67-$V$5)</f>
        <v/>
      </c>
      <c r="J67" s="17">
        <f>ABS(E67-$V$6)</f>
        <v/>
      </c>
      <c r="K67" s="17">
        <f>ABS(F67-$V$7)</f>
        <v/>
      </c>
      <c r="L67" s="17">
        <f>ABS(G67-$V$8)</f>
        <v/>
      </c>
      <c r="M67" s="17">
        <f>ABS(H67-$V$9)</f>
        <v/>
      </c>
      <c r="N67" s="17">
        <f>I67/$X$5</f>
        <v/>
      </c>
      <c r="O67" s="17">
        <f>J67/$X$6</f>
        <v/>
      </c>
      <c r="P67" s="17">
        <f>K67/$X$7</f>
        <v/>
      </c>
      <c r="Q67" s="17">
        <f>L67/$X$8</f>
        <v/>
      </c>
      <c r="R67" s="17">
        <f>M67/$X$9</f>
        <v/>
      </c>
      <c r="S67" s="17">
        <f>MAX(N67:R67)</f>
        <v/>
      </c>
    </row>
    <row r="68">
      <c r="A68" s="5" t="n">
        <v>4</v>
      </c>
      <c r="B68" s="5" t="n">
        <v>10</v>
      </c>
      <c r="C68" s="40">
        <f>Raw_Data_IF!B15</f>
        <v/>
      </c>
      <c r="D68" s="18">
        <f>Raw_Data_IF!G15</f>
        <v/>
      </c>
      <c r="E68" s="17">
        <f>Raw_Data_IF!M15</f>
        <v/>
      </c>
      <c r="F68" s="17">
        <f>Raw_Data_IF!G15-MEDIAN(Raw_Data_IF!D15:I15)</f>
        <v/>
      </c>
      <c r="G68" s="17">
        <f>Raw_Data_IF!M15-MEDIAN(Raw_Data_IF!J15:O15)</f>
        <v/>
      </c>
      <c r="H68" s="15">
        <f>Raw_Data_IF!G15/MAX(Raw_Data_IF!M15,cfg_if_i_floor)</f>
        <v/>
      </c>
      <c r="I68" s="17">
        <f>ABS(D68-$V$5)</f>
        <v/>
      </c>
      <c r="J68" s="17">
        <f>ABS(E68-$V$6)</f>
        <v/>
      </c>
      <c r="K68" s="17">
        <f>ABS(F68-$V$7)</f>
        <v/>
      </c>
      <c r="L68" s="17">
        <f>ABS(G68-$V$8)</f>
        <v/>
      </c>
      <c r="M68" s="17">
        <f>ABS(H68-$V$9)</f>
        <v/>
      </c>
      <c r="N68" s="17">
        <f>I68/$X$5</f>
        <v/>
      </c>
      <c r="O68" s="17">
        <f>J68/$X$6</f>
        <v/>
      </c>
      <c r="P68" s="17">
        <f>K68/$X$7</f>
        <v/>
      </c>
      <c r="Q68" s="17">
        <f>L68/$X$8</f>
        <v/>
      </c>
      <c r="R68" s="17">
        <f>M68/$X$9</f>
        <v/>
      </c>
      <c r="S68" s="17">
        <f>MAX(N68:R68)</f>
        <v/>
      </c>
    </row>
    <row r="69">
      <c r="A69" s="5" t="n">
        <v>5</v>
      </c>
      <c r="B69" s="5" t="n">
        <v>10</v>
      </c>
      <c r="C69" s="40">
        <f>Raw_Data_IF!B15</f>
        <v/>
      </c>
      <c r="D69" s="18">
        <f>Raw_Data_IF!H15</f>
        <v/>
      </c>
      <c r="E69" s="17">
        <f>Raw_Data_IF!N15</f>
        <v/>
      </c>
      <c r="F69" s="17">
        <f>Raw_Data_IF!H15-MEDIAN(Raw_Data_IF!D15:I15)</f>
        <v/>
      </c>
      <c r="G69" s="17">
        <f>Raw_Data_IF!N15-MEDIAN(Raw_Data_IF!J15:O15)</f>
        <v/>
      </c>
      <c r="H69" s="15">
        <f>Raw_Data_IF!H15/MAX(Raw_Data_IF!N15,cfg_if_i_floor)</f>
        <v/>
      </c>
      <c r="I69" s="17">
        <f>ABS(D69-$V$5)</f>
        <v/>
      </c>
      <c r="J69" s="17">
        <f>ABS(E69-$V$6)</f>
        <v/>
      </c>
      <c r="K69" s="17">
        <f>ABS(F69-$V$7)</f>
        <v/>
      </c>
      <c r="L69" s="17">
        <f>ABS(G69-$V$8)</f>
        <v/>
      </c>
      <c r="M69" s="17">
        <f>ABS(H69-$V$9)</f>
        <v/>
      </c>
      <c r="N69" s="17">
        <f>I69/$X$5</f>
        <v/>
      </c>
      <c r="O69" s="17">
        <f>J69/$X$6</f>
        <v/>
      </c>
      <c r="P69" s="17">
        <f>K69/$X$7</f>
        <v/>
      </c>
      <c r="Q69" s="17">
        <f>L69/$X$8</f>
        <v/>
      </c>
      <c r="R69" s="17">
        <f>M69/$X$9</f>
        <v/>
      </c>
      <c r="S69" s="17">
        <f>MAX(N69:R69)</f>
        <v/>
      </c>
    </row>
    <row r="70">
      <c r="A70" s="5" t="n">
        <v>6</v>
      </c>
      <c r="B70" s="5" t="n">
        <v>10</v>
      </c>
      <c r="C70" s="40">
        <f>Raw_Data_IF!B15</f>
        <v/>
      </c>
      <c r="D70" s="18">
        <f>Raw_Data_IF!I15</f>
        <v/>
      </c>
      <c r="E70" s="17">
        <f>Raw_Data_IF!O15</f>
        <v/>
      </c>
      <c r="F70" s="17">
        <f>Raw_Data_IF!I15-MEDIAN(Raw_Data_IF!D15:I15)</f>
        <v/>
      </c>
      <c r="G70" s="17">
        <f>Raw_Data_IF!O15-MEDIAN(Raw_Data_IF!J15:O15)</f>
        <v/>
      </c>
      <c r="H70" s="15">
        <f>Raw_Data_IF!I15/MAX(Raw_Data_IF!O15,cfg_if_i_floor)</f>
        <v/>
      </c>
      <c r="I70" s="17">
        <f>ABS(D70-$V$5)</f>
        <v/>
      </c>
      <c r="J70" s="17">
        <f>ABS(E70-$V$6)</f>
        <v/>
      </c>
      <c r="K70" s="17">
        <f>ABS(F70-$V$7)</f>
        <v/>
      </c>
      <c r="L70" s="17">
        <f>ABS(G70-$V$8)</f>
        <v/>
      </c>
      <c r="M70" s="17">
        <f>ABS(H70-$V$9)</f>
        <v/>
      </c>
      <c r="N70" s="17">
        <f>I70/$X$5</f>
        <v/>
      </c>
      <c r="O70" s="17">
        <f>J70/$X$6</f>
        <v/>
      </c>
      <c r="P70" s="17">
        <f>K70/$X$7</f>
        <v/>
      </c>
      <c r="Q70" s="17">
        <f>L70/$X$8</f>
        <v/>
      </c>
      <c r="R70" s="17">
        <f>M70/$X$9</f>
        <v/>
      </c>
      <c r="S70" s="17">
        <f>MAX(N70:R70)</f>
        <v/>
      </c>
    </row>
    <row r="71">
      <c r="A71" s="5" t="n">
        <v>1</v>
      </c>
      <c r="B71" s="5" t="n">
        <v>11</v>
      </c>
      <c r="C71" s="40">
        <f>Raw_Data_IF!B16</f>
        <v/>
      </c>
      <c r="D71" s="18">
        <f>Raw_Data_IF!D16</f>
        <v/>
      </c>
      <c r="E71" s="17">
        <f>Raw_Data_IF!J16</f>
        <v/>
      </c>
      <c r="F71" s="17">
        <f>Raw_Data_IF!D16-MEDIAN(Raw_Data_IF!D16:I16)</f>
        <v/>
      </c>
      <c r="G71" s="17">
        <f>Raw_Data_IF!J16-MEDIAN(Raw_Data_IF!J16:O16)</f>
        <v/>
      </c>
      <c r="H71" s="15">
        <f>Raw_Data_IF!D16/MAX(Raw_Data_IF!J16,cfg_if_i_floor)</f>
        <v/>
      </c>
      <c r="I71" s="17">
        <f>ABS(D71-$V$5)</f>
        <v/>
      </c>
      <c r="J71" s="17">
        <f>ABS(E71-$V$6)</f>
        <v/>
      </c>
      <c r="K71" s="17">
        <f>ABS(F71-$V$7)</f>
        <v/>
      </c>
      <c r="L71" s="17">
        <f>ABS(G71-$V$8)</f>
        <v/>
      </c>
      <c r="M71" s="17">
        <f>ABS(H71-$V$9)</f>
        <v/>
      </c>
      <c r="N71" s="17">
        <f>I71/$X$5</f>
        <v/>
      </c>
      <c r="O71" s="17">
        <f>J71/$X$6</f>
        <v/>
      </c>
      <c r="P71" s="17">
        <f>K71/$X$7</f>
        <v/>
      </c>
      <c r="Q71" s="17">
        <f>L71/$X$8</f>
        <v/>
      </c>
      <c r="R71" s="17">
        <f>M71/$X$9</f>
        <v/>
      </c>
      <c r="S71" s="17">
        <f>MAX(N71:R71)</f>
        <v/>
      </c>
    </row>
    <row r="72">
      <c r="A72" s="5" t="n">
        <v>2</v>
      </c>
      <c r="B72" s="5" t="n">
        <v>11</v>
      </c>
      <c r="C72" s="40">
        <f>Raw_Data_IF!B16</f>
        <v/>
      </c>
      <c r="D72" s="18">
        <f>Raw_Data_IF!E16</f>
        <v/>
      </c>
      <c r="E72" s="17">
        <f>Raw_Data_IF!K16</f>
        <v/>
      </c>
      <c r="F72" s="17">
        <f>Raw_Data_IF!E16-MEDIAN(Raw_Data_IF!D16:I16)</f>
        <v/>
      </c>
      <c r="G72" s="17">
        <f>Raw_Data_IF!K16-MEDIAN(Raw_Data_IF!J16:O16)</f>
        <v/>
      </c>
      <c r="H72" s="15">
        <f>Raw_Data_IF!E16/MAX(Raw_Data_IF!K16,cfg_if_i_floor)</f>
        <v/>
      </c>
      <c r="I72" s="17">
        <f>ABS(D72-$V$5)</f>
        <v/>
      </c>
      <c r="J72" s="17">
        <f>ABS(E72-$V$6)</f>
        <v/>
      </c>
      <c r="K72" s="17">
        <f>ABS(F72-$V$7)</f>
        <v/>
      </c>
      <c r="L72" s="17">
        <f>ABS(G72-$V$8)</f>
        <v/>
      </c>
      <c r="M72" s="17">
        <f>ABS(H72-$V$9)</f>
        <v/>
      </c>
      <c r="N72" s="17">
        <f>I72/$X$5</f>
        <v/>
      </c>
      <c r="O72" s="17">
        <f>J72/$X$6</f>
        <v/>
      </c>
      <c r="P72" s="17">
        <f>K72/$X$7</f>
        <v/>
      </c>
      <c r="Q72" s="17">
        <f>L72/$X$8</f>
        <v/>
      </c>
      <c r="R72" s="17">
        <f>M72/$X$9</f>
        <v/>
      </c>
      <c r="S72" s="17">
        <f>MAX(N72:R72)</f>
        <v/>
      </c>
    </row>
    <row r="73">
      <c r="A73" s="5" t="n">
        <v>3</v>
      </c>
      <c r="B73" s="5" t="n">
        <v>11</v>
      </c>
      <c r="C73" s="40">
        <f>Raw_Data_IF!B16</f>
        <v/>
      </c>
      <c r="D73" s="18">
        <f>Raw_Data_IF!F16</f>
        <v/>
      </c>
      <c r="E73" s="17">
        <f>Raw_Data_IF!L16</f>
        <v/>
      </c>
      <c r="F73" s="17">
        <f>Raw_Data_IF!F16-MEDIAN(Raw_Data_IF!D16:I16)</f>
        <v/>
      </c>
      <c r="G73" s="17">
        <f>Raw_Data_IF!L16-MEDIAN(Raw_Data_IF!J16:O16)</f>
        <v/>
      </c>
      <c r="H73" s="15">
        <f>Raw_Data_IF!F16/MAX(Raw_Data_IF!L16,cfg_if_i_floor)</f>
        <v/>
      </c>
      <c r="I73" s="17">
        <f>ABS(D73-$V$5)</f>
        <v/>
      </c>
      <c r="J73" s="17">
        <f>ABS(E73-$V$6)</f>
        <v/>
      </c>
      <c r="K73" s="17">
        <f>ABS(F73-$V$7)</f>
        <v/>
      </c>
      <c r="L73" s="17">
        <f>ABS(G73-$V$8)</f>
        <v/>
      </c>
      <c r="M73" s="17">
        <f>ABS(H73-$V$9)</f>
        <v/>
      </c>
      <c r="N73" s="17">
        <f>I73/$X$5</f>
        <v/>
      </c>
      <c r="O73" s="17">
        <f>J73/$X$6</f>
        <v/>
      </c>
      <c r="P73" s="17">
        <f>K73/$X$7</f>
        <v/>
      </c>
      <c r="Q73" s="17">
        <f>L73/$X$8</f>
        <v/>
      </c>
      <c r="R73" s="17">
        <f>M73/$X$9</f>
        <v/>
      </c>
      <c r="S73" s="17">
        <f>MAX(N73:R73)</f>
        <v/>
      </c>
    </row>
    <row r="74">
      <c r="A74" s="5" t="n">
        <v>4</v>
      </c>
      <c r="B74" s="5" t="n">
        <v>11</v>
      </c>
      <c r="C74" s="40">
        <f>Raw_Data_IF!B16</f>
        <v/>
      </c>
      <c r="D74" s="18">
        <f>Raw_Data_IF!G16</f>
        <v/>
      </c>
      <c r="E74" s="17">
        <f>Raw_Data_IF!M16</f>
        <v/>
      </c>
      <c r="F74" s="17">
        <f>Raw_Data_IF!G16-MEDIAN(Raw_Data_IF!D16:I16)</f>
        <v/>
      </c>
      <c r="G74" s="17">
        <f>Raw_Data_IF!M16-MEDIAN(Raw_Data_IF!J16:O16)</f>
        <v/>
      </c>
      <c r="H74" s="15">
        <f>Raw_Data_IF!G16/MAX(Raw_Data_IF!M16,cfg_if_i_floor)</f>
        <v/>
      </c>
      <c r="I74" s="17">
        <f>ABS(D74-$V$5)</f>
        <v/>
      </c>
      <c r="J74" s="17">
        <f>ABS(E74-$V$6)</f>
        <v/>
      </c>
      <c r="K74" s="17">
        <f>ABS(F74-$V$7)</f>
        <v/>
      </c>
      <c r="L74" s="17">
        <f>ABS(G74-$V$8)</f>
        <v/>
      </c>
      <c r="M74" s="17">
        <f>ABS(H74-$V$9)</f>
        <v/>
      </c>
      <c r="N74" s="17">
        <f>I74/$X$5</f>
        <v/>
      </c>
      <c r="O74" s="17">
        <f>J74/$X$6</f>
        <v/>
      </c>
      <c r="P74" s="17">
        <f>K74/$X$7</f>
        <v/>
      </c>
      <c r="Q74" s="17">
        <f>L74/$X$8</f>
        <v/>
      </c>
      <c r="R74" s="17">
        <f>M74/$X$9</f>
        <v/>
      </c>
      <c r="S74" s="17">
        <f>MAX(N74:R74)</f>
        <v/>
      </c>
    </row>
    <row r="75">
      <c r="A75" s="5" t="n">
        <v>5</v>
      </c>
      <c r="B75" s="5" t="n">
        <v>11</v>
      </c>
      <c r="C75" s="40">
        <f>Raw_Data_IF!B16</f>
        <v/>
      </c>
      <c r="D75" s="18">
        <f>Raw_Data_IF!H16</f>
        <v/>
      </c>
      <c r="E75" s="17">
        <f>Raw_Data_IF!N16</f>
        <v/>
      </c>
      <c r="F75" s="17">
        <f>Raw_Data_IF!H16-MEDIAN(Raw_Data_IF!D16:I16)</f>
        <v/>
      </c>
      <c r="G75" s="17">
        <f>Raw_Data_IF!N16-MEDIAN(Raw_Data_IF!J16:O16)</f>
        <v/>
      </c>
      <c r="H75" s="15">
        <f>Raw_Data_IF!H16/MAX(Raw_Data_IF!N16,cfg_if_i_floor)</f>
        <v/>
      </c>
      <c r="I75" s="17">
        <f>ABS(D75-$V$5)</f>
        <v/>
      </c>
      <c r="J75" s="17">
        <f>ABS(E75-$V$6)</f>
        <v/>
      </c>
      <c r="K75" s="17">
        <f>ABS(F75-$V$7)</f>
        <v/>
      </c>
      <c r="L75" s="17">
        <f>ABS(G75-$V$8)</f>
        <v/>
      </c>
      <c r="M75" s="17">
        <f>ABS(H75-$V$9)</f>
        <v/>
      </c>
      <c r="N75" s="17">
        <f>I75/$X$5</f>
        <v/>
      </c>
      <c r="O75" s="17">
        <f>J75/$X$6</f>
        <v/>
      </c>
      <c r="P75" s="17">
        <f>K75/$X$7</f>
        <v/>
      </c>
      <c r="Q75" s="17">
        <f>L75/$X$8</f>
        <v/>
      </c>
      <c r="R75" s="17">
        <f>M75/$X$9</f>
        <v/>
      </c>
      <c r="S75" s="17">
        <f>MAX(N75:R75)</f>
        <v/>
      </c>
    </row>
    <row r="76">
      <c r="A76" s="5" t="n">
        <v>6</v>
      </c>
      <c r="B76" s="5" t="n">
        <v>11</v>
      </c>
      <c r="C76" s="40">
        <f>Raw_Data_IF!B16</f>
        <v/>
      </c>
      <c r="D76" s="18">
        <f>Raw_Data_IF!I16</f>
        <v/>
      </c>
      <c r="E76" s="17">
        <f>Raw_Data_IF!O16</f>
        <v/>
      </c>
      <c r="F76" s="17">
        <f>Raw_Data_IF!I16-MEDIAN(Raw_Data_IF!D16:I16)</f>
        <v/>
      </c>
      <c r="G76" s="17">
        <f>Raw_Data_IF!O16-MEDIAN(Raw_Data_IF!J16:O16)</f>
        <v/>
      </c>
      <c r="H76" s="15">
        <f>Raw_Data_IF!I16/MAX(Raw_Data_IF!O16,cfg_if_i_floor)</f>
        <v/>
      </c>
      <c r="I76" s="17">
        <f>ABS(D76-$V$5)</f>
        <v/>
      </c>
      <c r="J76" s="17">
        <f>ABS(E76-$V$6)</f>
        <v/>
      </c>
      <c r="K76" s="17">
        <f>ABS(F76-$V$7)</f>
        <v/>
      </c>
      <c r="L76" s="17">
        <f>ABS(G76-$V$8)</f>
        <v/>
      </c>
      <c r="M76" s="17">
        <f>ABS(H76-$V$9)</f>
        <v/>
      </c>
      <c r="N76" s="17">
        <f>I76/$X$5</f>
        <v/>
      </c>
      <c r="O76" s="17">
        <f>J76/$X$6</f>
        <v/>
      </c>
      <c r="P76" s="17">
        <f>K76/$X$7</f>
        <v/>
      </c>
      <c r="Q76" s="17">
        <f>L76/$X$8</f>
        <v/>
      </c>
      <c r="R76" s="17">
        <f>M76/$X$9</f>
        <v/>
      </c>
      <c r="S76" s="17">
        <f>MAX(N76:R76)</f>
        <v/>
      </c>
    </row>
    <row r="77">
      <c r="A77" s="5" t="n">
        <v>1</v>
      </c>
      <c r="B77" s="5" t="n">
        <v>12</v>
      </c>
      <c r="C77" s="40">
        <f>Raw_Data_IF!B17</f>
        <v/>
      </c>
      <c r="D77" s="18">
        <f>Raw_Data_IF!D17</f>
        <v/>
      </c>
      <c r="E77" s="17">
        <f>Raw_Data_IF!J17</f>
        <v/>
      </c>
      <c r="F77" s="17">
        <f>Raw_Data_IF!D17-MEDIAN(Raw_Data_IF!D17:I17)</f>
        <v/>
      </c>
      <c r="G77" s="17">
        <f>Raw_Data_IF!J17-MEDIAN(Raw_Data_IF!J17:O17)</f>
        <v/>
      </c>
      <c r="H77" s="15">
        <f>Raw_Data_IF!D17/MAX(Raw_Data_IF!J17,cfg_if_i_floor)</f>
        <v/>
      </c>
      <c r="I77" s="17">
        <f>ABS(D77-$V$5)</f>
        <v/>
      </c>
      <c r="J77" s="17">
        <f>ABS(E77-$V$6)</f>
        <v/>
      </c>
      <c r="K77" s="17">
        <f>ABS(F77-$V$7)</f>
        <v/>
      </c>
      <c r="L77" s="17">
        <f>ABS(G77-$V$8)</f>
        <v/>
      </c>
      <c r="M77" s="17">
        <f>ABS(H77-$V$9)</f>
        <v/>
      </c>
      <c r="N77" s="17">
        <f>I77/$X$5</f>
        <v/>
      </c>
      <c r="O77" s="17">
        <f>J77/$X$6</f>
        <v/>
      </c>
      <c r="P77" s="17">
        <f>K77/$X$7</f>
        <v/>
      </c>
      <c r="Q77" s="17">
        <f>L77/$X$8</f>
        <v/>
      </c>
      <c r="R77" s="17">
        <f>M77/$X$9</f>
        <v/>
      </c>
      <c r="S77" s="17">
        <f>MAX(N77:R77)</f>
        <v/>
      </c>
    </row>
    <row r="78">
      <c r="A78" s="5" t="n">
        <v>2</v>
      </c>
      <c r="B78" s="5" t="n">
        <v>12</v>
      </c>
      <c r="C78" s="40">
        <f>Raw_Data_IF!B17</f>
        <v/>
      </c>
      <c r="D78" s="18">
        <f>Raw_Data_IF!E17</f>
        <v/>
      </c>
      <c r="E78" s="17">
        <f>Raw_Data_IF!K17</f>
        <v/>
      </c>
      <c r="F78" s="17">
        <f>Raw_Data_IF!E17-MEDIAN(Raw_Data_IF!D17:I17)</f>
        <v/>
      </c>
      <c r="G78" s="17">
        <f>Raw_Data_IF!K17-MEDIAN(Raw_Data_IF!J17:O17)</f>
        <v/>
      </c>
      <c r="H78" s="15">
        <f>Raw_Data_IF!E17/MAX(Raw_Data_IF!K17,cfg_if_i_floor)</f>
        <v/>
      </c>
      <c r="I78" s="17">
        <f>ABS(D78-$V$5)</f>
        <v/>
      </c>
      <c r="J78" s="17">
        <f>ABS(E78-$V$6)</f>
        <v/>
      </c>
      <c r="K78" s="17">
        <f>ABS(F78-$V$7)</f>
        <v/>
      </c>
      <c r="L78" s="17">
        <f>ABS(G78-$V$8)</f>
        <v/>
      </c>
      <c r="M78" s="17">
        <f>ABS(H78-$V$9)</f>
        <v/>
      </c>
      <c r="N78" s="17">
        <f>I78/$X$5</f>
        <v/>
      </c>
      <c r="O78" s="17">
        <f>J78/$X$6</f>
        <v/>
      </c>
      <c r="P78" s="17">
        <f>K78/$X$7</f>
        <v/>
      </c>
      <c r="Q78" s="17">
        <f>L78/$X$8</f>
        <v/>
      </c>
      <c r="R78" s="17">
        <f>M78/$X$9</f>
        <v/>
      </c>
      <c r="S78" s="17">
        <f>MAX(N78:R78)</f>
        <v/>
      </c>
    </row>
    <row r="79">
      <c r="A79" s="5" t="n">
        <v>3</v>
      </c>
      <c r="B79" s="5" t="n">
        <v>12</v>
      </c>
      <c r="C79" s="40">
        <f>Raw_Data_IF!B17</f>
        <v/>
      </c>
      <c r="D79" s="18">
        <f>Raw_Data_IF!F17</f>
        <v/>
      </c>
      <c r="E79" s="17">
        <f>Raw_Data_IF!L17</f>
        <v/>
      </c>
      <c r="F79" s="17">
        <f>Raw_Data_IF!F17-MEDIAN(Raw_Data_IF!D17:I17)</f>
        <v/>
      </c>
      <c r="G79" s="17">
        <f>Raw_Data_IF!L17-MEDIAN(Raw_Data_IF!J17:O17)</f>
        <v/>
      </c>
      <c r="H79" s="15">
        <f>Raw_Data_IF!F17/MAX(Raw_Data_IF!L17,cfg_if_i_floor)</f>
        <v/>
      </c>
      <c r="I79" s="17">
        <f>ABS(D79-$V$5)</f>
        <v/>
      </c>
      <c r="J79" s="17">
        <f>ABS(E79-$V$6)</f>
        <v/>
      </c>
      <c r="K79" s="17">
        <f>ABS(F79-$V$7)</f>
        <v/>
      </c>
      <c r="L79" s="17">
        <f>ABS(G79-$V$8)</f>
        <v/>
      </c>
      <c r="M79" s="17">
        <f>ABS(H79-$V$9)</f>
        <v/>
      </c>
      <c r="N79" s="17">
        <f>I79/$X$5</f>
        <v/>
      </c>
      <c r="O79" s="17">
        <f>J79/$X$6</f>
        <v/>
      </c>
      <c r="P79" s="17">
        <f>K79/$X$7</f>
        <v/>
      </c>
      <c r="Q79" s="17">
        <f>L79/$X$8</f>
        <v/>
      </c>
      <c r="R79" s="17">
        <f>M79/$X$9</f>
        <v/>
      </c>
      <c r="S79" s="17">
        <f>MAX(N79:R79)</f>
        <v/>
      </c>
    </row>
    <row r="80">
      <c r="A80" s="5" t="n">
        <v>4</v>
      </c>
      <c r="B80" s="5" t="n">
        <v>12</v>
      </c>
      <c r="C80" s="40">
        <f>Raw_Data_IF!B17</f>
        <v/>
      </c>
      <c r="D80" s="18">
        <f>Raw_Data_IF!G17</f>
        <v/>
      </c>
      <c r="E80" s="17">
        <f>Raw_Data_IF!M17</f>
        <v/>
      </c>
      <c r="F80" s="17">
        <f>Raw_Data_IF!G17-MEDIAN(Raw_Data_IF!D17:I17)</f>
        <v/>
      </c>
      <c r="G80" s="17">
        <f>Raw_Data_IF!M17-MEDIAN(Raw_Data_IF!J17:O17)</f>
        <v/>
      </c>
      <c r="H80" s="15">
        <f>Raw_Data_IF!G17/MAX(Raw_Data_IF!M17,cfg_if_i_floor)</f>
        <v/>
      </c>
      <c r="I80" s="17">
        <f>ABS(D80-$V$5)</f>
        <v/>
      </c>
      <c r="J80" s="17">
        <f>ABS(E80-$V$6)</f>
        <v/>
      </c>
      <c r="K80" s="17">
        <f>ABS(F80-$V$7)</f>
        <v/>
      </c>
      <c r="L80" s="17">
        <f>ABS(G80-$V$8)</f>
        <v/>
      </c>
      <c r="M80" s="17">
        <f>ABS(H80-$V$9)</f>
        <v/>
      </c>
      <c r="N80" s="17">
        <f>I80/$X$5</f>
        <v/>
      </c>
      <c r="O80" s="17">
        <f>J80/$X$6</f>
        <v/>
      </c>
      <c r="P80" s="17">
        <f>K80/$X$7</f>
        <v/>
      </c>
      <c r="Q80" s="17">
        <f>L80/$X$8</f>
        <v/>
      </c>
      <c r="R80" s="17">
        <f>M80/$X$9</f>
        <v/>
      </c>
      <c r="S80" s="17">
        <f>MAX(N80:R80)</f>
        <v/>
      </c>
    </row>
    <row r="81">
      <c r="A81" s="5" t="n">
        <v>5</v>
      </c>
      <c r="B81" s="5" t="n">
        <v>12</v>
      </c>
      <c r="C81" s="40">
        <f>Raw_Data_IF!B17</f>
        <v/>
      </c>
      <c r="D81" s="18">
        <f>Raw_Data_IF!H17</f>
        <v/>
      </c>
      <c r="E81" s="17">
        <f>Raw_Data_IF!N17</f>
        <v/>
      </c>
      <c r="F81" s="17">
        <f>Raw_Data_IF!H17-MEDIAN(Raw_Data_IF!D17:I17)</f>
        <v/>
      </c>
      <c r="G81" s="17">
        <f>Raw_Data_IF!N17-MEDIAN(Raw_Data_IF!J17:O17)</f>
        <v/>
      </c>
      <c r="H81" s="15">
        <f>Raw_Data_IF!H17/MAX(Raw_Data_IF!N17,cfg_if_i_floor)</f>
        <v/>
      </c>
      <c r="I81" s="17">
        <f>ABS(D81-$V$5)</f>
        <v/>
      </c>
      <c r="J81" s="17">
        <f>ABS(E81-$V$6)</f>
        <v/>
      </c>
      <c r="K81" s="17">
        <f>ABS(F81-$V$7)</f>
        <v/>
      </c>
      <c r="L81" s="17">
        <f>ABS(G81-$V$8)</f>
        <v/>
      </c>
      <c r="M81" s="17">
        <f>ABS(H81-$V$9)</f>
        <v/>
      </c>
      <c r="N81" s="17">
        <f>I81/$X$5</f>
        <v/>
      </c>
      <c r="O81" s="17">
        <f>J81/$X$6</f>
        <v/>
      </c>
      <c r="P81" s="17">
        <f>K81/$X$7</f>
        <v/>
      </c>
      <c r="Q81" s="17">
        <f>L81/$X$8</f>
        <v/>
      </c>
      <c r="R81" s="17">
        <f>M81/$X$9</f>
        <v/>
      </c>
      <c r="S81" s="17">
        <f>MAX(N81:R81)</f>
        <v/>
      </c>
    </row>
    <row r="82">
      <c r="A82" s="5" t="n">
        <v>6</v>
      </c>
      <c r="B82" s="5" t="n">
        <v>12</v>
      </c>
      <c r="C82" s="40">
        <f>Raw_Data_IF!B17</f>
        <v/>
      </c>
      <c r="D82" s="18">
        <f>Raw_Data_IF!I17</f>
        <v/>
      </c>
      <c r="E82" s="17">
        <f>Raw_Data_IF!O17</f>
        <v/>
      </c>
      <c r="F82" s="17">
        <f>Raw_Data_IF!I17-MEDIAN(Raw_Data_IF!D17:I17)</f>
        <v/>
      </c>
      <c r="G82" s="17">
        <f>Raw_Data_IF!O17-MEDIAN(Raw_Data_IF!J17:O17)</f>
        <v/>
      </c>
      <c r="H82" s="15">
        <f>Raw_Data_IF!I17/MAX(Raw_Data_IF!O17,cfg_if_i_floor)</f>
        <v/>
      </c>
      <c r="I82" s="17">
        <f>ABS(D82-$V$5)</f>
        <v/>
      </c>
      <c r="J82" s="17">
        <f>ABS(E82-$V$6)</f>
        <v/>
      </c>
      <c r="K82" s="17">
        <f>ABS(F82-$V$7)</f>
        <v/>
      </c>
      <c r="L82" s="17">
        <f>ABS(G82-$V$8)</f>
        <v/>
      </c>
      <c r="M82" s="17">
        <f>ABS(H82-$V$9)</f>
        <v/>
      </c>
      <c r="N82" s="17">
        <f>I82/$X$5</f>
        <v/>
      </c>
      <c r="O82" s="17">
        <f>J82/$X$6</f>
        <v/>
      </c>
      <c r="P82" s="17">
        <f>K82/$X$7</f>
        <v/>
      </c>
      <c r="Q82" s="17">
        <f>L82/$X$8</f>
        <v/>
      </c>
      <c r="R82" s="17">
        <f>M82/$X$9</f>
        <v/>
      </c>
      <c r="S82" s="17">
        <f>MAX(N82:R82)</f>
        <v/>
      </c>
    </row>
    <row r="83">
      <c r="A83" s="5" t="n">
        <v>1</v>
      </c>
      <c r="B83" s="5" t="n">
        <v>13</v>
      </c>
      <c r="C83" s="40">
        <f>Raw_Data_IF!B18</f>
        <v/>
      </c>
      <c r="D83" s="18">
        <f>Raw_Data_IF!D18</f>
        <v/>
      </c>
      <c r="E83" s="17">
        <f>Raw_Data_IF!J18</f>
        <v/>
      </c>
      <c r="F83" s="17">
        <f>Raw_Data_IF!D18-MEDIAN(Raw_Data_IF!D18:I18)</f>
        <v/>
      </c>
      <c r="G83" s="17">
        <f>Raw_Data_IF!J18-MEDIAN(Raw_Data_IF!J18:O18)</f>
        <v/>
      </c>
      <c r="H83" s="15">
        <f>Raw_Data_IF!D18/MAX(Raw_Data_IF!J18,cfg_if_i_floor)</f>
        <v/>
      </c>
      <c r="I83" s="17">
        <f>ABS(D83-$V$5)</f>
        <v/>
      </c>
      <c r="J83" s="17">
        <f>ABS(E83-$V$6)</f>
        <v/>
      </c>
      <c r="K83" s="17">
        <f>ABS(F83-$V$7)</f>
        <v/>
      </c>
      <c r="L83" s="17">
        <f>ABS(G83-$V$8)</f>
        <v/>
      </c>
      <c r="M83" s="17">
        <f>ABS(H83-$V$9)</f>
        <v/>
      </c>
      <c r="N83" s="17">
        <f>I83/$X$5</f>
        <v/>
      </c>
      <c r="O83" s="17">
        <f>J83/$X$6</f>
        <v/>
      </c>
      <c r="P83" s="17">
        <f>K83/$X$7</f>
        <v/>
      </c>
      <c r="Q83" s="17">
        <f>L83/$X$8</f>
        <v/>
      </c>
      <c r="R83" s="17">
        <f>M83/$X$9</f>
        <v/>
      </c>
      <c r="S83" s="17">
        <f>MAX(N83:R83)</f>
        <v/>
      </c>
    </row>
    <row r="84">
      <c r="A84" s="5" t="n">
        <v>2</v>
      </c>
      <c r="B84" s="5" t="n">
        <v>13</v>
      </c>
      <c r="C84" s="40">
        <f>Raw_Data_IF!B18</f>
        <v/>
      </c>
      <c r="D84" s="18">
        <f>Raw_Data_IF!E18</f>
        <v/>
      </c>
      <c r="E84" s="17">
        <f>Raw_Data_IF!K18</f>
        <v/>
      </c>
      <c r="F84" s="17">
        <f>Raw_Data_IF!E18-MEDIAN(Raw_Data_IF!D18:I18)</f>
        <v/>
      </c>
      <c r="G84" s="17">
        <f>Raw_Data_IF!K18-MEDIAN(Raw_Data_IF!J18:O18)</f>
        <v/>
      </c>
      <c r="H84" s="15">
        <f>Raw_Data_IF!E18/MAX(Raw_Data_IF!K18,cfg_if_i_floor)</f>
        <v/>
      </c>
      <c r="I84" s="17">
        <f>ABS(D84-$V$5)</f>
        <v/>
      </c>
      <c r="J84" s="17">
        <f>ABS(E84-$V$6)</f>
        <v/>
      </c>
      <c r="K84" s="17">
        <f>ABS(F84-$V$7)</f>
        <v/>
      </c>
      <c r="L84" s="17">
        <f>ABS(G84-$V$8)</f>
        <v/>
      </c>
      <c r="M84" s="17">
        <f>ABS(H84-$V$9)</f>
        <v/>
      </c>
      <c r="N84" s="17">
        <f>I84/$X$5</f>
        <v/>
      </c>
      <c r="O84" s="17">
        <f>J84/$X$6</f>
        <v/>
      </c>
      <c r="P84" s="17">
        <f>K84/$X$7</f>
        <v/>
      </c>
      <c r="Q84" s="17">
        <f>L84/$X$8</f>
        <v/>
      </c>
      <c r="R84" s="17">
        <f>M84/$X$9</f>
        <v/>
      </c>
      <c r="S84" s="17">
        <f>MAX(N84:R84)</f>
        <v/>
      </c>
    </row>
    <row r="85">
      <c r="A85" s="5" t="n">
        <v>3</v>
      </c>
      <c r="B85" s="5" t="n">
        <v>13</v>
      </c>
      <c r="C85" s="40">
        <f>Raw_Data_IF!B18</f>
        <v/>
      </c>
      <c r="D85" s="18">
        <f>Raw_Data_IF!F18</f>
        <v/>
      </c>
      <c r="E85" s="17">
        <f>Raw_Data_IF!L18</f>
        <v/>
      </c>
      <c r="F85" s="17">
        <f>Raw_Data_IF!F18-MEDIAN(Raw_Data_IF!D18:I18)</f>
        <v/>
      </c>
      <c r="G85" s="17">
        <f>Raw_Data_IF!L18-MEDIAN(Raw_Data_IF!J18:O18)</f>
        <v/>
      </c>
      <c r="H85" s="15">
        <f>Raw_Data_IF!F18/MAX(Raw_Data_IF!L18,cfg_if_i_floor)</f>
        <v/>
      </c>
      <c r="I85" s="17">
        <f>ABS(D85-$V$5)</f>
        <v/>
      </c>
      <c r="J85" s="17">
        <f>ABS(E85-$V$6)</f>
        <v/>
      </c>
      <c r="K85" s="17">
        <f>ABS(F85-$V$7)</f>
        <v/>
      </c>
      <c r="L85" s="17">
        <f>ABS(G85-$V$8)</f>
        <v/>
      </c>
      <c r="M85" s="17">
        <f>ABS(H85-$V$9)</f>
        <v/>
      </c>
      <c r="N85" s="17">
        <f>I85/$X$5</f>
        <v/>
      </c>
      <c r="O85" s="17">
        <f>J85/$X$6</f>
        <v/>
      </c>
      <c r="P85" s="17">
        <f>K85/$X$7</f>
        <v/>
      </c>
      <c r="Q85" s="17">
        <f>L85/$X$8</f>
        <v/>
      </c>
      <c r="R85" s="17">
        <f>M85/$X$9</f>
        <v/>
      </c>
      <c r="S85" s="17">
        <f>MAX(N85:R85)</f>
        <v/>
      </c>
    </row>
    <row r="86">
      <c r="A86" s="5" t="n">
        <v>4</v>
      </c>
      <c r="B86" s="5" t="n">
        <v>13</v>
      </c>
      <c r="C86" s="40">
        <f>Raw_Data_IF!B18</f>
        <v/>
      </c>
      <c r="D86" s="18">
        <f>Raw_Data_IF!G18</f>
        <v/>
      </c>
      <c r="E86" s="17">
        <f>Raw_Data_IF!M18</f>
        <v/>
      </c>
      <c r="F86" s="17">
        <f>Raw_Data_IF!G18-MEDIAN(Raw_Data_IF!D18:I18)</f>
        <v/>
      </c>
      <c r="G86" s="17">
        <f>Raw_Data_IF!M18-MEDIAN(Raw_Data_IF!J18:O18)</f>
        <v/>
      </c>
      <c r="H86" s="15">
        <f>Raw_Data_IF!G18/MAX(Raw_Data_IF!M18,cfg_if_i_floor)</f>
        <v/>
      </c>
      <c r="I86" s="17">
        <f>ABS(D86-$V$5)</f>
        <v/>
      </c>
      <c r="J86" s="17">
        <f>ABS(E86-$V$6)</f>
        <v/>
      </c>
      <c r="K86" s="17">
        <f>ABS(F86-$V$7)</f>
        <v/>
      </c>
      <c r="L86" s="17">
        <f>ABS(G86-$V$8)</f>
        <v/>
      </c>
      <c r="M86" s="17">
        <f>ABS(H86-$V$9)</f>
        <v/>
      </c>
      <c r="N86" s="17">
        <f>I86/$X$5</f>
        <v/>
      </c>
      <c r="O86" s="17">
        <f>J86/$X$6</f>
        <v/>
      </c>
      <c r="P86" s="17">
        <f>K86/$X$7</f>
        <v/>
      </c>
      <c r="Q86" s="17">
        <f>L86/$X$8</f>
        <v/>
      </c>
      <c r="R86" s="17">
        <f>M86/$X$9</f>
        <v/>
      </c>
      <c r="S86" s="17">
        <f>MAX(N86:R86)</f>
        <v/>
      </c>
    </row>
    <row r="87">
      <c r="A87" s="5" t="n">
        <v>5</v>
      </c>
      <c r="B87" s="5" t="n">
        <v>13</v>
      </c>
      <c r="C87" s="40">
        <f>Raw_Data_IF!B18</f>
        <v/>
      </c>
      <c r="D87" s="18">
        <f>Raw_Data_IF!H18</f>
        <v/>
      </c>
      <c r="E87" s="17">
        <f>Raw_Data_IF!N18</f>
        <v/>
      </c>
      <c r="F87" s="17">
        <f>Raw_Data_IF!H18-MEDIAN(Raw_Data_IF!D18:I18)</f>
        <v/>
      </c>
      <c r="G87" s="17">
        <f>Raw_Data_IF!N18-MEDIAN(Raw_Data_IF!J18:O18)</f>
        <v/>
      </c>
      <c r="H87" s="15">
        <f>Raw_Data_IF!H18/MAX(Raw_Data_IF!N18,cfg_if_i_floor)</f>
        <v/>
      </c>
      <c r="I87" s="17">
        <f>ABS(D87-$V$5)</f>
        <v/>
      </c>
      <c r="J87" s="17">
        <f>ABS(E87-$V$6)</f>
        <v/>
      </c>
      <c r="K87" s="17">
        <f>ABS(F87-$V$7)</f>
        <v/>
      </c>
      <c r="L87" s="17">
        <f>ABS(G87-$V$8)</f>
        <v/>
      </c>
      <c r="M87" s="17">
        <f>ABS(H87-$V$9)</f>
        <v/>
      </c>
      <c r="N87" s="17">
        <f>I87/$X$5</f>
        <v/>
      </c>
      <c r="O87" s="17">
        <f>J87/$X$6</f>
        <v/>
      </c>
      <c r="P87" s="17">
        <f>K87/$X$7</f>
        <v/>
      </c>
      <c r="Q87" s="17">
        <f>L87/$X$8</f>
        <v/>
      </c>
      <c r="R87" s="17">
        <f>M87/$X$9</f>
        <v/>
      </c>
      <c r="S87" s="17">
        <f>MAX(N87:R87)</f>
        <v/>
      </c>
    </row>
    <row r="88">
      <c r="A88" s="5" t="n">
        <v>6</v>
      </c>
      <c r="B88" s="5" t="n">
        <v>13</v>
      </c>
      <c r="C88" s="40">
        <f>Raw_Data_IF!B18</f>
        <v/>
      </c>
      <c r="D88" s="18">
        <f>Raw_Data_IF!I18</f>
        <v/>
      </c>
      <c r="E88" s="17">
        <f>Raw_Data_IF!O18</f>
        <v/>
      </c>
      <c r="F88" s="17">
        <f>Raw_Data_IF!I18-MEDIAN(Raw_Data_IF!D18:I18)</f>
        <v/>
      </c>
      <c r="G88" s="17">
        <f>Raw_Data_IF!O18-MEDIAN(Raw_Data_IF!J18:O18)</f>
        <v/>
      </c>
      <c r="H88" s="15">
        <f>Raw_Data_IF!I18/MAX(Raw_Data_IF!O18,cfg_if_i_floor)</f>
        <v/>
      </c>
      <c r="I88" s="17">
        <f>ABS(D88-$V$5)</f>
        <v/>
      </c>
      <c r="J88" s="17">
        <f>ABS(E88-$V$6)</f>
        <v/>
      </c>
      <c r="K88" s="17">
        <f>ABS(F88-$V$7)</f>
        <v/>
      </c>
      <c r="L88" s="17">
        <f>ABS(G88-$V$8)</f>
        <v/>
      </c>
      <c r="M88" s="17">
        <f>ABS(H88-$V$9)</f>
        <v/>
      </c>
      <c r="N88" s="17">
        <f>I88/$X$5</f>
        <v/>
      </c>
      <c r="O88" s="17">
        <f>J88/$X$6</f>
        <v/>
      </c>
      <c r="P88" s="17">
        <f>K88/$X$7</f>
        <v/>
      </c>
      <c r="Q88" s="17">
        <f>L88/$X$8</f>
        <v/>
      </c>
      <c r="R88" s="17">
        <f>M88/$X$9</f>
        <v/>
      </c>
      <c r="S88" s="17">
        <f>MAX(N88:R88)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IF_Anomaly — flag contamination teratas + severity (kuartil) + confidence</t>
        </is>
      </c>
    </row>
    <row r="2">
      <c r="A2" s="24" t="inlineStr">
        <is>
          <t>threshold_A = PERCENTILE(A, 1−contamination). flag = A ≥ threshold. rank dalam flagged-set (A desc) → severity kuartil (≤25 CRITICAL, ≤50 HIGH, ≤75 MEDIUM, &gt;75 INFO) — faithful _severity_from_quartile. confidence = 100−pct·0.5.</t>
        </is>
      </c>
    </row>
    <row r="3">
      <c r="A3" s="24" t="inlineStr">
        <is>
          <t>Severity &amp; confidence FAITHFUL ke detector; tapi 'A' adalah skor MAD-approx, bukan IsolationForest. Sampel yang ditandai bisa BERBEDA dari iForest asli.</t>
        </is>
      </c>
    </row>
    <row r="4">
      <c r="A4" s="10" t="inlineStr">
        <is>
          <t>pv</t>
        </is>
      </c>
      <c r="B4" s="10" t="inlineStr">
        <is>
          <t>t</t>
        </is>
      </c>
      <c r="C4" s="10" t="inlineStr">
        <is>
          <t>Start Time</t>
        </is>
      </c>
      <c r="D4" s="10" t="inlineStr">
        <is>
          <t>A</t>
        </is>
      </c>
      <c r="E4" s="10" t="inlineStr">
        <is>
          <t>flag</t>
        </is>
      </c>
      <c r="F4" s="10" t="inlineStr">
        <is>
          <t>rank_within_flagged</t>
        </is>
      </c>
      <c r="G4" s="10" t="inlineStr">
        <is>
          <t>rank_pct</t>
        </is>
      </c>
      <c r="H4" s="10" t="inlineStr">
        <is>
          <t>severity</t>
        </is>
      </c>
      <c r="I4" s="10" t="inlineStr">
        <is>
          <t>confidence</t>
        </is>
      </c>
      <c r="K4" s="39" t="inlineStr">
        <is>
          <t>metric</t>
        </is>
      </c>
      <c r="L4" s="39" t="inlineStr">
        <is>
          <t>value</t>
        </is>
      </c>
    </row>
    <row r="5">
      <c r="A5" s="5" t="n">
        <v>1</v>
      </c>
      <c r="B5" s="5" t="n">
        <v>0</v>
      </c>
      <c r="C5" s="40">
        <f>Features_IF!C5</f>
        <v/>
      </c>
      <c r="D5" s="17">
        <f>Features_IF!S5</f>
        <v/>
      </c>
      <c r="E5" s="5">
        <f>IF(D5&gt;=$L$5,"anomaly","normal")</f>
        <v/>
      </c>
      <c r="F5" s="5">
        <f>IF(E5="anomaly",COUNTIFS($D$5:$D$88,"&gt;"&amp;D5,$D$5:$D$88,"&gt;="&amp;$L$5),"")</f>
        <v/>
      </c>
      <c r="G5" s="18">
        <f>IF(E5="anomaly",IF($L$6&gt;1,F5/($L$6-1)*100,0),"")</f>
        <v/>
      </c>
      <c r="H5" s="5">
        <f>IF(E5="anomaly",IF(G5&lt;=25,"CRITICAL",IF(G5&lt;=50,"HIGH",IF(G5&lt;=75,"MEDIUM","INFO"))),"")</f>
        <v/>
      </c>
      <c r="I5" s="27">
        <f>IF(E5="anomaly",100-G5*0.5,"")</f>
        <v/>
      </c>
      <c r="K5" s="5" t="inlineStr">
        <is>
          <t>threshold_A</t>
        </is>
      </c>
      <c r="L5" s="31">
        <f>PERCENTILE(Features_IF!S5:S88,1-cfg_if_contamination)</f>
        <v/>
      </c>
    </row>
    <row r="6">
      <c r="A6" s="5" t="n">
        <v>2</v>
      </c>
      <c r="B6" s="5" t="n">
        <v>0</v>
      </c>
      <c r="C6" s="40">
        <f>Features_IF!C6</f>
        <v/>
      </c>
      <c r="D6" s="17">
        <f>Features_IF!S6</f>
        <v/>
      </c>
      <c r="E6" s="5">
        <f>IF(D6&gt;=$L$5,"anomaly","normal")</f>
        <v/>
      </c>
      <c r="F6" s="5">
        <f>IF(E6="anomaly",COUNTIFS($D$5:$D$88,"&gt;"&amp;D6,$D$5:$D$88,"&gt;="&amp;$L$5),"")</f>
        <v/>
      </c>
      <c r="G6" s="18">
        <f>IF(E6="anomaly",IF($L$6&gt;1,F6/($L$6-1)*100,0),"")</f>
        <v/>
      </c>
      <c r="H6" s="5">
        <f>IF(E6="anomaly",IF(G6&lt;=25,"CRITICAL",IF(G6&lt;=50,"HIGH",IF(G6&lt;=75,"MEDIUM","INFO"))),"")</f>
        <v/>
      </c>
      <c r="I6" s="27">
        <f>IF(E6="anomaly",100-G6*0.5,"")</f>
        <v/>
      </c>
      <c r="K6" s="5" t="inlineStr">
        <is>
          <t>n_flagged</t>
        </is>
      </c>
      <c r="L6" s="5">
        <f>COUNTIF(E5:E88,"anomaly")</f>
        <v/>
      </c>
    </row>
    <row r="7">
      <c r="A7" s="5" t="n">
        <v>3</v>
      </c>
      <c r="B7" s="5" t="n">
        <v>0</v>
      </c>
      <c r="C7" s="40">
        <f>Features_IF!C7</f>
        <v/>
      </c>
      <c r="D7" s="17">
        <f>Features_IF!S7</f>
        <v/>
      </c>
      <c r="E7" s="5">
        <f>IF(D7&gt;=$L$5,"anomaly","normal")</f>
        <v/>
      </c>
      <c r="F7" s="5">
        <f>IF(E7="anomaly",COUNTIFS($D$5:$D$88,"&gt;"&amp;D7,$D$5:$D$88,"&gt;="&amp;$L$5),"")</f>
        <v/>
      </c>
      <c r="G7" s="18">
        <f>IF(E7="anomaly",IF($L$6&gt;1,F7/($L$6-1)*100,0),"")</f>
        <v/>
      </c>
      <c r="H7" s="5">
        <f>IF(E7="anomaly",IF(G7&lt;=25,"CRITICAL",IF(G7&lt;=50,"HIGH",IF(G7&lt;=75,"MEDIUM","INFO"))),"")</f>
        <v/>
      </c>
      <c r="I7" s="27">
        <f>IF(E7="anomaly",100-G7*0.5,"")</f>
        <v/>
      </c>
      <c r="K7" s="5" t="inlineStr">
        <is>
          <t>n_samples</t>
        </is>
      </c>
      <c r="L7" s="5">
        <f>COUNTA(A5:A88)</f>
        <v/>
      </c>
    </row>
    <row r="8">
      <c r="A8" s="5" t="n">
        <v>4</v>
      </c>
      <c r="B8" s="5" t="n">
        <v>0</v>
      </c>
      <c r="C8" s="40">
        <f>Features_IF!C8</f>
        <v/>
      </c>
      <c r="D8" s="17">
        <f>Features_IF!S8</f>
        <v/>
      </c>
      <c r="E8" s="5">
        <f>IF(D8&gt;=$L$5,"anomaly","normal")</f>
        <v/>
      </c>
      <c r="F8" s="5">
        <f>IF(E8="anomaly",COUNTIFS($D$5:$D$88,"&gt;"&amp;D8,$D$5:$D$88,"&gt;="&amp;$L$5),"")</f>
        <v/>
      </c>
      <c r="G8" s="18">
        <f>IF(E8="anomaly",IF($L$6&gt;1,F8/($L$6-1)*100,0),"")</f>
        <v/>
      </c>
      <c r="H8" s="5">
        <f>IF(E8="anomaly",IF(G8&lt;=25,"CRITICAL",IF(G8&lt;=50,"HIGH",IF(G8&lt;=75,"MEDIUM","INFO"))),"")</f>
        <v/>
      </c>
      <c r="I8" s="27">
        <f>IF(E8="anomaly",100-G8*0.5,"")</f>
        <v/>
      </c>
    </row>
    <row r="9">
      <c r="A9" s="5" t="n">
        <v>5</v>
      </c>
      <c r="B9" s="5" t="n">
        <v>0</v>
      </c>
      <c r="C9" s="40">
        <f>Features_IF!C9</f>
        <v/>
      </c>
      <c r="D9" s="17">
        <f>Features_IF!S9</f>
        <v/>
      </c>
      <c r="E9" s="5">
        <f>IF(D9&gt;=$L$5,"anomaly","normal")</f>
        <v/>
      </c>
      <c r="F9" s="5">
        <f>IF(E9="anomaly",COUNTIFS($D$5:$D$88,"&gt;"&amp;D9,$D$5:$D$88,"&gt;="&amp;$L$5),"")</f>
        <v/>
      </c>
      <c r="G9" s="18">
        <f>IF(E9="anomaly",IF($L$6&gt;1,F9/($L$6-1)*100,0),"")</f>
        <v/>
      </c>
      <c r="H9" s="5">
        <f>IF(E9="anomaly",IF(G9&lt;=25,"CRITICAL",IF(G9&lt;=50,"HIGH",IF(G9&lt;=75,"MEDIUM","INFO"))),"")</f>
        <v/>
      </c>
      <c r="I9" s="27">
        <f>IF(E9="anomaly",100-G9*0.5,"")</f>
        <v/>
      </c>
    </row>
    <row r="10">
      <c r="A10" s="5" t="n">
        <v>6</v>
      </c>
      <c r="B10" s="5" t="n">
        <v>0</v>
      </c>
      <c r="C10" s="40">
        <f>Features_IF!C10</f>
        <v/>
      </c>
      <c r="D10" s="17">
        <f>Features_IF!S10</f>
        <v/>
      </c>
      <c r="E10" s="5">
        <f>IF(D10&gt;=$L$5,"anomaly","normal")</f>
        <v/>
      </c>
      <c r="F10" s="5">
        <f>IF(E10="anomaly",COUNTIFS($D$5:$D$88,"&gt;"&amp;D10,$D$5:$D$88,"&gt;="&amp;$L$5),"")</f>
        <v/>
      </c>
      <c r="G10" s="18">
        <f>IF(E10="anomaly",IF($L$6&gt;1,F10/($L$6-1)*100,0),"")</f>
        <v/>
      </c>
      <c r="H10" s="5">
        <f>IF(E10="anomaly",IF(G10&lt;=25,"CRITICAL",IF(G10&lt;=50,"HIGH",IF(G10&lt;=75,"MEDIUM","INFO"))),"")</f>
        <v/>
      </c>
      <c r="I10" s="27">
        <f>IF(E10="anomaly",100-G10*0.5,"")</f>
        <v/>
      </c>
    </row>
    <row r="11">
      <c r="A11" s="5" t="n">
        <v>1</v>
      </c>
      <c r="B11" s="5" t="n">
        <v>1</v>
      </c>
      <c r="C11" s="40">
        <f>Features_IF!C11</f>
        <v/>
      </c>
      <c r="D11" s="17">
        <f>Features_IF!S11</f>
        <v/>
      </c>
      <c r="E11" s="5">
        <f>IF(D11&gt;=$L$5,"anomaly","normal")</f>
        <v/>
      </c>
      <c r="F11" s="5">
        <f>IF(E11="anomaly",COUNTIFS($D$5:$D$88,"&gt;"&amp;D11,$D$5:$D$88,"&gt;="&amp;$L$5),"")</f>
        <v/>
      </c>
      <c r="G11" s="18">
        <f>IF(E11="anomaly",IF($L$6&gt;1,F11/($L$6-1)*100,0),"")</f>
        <v/>
      </c>
      <c r="H11" s="5">
        <f>IF(E11="anomaly",IF(G11&lt;=25,"CRITICAL",IF(G11&lt;=50,"HIGH",IF(G11&lt;=75,"MEDIUM","INFO"))),"")</f>
        <v/>
      </c>
      <c r="I11" s="27">
        <f>IF(E11="anomaly",100-G11*0.5,"")</f>
        <v/>
      </c>
    </row>
    <row r="12">
      <c r="A12" s="5" t="n">
        <v>2</v>
      </c>
      <c r="B12" s="5" t="n">
        <v>1</v>
      </c>
      <c r="C12" s="40">
        <f>Features_IF!C12</f>
        <v/>
      </c>
      <c r="D12" s="17">
        <f>Features_IF!S12</f>
        <v/>
      </c>
      <c r="E12" s="5">
        <f>IF(D12&gt;=$L$5,"anomaly","normal")</f>
        <v/>
      </c>
      <c r="F12" s="5">
        <f>IF(E12="anomaly",COUNTIFS($D$5:$D$88,"&gt;"&amp;D12,$D$5:$D$88,"&gt;="&amp;$L$5),"")</f>
        <v/>
      </c>
      <c r="G12" s="18">
        <f>IF(E12="anomaly",IF($L$6&gt;1,F12/($L$6-1)*100,0),"")</f>
        <v/>
      </c>
      <c r="H12" s="5">
        <f>IF(E12="anomaly",IF(G12&lt;=25,"CRITICAL",IF(G12&lt;=50,"HIGH",IF(G12&lt;=75,"MEDIUM","INFO"))),"")</f>
        <v/>
      </c>
      <c r="I12" s="27">
        <f>IF(E12="anomaly",100-G12*0.5,"")</f>
        <v/>
      </c>
    </row>
    <row r="13">
      <c r="A13" s="5" t="n">
        <v>3</v>
      </c>
      <c r="B13" s="5" t="n">
        <v>1</v>
      </c>
      <c r="C13" s="40">
        <f>Features_IF!C13</f>
        <v/>
      </c>
      <c r="D13" s="17">
        <f>Features_IF!S13</f>
        <v/>
      </c>
      <c r="E13" s="5">
        <f>IF(D13&gt;=$L$5,"anomaly","normal")</f>
        <v/>
      </c>
      <c r="F13" s="5">
        <f>IF(E13="anomaly",COUNTIFS($D$5:$D$88,"&gt;"&amp;D13,$D$5:$D$88,"&gt;="&amp;$L$5),"")</f>
        <v/>
      </c>
      <c r="G13" s="18">
        <f>IF(E13="anomaly",IF($L$6&gt;1,F13/($L$6-1)*100,0),"")</f>
        <v/>
      </c>
      <c r="H13" s="5">
        <f>IF(E13="anomaly",IF(G13&lt;=25,"CRITICAL",IF(G13&lt;=50,"HIGH",IF(G13&lt;=75,"MEDIUM","INFO"))),"")</f>
        <v/>
      </c>
      <c r="I13" s="27">
        <f>IF(E13="anomaly",100-G13*0.5,"")</f>
        <v/>
      </c>
    </row>
    <row r="14">
      <c r="A14" s="5" t="n">
        <v>4</v>
      </c>
      <c r="B14" s="5" t="n">
        <v>1</v>
      </c>
      <c r="C14" s="40">
        <f>Features_IF!C14</f>
        <v/>
      </c>
      <c r="D14" s="17">
        <f>Features_IF!S14</f>
        <v/>
      </c>
      <c r="E14" s="5">
        <f>IF(D14&gt;=$L$5,"anomaly","normal")</f>
        <v/>
      </c>
      <c r="F14" s="5">
        <f>IF(E14="anomaly",COUNTIFS($D$5:$D$88,"&gt;"&amp;D14,$D$5:$D$88,"&gt;="&amp;$L$5),"")</f>
        <v/>
      </c>
      <c r="G14" s="18">
        <f>IF(E14="anomaly",IF($L$6&gt;1,F14/($L$6-1)*100,0),"")</f>
        <v/>
      </c>
      <c r="H14" s="5">
        <f>IF(E14="anomaly",IF(G14&lt;=25,"CRITICAL",IF(G14&lt;=50,"HIGH",IF(G14&lt;=75,"MEDIUM","INFO"))),"")</f>
        <v/>
      </c>
      <c r="I14" s="27">
        <f>IF(E14="anomaly",100-G14*0.5,"")</f>
        <v/>
      </c>
    </row>
    <row r="15">
      <c r="A15" s="5" t="n">
        <v>5</v>
      </c>
      <c r="B15" s="5" t="n">
        <v>1</v>
      </c>
      <c r="C15" s="40">
        <f>Features_IF!C15</f>
        <v/>
      </c>
      <c r="D15" s="17">
        <f>Features_IF!S15</f>
        <v/>
      </c>
      <c r="E15" s="5">
        <f>IF(D15&gt;=$L$5,"anomaly","normal")</f>
        <v/>
      </c>
      <c r="F15" s="5">
        <f>IF(E15="anomaly",COUNTIFS($D$5:$D$88,"&gt;"&amp;D15,$D$5:$D$88,"&gt;="&amp;$L$5),"")</f>
        <v/>
      </c>
      <c r="G15" s="18">
        <f>IF(E15="anomaly",IF($L$6&gt;1,F15/($L$6-1)*100,0),"")</f>
        <v/>
      </c>
      <c r="H15" s="5">
        <f>IF(E15="anomaly",IF(G15&lt;=25,"CRITICAL",IF(G15&lt;=50,"HIGH",IF(G15&lt;=75,"MEDIUM","INFO"))),"")</f>
        <v/>
      </c>
      <c r="I15" s="27">
        <f>IF(E15="anomaly",100-G15*0.5,"")</f>
        <v/>
      </c>
    </row>
    <row r="16">
      <c r="A16" s="5" t="n">
        <v>6</v>
      </c>
      <c r="B16" s="5" t="n">
        <v>1</v>
      </c>
      <c r="C16" s="40">
        <f>Features_IF!C16</f>
        <v/>
      </c>
      <c r="D16" s="17">
        <f>Features_IF!S16</f>
        <v/>
      </c>
      <c r="E16" s="5">
        <f>IF(D16&gt;=$L$5,"anomaly","normal")</f>
        <v/>
      </c>
      <c r="F16" s="5">
        <f>IF(E16="anomaly",COUNTIFS($D$5:$D$88,"&gt;"&amp;D16,$D$5:$D$88,"&gt;="&amp;$L$5),"")</f>
        <v/>
      </c>
      <c r="G16" s="18">
        <f>IF(E16="anomaly",IF($L$6&gt;1,F16/($L$6-1)*100,0),"")</f>
        <v/>
      </c>
      <c r="H16" s="5">
        <f>IF(E16="anomaly",IF(G16&lt;=25,"CRITICAL",IF(G16&lt;=50,"HIGH",IF(G16&lt;=75,"MEDIUM","INFO"))),"")</f>
        <v/>
      </c>
      <c r="I16" s="27">
        <f>IF(E16="anomaly",100-G16*0.5,"")</f>
        <v/>
      </c>
    </row>
    <row r="17">
      <c r="A17" s="5" t="n">
        <v>1</v>
      </c>
      <c r="B17" s="5" t="n">
        <v>2</v>
      </c>
      <c r="C17" s="40">
        <f>Features_IF!C17</f>
        <v/>
      </c>
      <c r="D17" s="17">
        <f>Features_IF!S17</f>
        <v/>
      </c>
      <c r="E17" s="5">
        <f>IF(D17&gt;=$L$5,"anomaly","normal")</f>
        <v/>
      </c>
      <c r="F17" s="5">
        <f>IF(E17="anomaly",COUNTIFS($D$5:$D$88,"&gt;"&amp;D17,$D$5:$D$88,"&gt;="&amp;$L$5),"")</f>
        <v/>
      </c>
      <c r="G17" s="18">
        <f>IF(E17="anomaly",IF($L$6&gt;1,F17/($L$6-1)*100,0),"")</f>
        <v/>
      </c>
      <c r="H17" s="5">
        <f>IF(E17="anomaly",IF(G17&lt;=25,"CRITICAL",IF(G17&lt;=50,"HIGH",IF(G17&lt;=75,"MEDIUM","INFO"))),"")</f>
        <v/>
      </c>
      <c r="I17" s="27">
        <f>IF(E17="anomaly",100-G17*0.5,"")</f>
        <v/>
      </c>
    </row>
    <row r="18">
      <c r="A18" s="5" t="n">
        <v>2</v>
      </c>
      <c r="B18" s="5" t="n">
        <v>2</v>
      </c>
      <c r="C18" s="40">
        <f>Features_IF!C18</f>
        <v/>
      </c>
      <c r="D18" s="17">
        <f>Features_IF!S18</f>
        <v/>
      </c>
      <c r="E18" s="5">
        <f>IF(D18&gt;=$L$5,"anomaly","normal")</f>
        <v/>
      </c>
      <c r="F18" s="5">
        <f>IF(E18="anomaly",COUNTIFS($D$5:$D$88,"&gt;"&amp;D18,$D$5:$D$88,"&gt;="&amp;$L$5),"")</f>
        <v/>
      </c>
      <c r="G18" s="18">
        <f>IF(E18="anomaly",IF($L$6&gt;1,F18/($L$6-1)*100,0),"")</f>
        <v/>
      </c>
      <c r="H18" s="5">
        <f>IF(E18="anomaly",IF(G18&lt;=25,"CRITICAL",IF(G18&lt;=50,"HIGH",IF(G18&lt;=75,"MEDIUM","INFO"))),"")</f>
        <v/>
      </c>
      <c r="I18" s="27">
        <f>IF(E18="anomaly",100-G18*0.5,"")</f>
        <v/>
      </c>
    </row>
    <row r="19">
      <c r="A19" s="5" t="n">
        <v>3</v>
      </c>
      <c r="B19" s="5" t="n">
        <v>2</v>
      </c>
      <c r="C19" s="40">
        <f>Features_IF!C19</f>
        <v/>
      </c>
      <c r="D19" s="17">
        <f>Features_IF!S19</f>
        <v/>
      </c>
      <c r="E19" s="5">
        <f>IF(D19&gt;=$L$5,"anomaly","normal")</f>
        <v/>
      </c>
      <c r="F19" s="5">
        <f>IF(E19="anomaly",COUNTIFS($D$5:$D$88,"&gt;"&amp;D19,$D$5:$D$88,"&gt;="&amp;$L$5),"")</f>
        <v/>
      </c>
      <c r="G19" s="18">
        <f>IF(E19="anomaly",IF($L$6&gt;1,F19/($L$6-1)*100,0),"")</f>
        <v/>
      </c>
      <c r="H19" s="5">
        <f>IF(E19="anomaly",IF(G19&lt;=25,"CRITICAL",IF(G19&lt;=50,"HIGH",IF(G19&lt;=75,"MEDIUM","INFO"))),"")</f>
        <v/>
      </c>
      <c r="I19" s="27">
        <f>IF(E19="anomaly",100-G19*0.5,"")</f>
        <v/>
      </c>
    </row>
    <row r="20">
      <c r="A20" s="5" t="n">
        <v>4</v>
      </c>
      <c r="B20" s="5" t="n">
        <v>2</v>
      </c>
      <c r="C20" s="40">
        <f>Features_IF!C20</f>
        <v/>
      </c>
      <c r="D20" s="17">
        <f>Features_IF!S20</f>
        <v/>
      </c>
      <c r="E20" s="5">
        <f>IF(D20&gt;=$L$5,"anomaly","normal")</f>
        <v/>
      </c>
      <c r="F20" s="5">
        <f>IF(E20="anomaly",COUNTIFS($D$5:$D$88,"&gt;"&amp;D20,$D$5:$D$88,"&gt;="&amp;$L$5),"")</f>
        <v/>
      </c>
      <c r="G20" s="18">
        <f>IF(E20="anomaly",IF($L$6&gt;1,F20/($L$6-1)*100,0),"")</f>
        <v/>
      </c>
      <c r="H20" s="5">
        <f>IF(E20="anomaly",IF(G20&lt;=25,"CRITICAL",IF(G20&lt;=50,"HIGH",IF(G20&lt;=75,"MEDIUM","INFO"))),"")</f>
        <v/>
      </c>
      <c r="I20" s="27">
        <f>IF(E20="anomaly",100-G20*0.5,"")</f>
        <v/>
      </c>
    </row>
    <row r="21">
      <c r="A21" s="5" t="n">
        <v>5</v>
      </c>
      <c r="B21" s="5" t="n">
        <v>2</v>
      </c>
      <c r="C21" s="40">
        <f>Features_IF!C21</f>
        <v/>
      </c>
      <c r="D21" s="17">
        <f>Features_IF!S21</f>
        <v/>
      </c>
      <c r="E21" s="5">
        <f>IF(D21&gt;=$L$5,"anomaly","normal")</f>
        <v/>
      </c>
      <c r="F21" s="5">
        <f>IF(E21="anomaly",COUNTIFS($D$5:$D$88,"&gt;"&amp;D21,$D$5:$D$88,"&gt;="&amp;$L$5),"")</f>
        <v/>
      </c>
      <c r="G21" s="18">
        <f>IF(E21="anomaly",IF($L$6&gt;1,F21/($L$6-1)*100,0),"")</f>
        <v/>
      </c>
      <c r="H21" s="5">
        <f>IF(E21="anomaly",IF(G21&lt;=25,"CRITICAL",IF(G21&lt;=50,"HIGH",IF(G21&lt;=75,"MEDIUM","INFO"))),"")</f>
        <v/>
      </c>
      <c r="I21" s="27">
        <f>IF(E21="anomaly",100-G21*0.5,"")</f>
        <v/>
      </c>
    </row>
    <row r="22">
      <c r="A22" s="5" t="n">
        <v>6</v>
      </c>
      <c r="B22" s="5" t="n">
        <v>2</v>
      </c>
      <c r="C22" s="40">
        <f>Features_IF!C22</f>
        <v/>
      </c>
      <c r="D22" s="17">
        <f>Features_IF!S22</f>
        <v/>
      </c>
      <c r="E22" s="5">
        <f>IF(D22&gt;=$L$5,"anomaly","normal")</f>
        <v/>
      </c>
      <c r="F22" s="5">
        <f>IF(E22="anomaly",COUNTIFS($D$5:$D$88,"&gt;"&amp;D22,$D$5:$D$88,"&gt;="&amp;$L$5),"")</f>
        <v/>
      </c>
      <c r="G22" s="18">
        <f>IF(E22="anomaly",IF($L$6&gt;1,F22/($L$6-1)*100,0),"")</f>
        <v/>
      </c>
      <c r="H22" s="5">
        <f>IF(E22="anomaly",IF(G22&lt;=25,"CRITICAL",IF(G22&lt;=50,"HIGH",IF(G22&lt;=75,"MEDIUM","INFO"))),"")</f>
        <v/>
      </c>
      <c r="I22" s="27">
        <f>IF(E22="anomaly",100-G22*0.5,"")</f>
        <v/>
      </c>
    </row>
    <row r="23">
      <c r="A23" s="5" t="n">
        <v>1</v>
      </c>
      <c r="B23" s="5" t="n">
        <v>3</v>
      </c>
      <c r="C23" s="40">
        <f>Features_IF!C23</f>
        <v/>
      </c>
      <c r="D23" s="17">
        <f>Features_IF!S23</f>
        <v/>
      </c>
      <c r="E23" s="5">
        <f>IF(D23&gt;=$L$5,"anomaly","normal")</f>
        <v/>
      </c>
      <c r="F23" s="5">
        <f>IF(E23="anomaly",COUNTIFS($D$5:$D$88,"&gt;"&amp;D23,$D$5:$D$88,"&gt;="&amp;$L$5),"")</f>
        <v/>
      </c>
      <c r="G23" s="18">
        <f>IF(E23="anomaly",IF($L$6&gt;1,F23/($L$6-1)*100,0),"")</f>
        <v/>
      </c>
      <c r="H23" s="5">
        <f>IF(E23="anomaly",IF(G23&lt;=25,"CRITICAL",IF(G23&lt;=50,"HIGH",IF(G23&lt;=75,"MEDIUM","INFO"))),"")</f>
        <v/>
      </c>
      <c r="I23" s="27">
        <f>IF(E23="anomaly",100-G23*0.5,"")</f>
        <v/>
      </c>
    </row>
    <row r="24">
      <c r="A24" s="5" t="n">
        <v>2</v>
      </c>
      <c r="B24" s="5" t="n">
        <v>3</v>
      </c>
      <c r="C24" s="40">
        <f>Features_IF!C24</f>
        <v/>
      </c>
      <c r="D24" s="17">
        <f>Features_IF!S24</f>
        <v/>
      </c>
      <c r="E24" s="5">
        <f>IF(D24&gt;=$L$5,"anomaly","normal")</f>
        <v/>
      </c>
      <c r="F24" s="5">
        <f>IF(E24="anomaly",COUNTIFS($D$5:$D$88,"&gt;"&amp;D24,$D$5:$D$88,"&gt;="&amp;$L$5),"")</f>
        <v/>
      </c>
      <c r="G24" s="18">
        <f>IF(E24="anomaly",IF($L$6&gt;1,F24/($L$6-1)*100,0),"")</f>
        <v/>
      </c>
      <c r="H24" s="5">
        <f>IF(E24="anomaly",IF(G24&lt;=25,"CRITICAL",IF(G24&lt;=50,"HIGH",IF(G24&lt;=75,"MEDIUM","INFO"))),"")</f>
        <v/>
      </c>
      <c r="I24" s="27">
        <f>IF(E24="anomaly",100-G24*0.5,"")</f>
        <v/>
      </c>
    </row>
    <row r="25">
      <c r="A25" s="5" t="n">
        <v>3</v>
      </c>
      <c r="B25" s="5" t="n">
        <v>3</v>
      </c>
      <c r="C25" s="40">
        <f>Features_IF!C25</f>
        <v/>
      </c>
      <c r="D25" s="17">
        <f>Features_IF!S25</f>
        <v/>
      </c>
      <c r="E25" s="5">
        <f>IF(D25&gt;=$L$5,"anomaly","normal")</f>
        <v/>
      </c>
      <c r="F25" s="5">
        <f>IF(E25="anomaly",COUNTIFS($D$5:$D$88,"&gt;"&amp;D25,$D$5:$D$88,"&gt;="&amp;$L$5),"")</f>
        <v/>
      </c>
      <c r="G25" s="18">
        <f>IF(E25="anomaly",IF($L$6&gt;1,F25/($L$6-1)*100,0),"")</f>
        <v/>
      </c>
      <c r="H25" s="5">
        <f>IF(E25="anomaly",IF(G25&lt;=25,"CRITICAL",IF(G25&lt;=50,"HIGH",IF(G25&lt;=75,"MEDIUM","INFO"))),"")</f>
        <v/>
      </c>
      <c r="I25" s="27">
        <f>IF(E25="anomaly",100-G25*0.5,"")</f>
        <v/>
      </c>
    </row>
    <row r="26">
      <c r="A26" s="5" t="n">
        <v>4</v>
      </c>
      <c r="B26" s="5" t="n">
        <v>3</v>
      </c>
      <c r="C26" s="40">
        <f>Features_IF!C26</f>
        <v/>
      </c>
      <c r="D26" s="17">
        <f>Features_IF!S26</f>
        <v/>
      </c>
      <c r="E26" s="5">
        <f>IF(D26&gt;=$L$5,"anomaly","normal")</f>
        <v/>
      </c>
      <c r="F26" s="5">
        <f>IF(E26="anomaly",COUNTIFS($D$5:$D$88,"&gt;"&amp;D26,$D$5:$D$88,"&gt;="&amp;$L$5),"")</f>
        <v/>
      </c>
      <c r="G26" s="18">
        <f>IF(E26="anomaly",IF($L$6&gt;1,F26/($L$6-1)*100,0),"")</f>
        <v/>
      </c>
      <c r="H26" s="5">
        <f>IF(E26="anomaly",IF(G26&lt;=25,"CRITICAL",IF(G26&lt;=50,"HIGH",IF(G26&lt;=75,"MEDIUM","INFO"))),"")</f>
        <v/>
      </c>
      <c r="I26" s="27">
        <f>IF(E26="anomaly",100-G26*0.5,"")</f>
        <v/>
      </c>
    </row>
    <row r="27">
      <c r="A27" s="5" t="n">
        <v>5</v>
      </c>
      <c r="B27" s="5" t="n">
        <v>3</v>
      </c>
      <c r="C27" s="40">
        <f>Features_IF!C27</f>
        <v/>
      </c>
      <c r="D27" s="17">
        <f>Features_IF!S27</f>
        <v/>
      </c>
      <c r="E27" s="5">
        <f>IF(D27&gt;=$L$5,"anomaly","normal")</f>
        <v/>
      </c>
      <c r="F27" s="5">
        <f>IF(E27="anomaly",COUNTIFS($D$5:$D$88,"&gt;"&amp;D27,$D$5:$D$88,"&gt;="&amp;$L$5),"")</f>
        <v/>
      </c>
      <c r="G27" s="18">
        <f>IF(E27="anomaly",IF($L$6&gt;1,F27/($L$6-1)*100,0),"")</f>
        <v/>
      </c>
      <c r="H27" s="5">
        <f>IF(E27="anomaly",IF(G27&lt;=25,"CRITICAL",IF(G27&lt;=50,"HIGH",IF(G27&lt;=75,"MEDIUM","INFO"))),"")</f>
        <v/>
      </c>
      <c r="I27" s="27">
        <f>IF(E27="anomaly",100-G27*0.5,"")</f>
        <v/>
      </c>
    </row>
    <row r="28">
      <c r="A28" s="5" t="n">
        <v>6</v>
      </c>
      <c r="B28" s="5" t="n">
        <v>3</v>
      </c>
      <c r="C28" s="40">
        <f>Features_IF!C28</f>
        <v/>
      </c>
      <c r="D28" s="17">
        <f>Features_IF!S28</f>
        <v/>
      </c>
      <c r="E28" s="5">
        <f>IF(D28&gt;=$L$5,"anomaly","normal")</f>
        <v/>
      </c>
      <c r="F28" s="5">
        <f>IF(E28="anomaly",COUNTIFS($D$5:$D$88,"&gt;"&amp;D28,$D$5:$D$88,"&gt;="&amp;$L$5),"")</f>
        <v/>
      </c>
      <c r="G28" s="18">
        <f>IF(E28="anomaly",IF($L$6&gt;1,F28/($L$6-1)*100,0),"")</f>
        <v/>
      </c>
      <c r="H28" s="5">
        <f>IF(E28="anomaly",IF(G28&lt;=25,"CRITICAL",IF(G28&lt;=50,"HIGH",IF(G28&lt;=75,"MEDIUM","INFO"))),"")</f>
        <v/>
      </c>
      <c r="I28" s="27">
        <f>IF(E28="anomaly",100-G28*0.5,"")</f>
        <v/>
      </c>
    </row>
    <row r="29">
      <c r="A29" s="5" t="n">
        <v>1</v>
      </c>
      <c r="B29" s="5" t="n">
        <v>4</v>
      </c>
      <c r="C29" s="40">
        <f>Features_IF!C29</f>
        <v/>
      </c>
      <c r="D29" s="17">
        <f>Features_IF!S29</f>
        <v/>
      </c>
      <c r="E29" s="5">
        <f>IF(D29&gt;=$L$5,"anomaly","normal")</f>
        <v/>
      </c>
      <c r="F29" s="5">
        <f>IF(E29="anomaly",COUNTIFS($D$5:$D$88,"&gt;"&amp;D29,$D$5:$D$88,"&gt;="&amp;$L$5),"")</f>
        <v/>
      </c>
      <c r="G29" s="18">
        <f>IF(E29="anomaly",IF($L$6&gt;1,F29/($L$6-1)*100,0),"")</f>
        <v/>
      </c>
      <c r="H29" s="5">
        <f>IF(E29="anomaly",IF(G29&lt;=25,"CRITICAL",IF(G29&lt;=50,"HIGH",IF(G29&lt;=75,"MEDIUM","INFO"))),"")</f>
        <v/>
      </c>
      <c r="I29" s="27">
        <f>IF(E29="anomaly",100-G29*0.5,"")</f>
        <v/>
      </c>
    </row>
    <row r="30">
      <c r="A30" s="5" t="n">
        <v>2</v>
      </c>
      <c r="B30" s="5" t="n">
        <v>4</v>
      </c>
      <c r="C30" s="40">
        <f>Features_IF!C30</f>
        <v/>
      </c>
      <c r="D30" s="17">
        <f>Features_IF!S30</f>
        <v/>
      </c>
      <c r="E30" s="5">
        <f>IF(D30&gt;=$L$5,"anomaly","normal")</f>
        <v/>
      </c>
      <c r="F30" s="5">
        <f>IF(E30="anomaly",COUNTIFS($D$5:$D$88,"&gt;"&amp;D30,$D$5:$D$88,"&gt;="&amp;$L$5),"")</f>
        <v/>
      </c>
      <c r="G30" s="18">
        <f>IF(E30="anomaly",IF($L$6&gt;1,F30/($L$6-1)*100,0),"")</f>
        <v/>
      </c>
      <c r="H30" s="5">
        <f>IF(E30="anomaly",IF(G30&lt;=25,"CRITICAL",IF(G30&lt;=50,"HIGH",IF(G30&lt;=75,"MEDIUM","INFO"))),"")</f>
        <v/>
      </c>
      <c r="I30" s="27">
        <f>IF(E30="anomaly",100-G30*0.5,"")</f>
        <v/>
      </c>
    </row>
    <row r="31">
      <c r="A31" s="5" t="n">
        <v>3</v>
      </c>
      <c r="B31" s="5" t="n">
        <v>4</v>
      </c>
      <c r="C31" s="40">
        <f>Features_IF!C31</f>
        <v/>
      </c>
      <c r="D31" s="17">
        <f>Features_IF!S31</f>
        <v/>
      </c>
      <c r="E31" s="5">
        <f>IF(D31&gt;=$L$5,"anomaly","normal")</f>
        <v/>
      </c>
      <c r="F31" s="5">
        <f>IF(E31="anomaly",COUNTIFS($D$5:$D$88,"&gt;"&amp;D31,$D$5:$D$88,"&gt;="&amp;$L$5),"")</f>
        <v/>
      </c>
      <c r="G31" s="18">
        <f>IF(E31="anomaly",IF($L$6&gt;1,F31/($L$6-1)*100,0),"")</f>
        <v/>
      </c>
      <c r="H31" s="5">
        <f>IF(E31="anomaly",IF(G31&lt;=25,"CRITICAL",IF(G31&lt;=50,"HIGH",IF(G31&lt;=75,"MEDIUM","INFO"))),"")</f>
        <v/>
      </c>
      <c r="I31" s="27">
        <f>IF(E31="anomaly",100-G31*0.5,"")</f>
        <v/>
      </c>
    </row>
    <row r="32">
      <c r="A32" s="5" t="n">
        <v>4</v>
      </c>
      <c r="B32" s="5" t="n">
        <v>4</v>
      </c>
      <c r="C32" s="40">
        <f>Features_IF!C32</f>
        <v/>
      </c>
      <c r="D32" s="17">
        <f>Features_IF!S32</f>
        <v/>
      </c>
      <c r="E32" s="5">
        <f>IF(D32&gt;=$L$5,"anomaly","normal")</f>
        <v/>
      </c>
      <c r="F32" s="5">
        <f>IF(E32="anomaly",COUNTIFS($D$5:$D$88,"&gt;"&amp;D32,$D$5:$D$88,"&gt;="&amp;$L$5),"")</f>
        <v/>
      </c>
      <c r="G32" s="18">
        <f>IF(E32="anomaly",IF($L$6&gt;1,F32/($L$6-1)*100,0),"")</f>
        <v/>
      </c>
      <c r="H32" s="5">
        <f>IF(E32="anomaly",IF(G32&lt;=25,"CRITICAL",IF(G32&lt;=50,"HIGH",IF(G32&lt;=75,"MEDIUM","INFO"))),"")</f>
        <v/>
      </c>
      <c r="I32" s="27">
        <f>IF(E32="anomaly",100-G32*0.5,"")</f>
        <v/>
      </c>
    </row>
    <row r="33">
      <c r="A33" s="5" t="n">
        <v>5</v>
      </c>
      <c r="B33" s="5" t="n">
        <v>4</v>
      </c>
      <c r="C33" s="40">
        <f>Features_IF!C33</f>
        <v/>
      </c>
      <c r="D33" s="17">
        <f>Features_IF!S33</f>
        <v/>
      </c>
      <c r="E33" s="5">
        <f>IF(D33&gt;=$L$5,"anomaly","normal")</f>
        <v/>
      </c>
      <c r="F33" s="5">
        <f>IF(E33="anomaly",COUNTIFS($D$5:$D$88,"&gt;"&amp;D33,$D$5:$D$88,"&gt;="&amp;$L$5),"")</f>
        <v/>
      </c>
      <c r="G33" s="18">
        <f>IF(E33="anomaly",IF($L$6&gt;1,F33/($L$6-1)*100,0),"")</f>
        <v/>
      </c>
      <c r="H33" s="5">
        <f>IF(E33="anomaly",IF(G33&lt;=25,"CRITICAL",IF(G33&lt;=50,"HIGH",IF(G33&lt;=75,"MEDIUM","INFO"))),"")</f>
        <v/>
      </c>
      <c r="I33" s="27">
        <f>IF(E33="anomaly",100-G33*0.5,"")</f>
        <v/>
      </c>
    </row>
    <row r="34">
      <c r="A34" s="5" t="n">
        <v>6</v>
      </c>
      <c r="B34" s="5" t="n">
        <v>4</v>
      </c>
      <c r="C34" s="40">
        <f>Features_IF!C34</f>
        <v/>
      </c>
      <c r="D34" s="17">
        <f>Features_IF!S34</f>
        <v/>
      </c>
      <c r="E34" s="5">
        <f>IF(D34&gt;=$L$5,"anomaly","normal")</f>
        <v/>
      </c>
      <c r="F34" s="5">
        <f>IF(E34="anomaly",COUNTIFS($D$5:$D$88,"&gt;"&amp;D34,$D$5:$D$88,"&gt;="&amp;$L$5),"")</f>
        <v/>
      </c>
      <c r="G34" s="18">
        <f>IF(E34="anomaly",IF($L$6&gt;1,F34/($L$6-1)*100,0),"")</f>
        <v/>
      </c>
      <c r="H34" s="5">
        <f>IF(E34="anomaly",IF(G34&lt;=25,"CRITICAL",IF(G34&lt;=50,"HIGH",IF(G34&lt;=75,"MEDIUM","INFO"))),"")</f>
        <v/>
      </c>
      <c r="I34" s="27">
        <f>IF(E34="anomaly",100-G34*0.5,"")</f>
        <v/>
      </c>
    </row>
    <row r="35">
      <c r="A35" s="5" t="n">
        <v>1</v>
      </c>
      <c r="B35" s="5" t="n">
        <v>5</v>
      </c>
      <c r="C35" s="40">
        <f>Features_IF!C35</f>
        <v/>
      </c>
      <c r="D35" s="17">
        <f>Features_IF!S35</f>
        <v/>
      </c>
      <c r="E35" s="5">
        <f>IF(D35&gt;=$L$5,"anomaly","normal")</f>
        <v/>
      </c>
      <c r="F35" s="5">
        <f>IF(E35="anomaly",COUNTIFS($D$5:$D$88,"&gt;"&amp;D35,$D$5:$D$88,"&gt;="&amp;$L$5),"")</f>
        <v/>
      </c>
      <c r="G35" s="18">
        <f>IF(E35="anomaly",IF($L$6&gt;1,F35/($L$6-1)*100,0),"")</f>
        <v/>
      </c>
      <c r="H35" s="5">
        <f>IF(E35="anomaly",IF(G35&lt;=25,"CRITICAL",IF(G35&lt;=50,"HIGH",IF(G35&lt;=75,"MEDIUM","INFO"))),"")</f>
        <v/>
      </c>
      <c r="I35" s="27">
        <f>IF(E35="anomaly",100-G35*0.5,"")</f>
        <v/>
      </c>
    </row>
    <row r="36">
      <c r="A36" s="5" t="n">
        <v>2</v>
      </c>
      <c r="B36" s="5" t="n">
        <v>5</v>
      </c>
      <c r="C36" s="40">
        <f>Features_IF!C36</f>
        <v/>
      </c>
      <c r="D36" s="17">
        <f>Features_IF!S36</f>
        <v/>
      </c>
      <c r="E36" s="5">
        <f>IF(D36&gt;=$L$5,"anomaly","normal")</f>
        <v/>
      </c>
      <c r="F36" s="5">
        <f>IF(E36="anomaly",COUNTIFS($D$5:$D$88,"&gt;"&amp;D36,$D$5:$D$88,"&gt;="&amp;$L$5),"")</f>
        <v/>
      </c>
      <c r="G36" s="18">
        <f>IF(E36="anomaly",IF($L$6&gt;1,F36/($L$6-1)*100,0),"")</f>
        <v/>
      </c>
      <c r="H36" s="5">
        <f>IF(E36="anomaly",IF(G36&lt;=25,"CRITICAL",IF(G36&lt;=50,"HIGH",IF(G36&lt;=75,"MEDIUM","INFO"))),"")</f>
        <v/>
      </c>
      <c r="I36" s="27">
        <f>IF(E36="anomaly",100-G36*0.5,"")</f>
        <v/>
      </c>
    </row>
    <row r="37">
      <c r="A37" s="5" t="n">
        <v>3</v>
      </c>
      <c r="B37" s="5" t="n">
        <v>5</v>
      </c>
      <c r="C37" s="40">
        <f>Features_IF!C37</f>
        <v/>
      </c>
      <c r="D37" s="17">
        <f>Features_IF!S37</f>
        <v/>
      </c>
      <c r="E37" s="5">
        <f>IF(D37&gt;=$L$5,"anomaly","normal")</f>
        <v/>
      </c>
      <c r="F37" s="5">
        <f>IF(E37="anomaly",COUNTIFS($D$5:$D$88,"&gt;"&amp;D37,$D$5:$D$88,"&gt;="&amp;$L$5),"")</f>
        <v/>
      </c>
      <c r="G37" s="18">
        <f>IF(E37="anomaly",IF($L$6&gt;1,F37/($L$6-1)*100,0),"")</f>
        <v/>
      </c>
      <c r="H37" s="5">
        <f>IF(E37="anomaly",IF(G37&lt;=25,"CRITICAL",IF(G37&lt;=50,"HIGH",IF(G37&lt;=75,"MEDIUM","INFO"))),"")</f>
        <v/>
      </c>
      <c r="I37" s="27">
        <f>IF(E37="anomaly",100-G37*0.5,"")</f>
        <v/>
      </c>
    </row>
    <row r="38">
      <c r="A38" s="5" t="n">
        <v>4</v>
      </c>
      <c r="B38" s="5" t="n">
        <v>5</v>
      </c>
      <c r="C38" s="40">
        <f>Features_IF!C38</f>
        <v/>
      </c>
      <c r="D38" s="17">
        <f>Features_IF!S38</f>
        <v/>
      </c>
      <c r="E38" s="5">
        <f>IF(D38&gt;=$L$5,"anomaly","normal")</f>
        <v/>
      </c>
      <c r="F38" s="5">
        <f>IF(E38="anomaly",COUNTIFS($D$5:$D$88,"&gt;"&amp;D38,$D$5:$D$88,"&gt;="&amp;$L$5),"")</f>
        <v/>
      </c>
      <c r="G38" s="18">
        <f>IF(E38="anomaly",IF($L$6&gt;1,F38/($L$6-1)*100,0),"")</f>
        <v/>
      </c>
      <c r="H38" s="5">
        <f>IF(E38="anomaly",IF(G38&lt;=25,"CRITICAL",IF(G38&lt;=50,"HIGH",IF(G38&lt;=75,"MEDIUM","INFO"))),"")</f>
        <v/>
      </c>
      <c r="I38" s="27">
        <f>IF(E38="anomaly",100-G38*0.5,"")</f>
        <v/>
      </c>
    </row>
    <row r="39">
      <c r="A39" s="5" t="n">
        <v>5</v>
      </c>
      <c r="B39" s="5" t="n">
        <v>5</v>
      </c>
      <c r="C39" s="40">
        <f>Features_IF!C39</f>
        <v/>
      </c>
      <c r="D39" s="17">
        <f>Features_IF!S39</f>
        <v/>
      </c>
      <c r="E39" s="5">
        <f>IF(D39&gt;=$L$5,"anomaly","normal")</f>
        <v/>
      </c>
      <c r="F39" s="5">
        <f>IF(E39="anomaly",COUNTIFS($D$5:$D$88,"&gt;"&amp;D39,$D$5:$D$88,"&gt;="&amp;$L$5),"")</f>
        <v/>
      </c>
      <c r="G39" s="18">
        <f>IF(E39="anomaly",IF($L$6&gt;1,F39/($L$6-1)*100,0),"")</f>
        <v/>
      </c>
      <c r="H39" s="5">
        <f>IF(E39="anomaly",IF(G39&lt;=25,"CRITICAL",IF(G39&lt;=50,"HIGH",IF(G39&lt;=75,"MEDIUM","INFO"))),"")</f>
        <v/>
      </c>
      <c r="I39" s="27">
        <f>IF(E39="anomaly",100-G39*0.5,"")</f>
        <v/>
      </c>
    </row>
    <row r="40">
      <c r="A40" s="5" t="n">
        <v>6</v>
      </c>
      <c r="B40" s="5" t="n">
        <v>5</v>
      </c>
      <c r="C40" s="40">
        <f>Features_IF!C40</f>
        <v/>
      </c>
      <c r="D40" s="17">
        <f>Features_IF!S40</f>
        <v/>
      </c>
      <c r="E40" s="5">
        <f>IF(D40&gt;=$L$5,"anomaly","normal")</f>
        <v/>
      </c>
      <c r="F40" s="5">
        <f>IF(E40="anomaly",COUNTIFS($D$5:$D$88,"&gt;"&amp;D40,$D$5:$D$88,"&gt;="&amp;$L$5),"")</f>
        <v/>
      </c>
      <c r="G40" s="18">
        <f>IF(E40="anomaly",IF($L$6&gt;1,F40/($L$6-1)*100,0),"")</f>
        <v/>
      </c>
      <c r="H40" s="5">
        <f>IF(E40="anomaly",IF(G40&lt;=25,"CRITICAL",IF(G40&lt;=50,"HIGH",IF(G40&lt;=75,"MEDIUM","INFO"))),"")</f>
        <v/>
      </c>
      <c r="I40" s="27">
        <f>IF(E40="anomaly",100-G40*0.5,"")</f>
        <v/>
      </c>
    </row>
    <row r="41">
      <c r="A41" s="5" t="n">
        <v>1</v>
      </c>
      <c r="B41" s="5" t="n">
        <v>6</v>
      </c>
      <c r="C41" s="40">
        <f>Features_IF!C41</f>
        <v/>
      </c>
      <c r="D41" s="17">
        <f>Features_IF!S41</f>
        <v/>
      </c>
      <c r="E41" s="5">
        <f>IF(D41&gt;=$L$5,"anomaly","normal")</f>
        <v/>
      </c>
      <c r="F41" s="5">
        <f>IF(E41="anomaly",COUNTIFS($D$5:$D$88,"&gt;"&amp;D41,$D$5:$D$88,"&gt;="&amp;$L$5),"")</f>
        <v/>
      </c>
      <c r="G41" s="18">
        <f>IF(E41="anomaly",IF($L$6&gt;1,F41/($L$6-1)*100,0),"")</f>
        <v/>
      </c>
      <c r="H41" s="5">
        <f>IF(E41="anomaly",IF(G41&lt;=25,"CRITICAL",IF(G41&lt;=50,"HIGH",IF(G41&lt;=75,"MEDIUM","INFO"))),"")</f>
        <v/>
      </c>
      <c r="I41" s="27">
        <f>IF(E41="anomaly",100-G41*0.5,"")</f>
        <v/>
      </c>
    </row>
    <row r="42">
      <c r="A42" s="5" t="n">
        <v>2</v>
      </c>
      <c r="B42" s="5" t="n">
        <v>6</v>
      </c>
      <c r="C42" s="40">
        <f>Features_IF!C42</f>
        <v/>
      </c>
      <c r="D42" s="17">
        <f>Features_IF!S42</f>
        <v/>
      </c>
      <c r="E42" s="5">
        <f>IF(D42&gt;=$L$5,"anomaly","normal")</f>
        <v/>
      </c>
      <c r="F42" s="5">
        <f>IF(E42="anomaly",COUNTIFS($D$5:$D$88,"&gt;"&amp;D42,$D$5:$D$88,"&gt;="&amp;$L$5),"")</f>
        <v/>
      </c>
      <c r="G42" s="18">
        <f>IF(E42="anomaly",IF($L$6&gt;1,F42/($L$6-1)*100,0),"")</f>
        <v/>
      </c>
      <c r="H42" s="5">
        <f>IF(E42="anomaly",IF(G42&lt;=25,"CRITICAL",IF(G42&lt;=50,"HIGH",IF(G42&lt;=75,"MEDIUM","INFO"))),"")</f>
        <v/>
      </c>
      <c r="I42" s="27">
        <f>IF(E42="anomaly",100-G42*0.5,"")</f>
        <v/>
      </c>
    </row>
    <row r="43">
      <c r="A43" s="5" t="n">
        <v>3</v>
      </c>
      <c r="B43" s="5" t="n">
        <v>6</v>
      </c>
      <c r="C43" s="40">
        <f>Features_IF!C43</f>
        <v/>
      </c>
      <c r="D43" s="17">
        <f>Features_IF!S43</f>
        <v/>
      </c>
      <c r="E43" s="5">
        <f>IF(D43&gt;=$L$5,"anomaly","normal")</f>
        <v/>
      </c>
      <c r="F43" s="5">
        <f>IF(E43="anomaly",COUNTIFS($D$5:$D$88,"&gt;"&amp;D43,$D$5:$D$88,"&gt;="&amp;$L$5),"")</f>
        <v/>
      </c>
      <c r="G43" s="18">
        <f>IF(E43="anomaly",IF($L$6&gt;1,F43/($L$6-1)*100,0),"")</f>
        <v/>
      </c>
      <c r="H43" s="5">
        <f>IF(E43="anomaly",IF(G43&lt;=25,"CRITICAL",IF(G43&lt;=50,"HIGH",IF(G43&lt;=75,"MEDIUM","INFO"))),"")</f>
        <v/>
      </c>
      <c r="I43" s="27">
        <f>IF(E43="anomaly",100-G43*0.5,"")</f>
        <v/>
      </c>
    </row>
    <row r="44">
      <c r="A44" s="5" t="n">
        <v>4</v>
      </c>
      <c r="B44" s="5" t="n">
        <v>6</v>
      </c>
      <c r="C44" s="40">
        <f>Features_IF!C44</f>
        <v/>
      </c>
      <c r="D44" s="17">
        <f>Features_IF!S44</f>
        <v/>
      </c>
      <c r="E44" s="5">
        <f>IF(D44&gt;=$L$5,"anomaly","normal")</f>
        <v/>
      </c>
      <c r="F44" s="5">
        <f>IF(E44="anomaly",COUNTIFS($D$5:$D$88,"&gt;"&amp;D44,$D$5:$D$88,"&gt;="&amp;$L$5),"")</f>
        <v/>
      </c>
      <c r="G44" s="18">
        <f>IF(E44="anomaly",IF($L$6&gt;1,F44/($L$6-1)*100,0),"")</f>
        <v/>
      </c>
      <c r="H44" s="5">
        <f>IF(E44="anomaly",IF(G44&lt;=25,"CRITICAL",IF(G44&lt;=50,"HIGH",IF(G44&lt;=75,"MEDIUM","INFO"))),"")</f>
        <v/>
      </c>
      <c r="I44" s="27">
        <f>IF(E44="anomaly",100-G44*0.5,"")</f>
        <v/>
      </c>
    </row>
    <row r="45">
      <c r="A45" s="5" t="n">
        <v>5</v>
      </c>
      <c r="B45" s="5" t="n">
        <v>6</v>
      </c>
      <c r="C45" s="40">
        <f>Features_IF!C45</f>
        <v/>
      </c>
      <c r="D45" s="17">
        <f>Features_IF!S45</f>
        <v/>
      </c>
      <c r="E45" s="5">
        <f>IF(D45&gt;=$L$5,"anomaly","normal")</f>
        <v/>
      </c>
      <c r="F45" s="5">
        <f>IF(E45="anomaly",COUNTIFS($D$5:$D$88,"&gt;"&amp;D45,$D$5:$D$88,"&gt;="&amp;$L$5),"")</f>
        <v/>
      </c>
      <c r="G45" s="18">
        <f>IF(E45="anomaly",IF($L$6&gt;1,F45/($L$6-1)*100,0),"")</f>
        <v/>
      </c>
      <c r="H45" s="5">
        <f>IF(E45="anomaly",IF(G45&lt;=25,"CRITICAL",IF(G45&lt;=50,"HIGH",IF(G45&lt;=75,"MEDIUM","INFO"))),"")</f>
        <v/>
      </c>
      <c r="I45" s="27">
        <f>IF(E45="anomaly",100-G45*0.5,"")</f>
        <v/>
      </c>
    </row>
    <row r="46">
      <c r="A46" s="5" t="n">
        <v>6</v>
      </c>
      <c r="B46" s="5" t="n">
        <v>6</v>
      </c>
      <c r="C46" s="40">
        <f>Features_IF!C46</f>
        <v/>
      </c>
      <c r="D46" s="17">
        <f>Features_IF!S46</f>
        <v/>
      </c>
      <c r="E46" s="5">
        <f>IF(D46&gt;=$L$5,"anomaly","normal")</f>
        <v/>
      </c>
      <c r="F46" s="5">
        <f>IF(E46="anomaly",COUNTIFS($D$5:$D$88,"&gt;"&amp;D46,$D$5:$D$88,"&gt;="&amp;$L$5),"")</f>
        <v/>
      </c>
      <c r="G46" s="18">
        <f>IF(E46="anomaly",IF($L$6&gt;1,F46/($L$6-1)*100,0),"")</f>
        <v/>
      </c>
      <c r="H46" s="5">
        <f>IF(E46="anomaly",IF(G46&lt;=25,"CRITICAL",IF(G46&lt;=50,"HIGH",IF(G46&lt;=75,"MEDIUM","INFO"))),"")</f>
        <v/>
      </c>
      <c r="I46" s="27">
        <f>IF(E46="anomaly",100-G46*0.5,"")</f>
        <v/>
      </c>
    </row>
    <row r="47">
      <c r="A47" s="5" t="n">
        <v>1</v>
      </c>
      <c r="B47" s="5" t="n">
        <v>7</v>
      </c>
      <c r="C47" s="40">
        <f>Features_IF!C47</f>
        <v/>
      </c>
      <c r="D47" s="17">
        <f>Features_IF!S47</f>
        <v/>
      </c>
      <c r="E47" s="5">
        <f>IF(D47&gt;=$L$5,"anomaly","normal")</f>
        <v/>
      </c>
      <c r="F47" s="5">
        <f>IF(E47="anomaly",COUNTIFS($D$5:$D$88,"&gt;"&amp;D47,$D$5:$D$88,"&gt;="&amp;$L$5),"")</f>
        <v/>
      </c>
      <c r="G47" s="18">
        <f>IF(E47="anomaly",IF($L$6&gt;1,F47/($L$6-1)*100,0),"")</f>
        <v/>
      </c>
      <c r="H47" s="5">
        <f>IF(E47="anomaly",IF(G47&lt;=25,"CRITICAL",IF(G47&lt;=50,"HIGH",IF(G47&lt;=75,"MEDIUM","INFO"))),"")</f>
        <v/>
      </c>
      <c r="I47" s="27">
        <f>IF(E47="anomaly",100-G47*0.5,"")</f>
        <v/>
      </c>
    </row>
    <row r="48">
      <c r="A48" s="5" t="n">
        <v>2</v>
      </c>
      <c r="B48" s="5" t="n">
        <v>7</v>
      </c>
      <c r="C48" s="40">
        <f>Features_IF!C48</f>
        <v/>
      </c>
      <c r="D48" s="17">
        <f>Features_IF!S48</f>
        <v/>
      </c>
      <c r="E48" s="5">
        <f>IF(D48&gt;=$L$5,"anomaly","normal")</f>
        <v/>
      </c>
      <c r="F48" s="5">
        <f>IF(E48="anomaly",COUNTIFS($D$5:$D$88,"&gt;"&amp;D48,$D$5:$D$88,"&gt;="&amp;$L$5),"")</f>
        <v/>
      </c>
      <c r="G48" s="18">
        <f>IF(E48="anomaly",IF($L$6&gt;1,F48/($L$6-1)*100,0),"")</f>
        <v/>
      </c>
      <c r="H48" s="5">
        <f>IF(E48="anomaly",IF(G48&lt;=25,"CRITICAL",IF(G48&lt;=50,"HIGH",IF(G48&lt;=75,"MEDIUM","INFO"))),"")</f>
        <v/>
      </c>
      <c r="I48" s="27">
        <f>IF(E48="anomaly",100-G48*0.5,"")</f>
        <v/>
      </c>
    </row>
    <row r="49">
      <c r="A49" s="5" t="n">
        <v>3</v>
      </c>
      <c r="B49" s="5" t="n">
        <v>7</v>
      </c>
      <c r="C49" s="40">
        <f>Features_IF!C49</f>
        <v/>
      </c>
      <c r="D49" s="17">
        <f>Features_IF!S49</f>
        <v/>
      </c>
      <c r="E49" s="5">
        <f>IF(D49&gt;=$L$5,"anomaly","normal")</f>
        <v/>
      </c>
      <c r="F49" s="5">
        <f>IF(E49="anomaly",COUNTIFS($D$5:$D$88,"&gt;"&amp;D49,$D$5:$D$88,"&gt;="&amp;$L$5),"")</f>
        <v/>
      </c>
      <c r="G49" s="18">
        <f>IF(E49="anomaly",IF($L$6&gt;1,F49/($L$6-1)*100,0),"")</f>
        <v/>
      </c>
      <c r="H49" s="5">
        <f>IF(E49="anomaly",IF(G49&lt;=25,"CRITICAL",IF(G49&lt;=50,"HIGH",IF(G49&lt;=75,"MEDIUM","INFO"))),"")</f>
        <v/>
      </c>
      <c r="I49" s="27">
        <f>IF(E49="anomaly",100-G49*0.5,"")</f>
        <v/>
      </c>
    </row>
    <row r="50">
      <c r="A50" s="5" t="n">
        <v>4</v>
      </c>
      <c r="B50" s="5" t="n">
        <v>7</v>
      </c>
      <c r="C50" s="40">
        <f>Features_IF!C50</f>
        <v/>
      </c>
      <c r="D50" s="17">
        <f>Features_IF!S50</f>
        <v/>
      </c>
      <c r="E50" s="5">
        <f>IF(D50&gt;=$L$5,"anomaly","normal")</f>
        <v/>
      </c>
      <c r="F50" s="5">
        <f>IF(E50="anomaly",COUNTIFS($D$5:$D$88,"&gt;"&amp;D50,$D$5:$D$88,"&gt;="&amp;$L$5),"")</f>
        <v/>
      </c>
      <c r="G50" s="18">
        <f>IF(E50="anomaly",IF($L$6&gt;1,F50/($L$6-1)*100,0),"")</f>
        <v/>
      </c>
      <c r="H50" s="5">
        <f>IF(E50="anomaly",IF(G50&lt;=25,"CRITICAL",IF(G50&lt;=50,"HIGH",IF(G50&lt;=75,"MEDIUM","INFO"))),"")</f>
        <v/>
      </c>
      <c r="I50" s="27">
        <f>IF(E50="anomaly",100-G50*0.5,"")</f>
        <v/>
      </c>
    </row>
    <row r="51">
      <c r="A51" s="5" t="n">
        <v>5</v>
      </c>
      <c r="B51" s="5" t="n">
        <v>7</v>
      </c>
      <c r="C51" s="40">
        <f>Features_IF!C51</f>
        <v/>
      </c>
      <c r="D51" s="17">
        <f>Features_IF!S51</f>
        <v/>
      </c>
      <c r="E51" s="5">
        <f>IF(D51&gt;=$L$5,"anomaly","normal")</f>
        <v/>
      </c>
      <c r="F51" s="5">
        <f>IF(E51="anomaly",COUNTIFS($D$5:$D$88,"&gt;"&amp;D51,$D$5:$D$88,"&gt;="&amp;$L$5),"")</f>
        <v/>
      </c>
      <c r="G51" s="18">
        <f>IF(E51="anomaly",IF($L$6&gt;1,F51/($L$6-1)*100,0),"")</f>
        <v/>
      </c>
      <c r="H51" s="5">
        <f>IF(E51="anomaly",IF(G51&lt;=25,"CRITICAL",IF(G51&lt;=50,"HIGH",IF(G51&lt;=75,"MEDIUM","INFO"))),"")</f>
        <v/>
      </c>
      <c r="I51" s="27">
        <f>IF(E51="anomaly",100-G51*0.5,"")</f>
        <v/>
      </c>
    </row>
    <row r="52">
      <c r="A52" s="5" t="n">
        <v>6</v>
      </c>
      <c r="B52" s="5" t="n">
        <v>7</v>
      </c>
      <c r="C52" s="40">
        <f>Features_IF!C52</f>
        <v/>
      </c>
      <c r="D52" s="17">
        <f>Features_IF!S52</f>
        <v/>
      </c>
      <c r="E52" s="5">
        <f>IF(D52&gt;=$L$5,"anomaly","normal")</f>
        <v/>
      </c>
      <c r="F52" s="5">
        <f>IF(E52="anomaly",COUNTIFS($D$5:$D$88,"&gt;"&amp;D52,$D$5:$D$88,"&gt;="&amp;$L$5),"")</f>
        <v/>
      </c>
      <c r="G52" s="18">
        <f>IF(E52="anomaly",IF($L$6&gt;1,F52/($L$6-1)*100,0),"")</f>
        <v/>
      </c>
      <c r="H52" s="5">
        <f>IF(E52="anomaly",IF(G52&lt;=25,"CRITICAL",IF(G52&lt;=50,"HIGH",IF(G52&lt;=75,"MEDIUM","INFO"))),"")</f>
        <v/>
      </c>
      <c r="I52" s="27">
        <f>IF(E52="anomaly",100-G52*0.5,"")</f>
        <v/>
      </c>
    </row>
    <row r="53">
      <c r="A53" s="5" t="n">
        <v>1</v>
      </c>
      <c r="B53" s="5" t="n">
        <v>8</v>
      </c>
      <c r="C53" s="40">
        <f>Features_IF!C53</f>
        <v/>
      </c>
      <c r="D53" s="17">
        <f>Features_IF!S53</f>
        <v/>
      </c>
      <c r="E53" s="5">
        <f>IF(D53&gt;=$L$5,"anomaly","normal")</f>
        <v/>
      </c>
      <c r="F53" s="5">
        <f>IF(E53="anomaly",COUNTIFS($D$5:$D$88,"&gt;"&amp;D53,$D$5:$D$88,"&gt;="&amp;$L$5),"")</f>
        <v/>
      </c>
      <c r="G53" s="18">
        <f>IF(E53="anomaly",IF($L$6&gt;1,F53/($L$6-1)*100,0),"")</f>
        <v/>
      </c>
      <c r="H53" s="5">
        <f>IF(E53="anomaly",IF(G53&lt;=25,"CRITICAL",IF(G53&lt;=50,"HIGH",IF(G53&lt;=75,"MEDIUM","INFO"))),"")</f>
        <v/>
      </c>
      <c r="I53" s="27">
        <f>IF(E53="anomaly",100-G53*0.5,"")</f>
        <v/>
      </c>
    </row>
    <row r="54">
      <c r="A54" s="5" t="n">
        <v>2</v>
      </c>
      <c r="B54" s="5" t="n">
        <v>8</v>
      </c>
      <c r="C54" s="40">
        <f>Features_IF!C54</f>
        <v/>
      </c>
      <c r="D54" s="17">
        <f>Features_IF!S54</f>
        <v/>
      </c>
      <c r="E54" s="5">
        <f>IF(D54&gt;=$L$5,"anomaly","normal")</f>
        <v/>
      </c>
      <c r="F54" s="5">
        <f>IF(E54="anomaly",COUNTIFS($D$5:$D$88,"&gt;"&amp;D54,$D$5:$D$88,"&gt;="&amp;$L$5),"")</f>
        <v/>
      </c>
      <c r="G54" s="18">
        <f>IF(E54="anomaly",IF($L$6&gt;1,F54/($L$6-1)*100,0),"")</f>
        <v/>
      </c>
      <c r="H54" s="5">
        <f>IF(E54="anomaly",IF(G54&lt;=25,"CRITICAL",IF(G54&lt;=50,"HIGH",IF(G54&lt;=75,"MEDIUM","INFO"))),"")</f>
        <v/>
      </c>
      <c r="I54" s="27">
        <f>IF(E54="anomaly",100-G54*0.5,"")</f>
        <v/>
      </c>
    </row>
    <row r="55">
      <c r="A55" s="5" t="n">
        <v>3</v>
      </c>
      <c r="B55" s="5" t="n">
        <v>8</v>
      </c>
      <c r="C55" s="40">
        <f>Features_IF!C55</f>
        <v/>
      </c>
      <c r="D55" s="17">
        <f>Features_IF!S55</f>
        <v/>
      </c>
      <c r="E55" s="5">
        <f>IF(D55&gt;=$L$5,"anomaly","normal")</f>
        <v/>
      </c>
      <c r="F55" s="5">
        <f>IF(E55="anomaly",COUNTIFS($D$5:$D$88,"&gt;"&amp;D55,$D$5:$D$88,"&gt;="&amp;$L$5),"")</f>
        <v/>
      </c>
      <c r="G55" s="18">
        <f>IF(E55="anomaly",IF($L$6&gt;1,F55/($L$6-1)*100,0),"")</f>
        <v/>
      </c>
      <c r="H55" s="5">
        <f>IF(E55="anomaly",IF(G55&lt;=25,"CRITICAL",IF(G55&lt;=50,"HIGH",IF(G55&lt;=75,"MEDIUM","INFO"))),"")</f>
        <v/>
      </c>
      <c r="I55" s="27">
        <f>IF(E55="anomaly",100-G55*0.5,"")</f>
        <v/>
      </c>
    </row>
    <row r="56">
      <c r="A56" s="5" t="n">
        <v>4</v>
      </c>
      <c r="B56" s="5" t="n">
        <v>8</v>
      </c>
      <c r="C56" s="40">
        <f>Features_IF!C56</f>
        <v/>
      </c>
      <c r="D56" s="17">
        <f>Features_IF!S56</f>
        <v/>
      </c>
      <c r="E56" s="5">
        <f>IF(D56&gt;=$L$5,"anomaly","normal")</f>
        <v/>
      </c>
      <c r="F56" s="5">
        <f>IF(E56="anomaly",COUNTIFS($D$5:$D$88,"&gt;"&amp;D56,$D$5:$D$88,"&gt;="&amp;$L$5),"")</f>
        <v/>
      </c>
      <c r="G56" s="18">
        <f>IF(E56="anomaly",IF($L$6&gt;1,F56/($L$6-1)*100,0),"")</f>
        <v/>
      </c>
      <c r="H56" s="5">
        <f>IF(E56="anomaly",IF(G56&lt;=25,"CRITICAL",IF(G56&lt;=50,"HIGH",IF(G56&lt;=75,"MEDIUM","INFO"))),"")</f>
        <v/>
      </c>
      <c r="I56" s="27">
        <f>IF(E56="anomaly",100-G56*0.5,"")</f>
        <v/>
      </c>
    </row>
    <row r="57">
      <c r="A57" s="5" t="n">
        <v>5</v>
      </c>
      <c r="B57" s="5" t="n">
        <v>8</v>
      </c>
      <c r="C57" s="40">
        <f>Features_IF!C57</f>
        <v/>
      </c>
      <c r="D57" s="17">
        <f>Features_IF!S57</f>
        <v/>
      </c>
      <c r="E57" s="5">
        <f>IF(D57&gt;=$L$5,"anomaly","normal")</f>
        <v/>
      </c>
      <c r="F57" s="5">
        <f>IF(E57="anomaly",COUNTIFS($D$5:$D$88,"&gt;"&amp;D57,$D$5:$D$88,"&gt;="&amp;$L$5),"")</f>
        <v/>
      </c>
      <c r="G57" s="18">
        <f>IF(E57="anomaly",IF($L$6&gt;1,F57/($L$6-1)*100,0),"")</f>
        <v/>
      </c>
      <c r="H57" s="5">
        <f>IF(E57="anomaly",IF(G57&lt;=25,"CRITICAL",IF(G57&lt;=50,"HIGH",IF(G57&lt;=75,"MEDIUM","INFO"))),"")</f>
        <v/>
      </c>
      <c r="I57" s="27">
        <f>IF(E57="anomaly",100-G57*0.5,"")</f>
        <v/>
      </c>
    </row>
    <row r="58">
      <c r="A58" s="5" t="n">
        <v>6</v>
      </c>
      <c r="B58" s="5" t="n">
        <v>8</v>
      </c>
      <c r="C58" s="40">
        <f>Features_IF!C58</f>
        <v/>
      </c>
      <c r="D58" s="17">
        <f>Features_IF!S58</f>
        <v/>
      </c>
      <c r="E58" s="5">
        <f>IF(D58&gt;=$L$5,"anomaly","normal")</f>
        <v/>
      </c>
      <c r="F58" s="5">
        <f>IF(E58="anomaly",COUNTIFS($D$5:$D$88,"&gt;"&amp;D58,$D$5:$D$88,"&gt;="&amp;$L$5),"")</f>
        <v/>
      </c>
      <c r="G58" s="18">
        <f>IF(E58="anomaly",IF($L$6&gt;1,F58/($L$6-1)*100,0),"")</f>
        <v/>
      </c>
      <c r="H58" s="5">
        <f>IF(E58="anomaly",IF(G58&lt;=25,"CRITICAL",IF(G58&lt;=50,"HIGH",IF(G58&lt;=75,"MEDIUM","INFO"))),"")</f>
        <v/>
      </c>
      <c r="I58" s="27">
        <f>IF(E58="anomaly",100-G58*0.5,"")</f>
        <v/>
      </c>
    </row>
    <row r="59">
      <c r="A59" s="5" t="n">
        <v>1</v>
      </c>
      <c r="B59" s="5" t="n">
        <v>9</v>
      </c>
      <c r="C59" s="40">
        <f>Features_IF!C59</f>
        <v/>
      </c>
      <c r="D59" s="17">
        <f>Features_IF!S59</f>
        <v/>
      </c>
      <c r="E59" s="5">
        <f>IF(D59&gt;=$L$5,"anomaly","normal")</f>
        <v/>
      </c>
      <c r="F59" s="5">
        <f>IF(E59="anomaly",COUNTIFS($D$5:$D$88,"&gt;"&amp;D59,$D$5:$D$88,"&gt;="&amp;$L$5),"")</f>
        <v/>
      </c>
      <c r="G59" s="18">
        <f>IF(E59="anomaly",IF($L$6&gt;1,F59/($L$6-1)*100,0),"")</f>
        <v/>
      </c>
      <c r="H59" s="5">
        <f>IF(E59="anomaly",IF(G59&lt;=25,"CRITICAL",IF(G59&lt;=50,"HIGH",IF(G59&lt;=75,"MEDIUM","INFO"))),"")</f>
        <v/>
      </c>
      <c r="I59" s="27">
        <f>IF(E59="anomaly",100-G59*0.5,"")</f>
        <v/>
      </c>
    </row>
    <row r="60">
      <c r="A60" s="5" t="n">
        <v>2</v>
      </c>
      <c r="B60" s="5" t="n">
        <v>9</v>
      </c>
      <c r="C60" s="40">
        <f>Features_IF!C60</f>
        <v/>
      </c>
      <c r="D60" s="17">
        <f>Features_IF!S60</f>
        <v/>
      </c>
      <c r="E60" s="5">
        <f>IF(D60&gt;=$L$5,"anomaly","normal")</f>
        <v/>
      </c>
      <c r="F60" s="5">
        <f>IF(E60="anomaly",COUNTIFS($D$5:$D$88,"&gt;"&amp;D60,$D$5:$D$88,"&gt;="&amp;$L$5),"")</f>
        <v/>
      </c>
      <c r="G60" s="18">
        <f>IF(E60="anomaly",IF($L$6&gt;1,F60/($L$6-1)*100,0),"")</f>
        <v/>
      </c>
      <c r="H60" s="5">
        <f>IF(E60="anomaly",IF(G60&lt;=25,"CRITICAL",IF(G60&lt;=50,"HIGH",IF(G60&lt;=75,"MEDIUM","INFO"))),"")</f>
        <v/>
      </c>
      <c r="I60" s="27">
        <f>IF(E60="anomaly",100-G60*0.5,"")</f>
        <v/>
      </c>
    </row>
    <row r="61">
      <c r="A61" s="5" t="n">
        <v>3</v>
      </c>
      <c r="B61" s="5" t="n">
        <v>9</v>
      </c>
      <c r="C61" s="40">
        <f>Features_IF!C61</f>
        <v/>
      </c>
      <c r="D61" s="17">
        <f>Features_IF!S61</f>
        <v/>
      </c>
      <c r="E61" s="5">
        <f>IF(D61&gt;=$L$5,"anomaly","normal")</f>
        <v/>
      </c>
      <c r="F61" s="5">
        <f>IF(E61="anomaly",COUNTIFS($D$5:$D$88,"&gt;"&amp;D61,$D$5:$D$88,"&gt;="&amp;$L$5),"")</f>
        <v/>
      </c>
      <c r="G61" s="18">
        <f>IF(E61="anomaly",IF($L$6&gt;1,F61/($L$6-1)*100,0),"")</f>
        <v/>
      </c>
      <c r="H61" s="5">
        <f>IF(E61="anomaly",IF(G61&lt;=25,"CRITICAL",IF(G61&lt;=50,"HIGH",IF(G61&lt;=75,"MEDIUM","INFO"))),"")</f>
        <v/>
      </c>
      <c r="I61" s="27">
        <f>IF(E61="anomaly",100-G61*0.5,"")</f>
        <v/>
      </c>
    </row>
    <row r="62">
      <c r="A62" s="5" t="n">
        <v>4</v>
      </c>
      <c r="B62" s="5" t="n">
        <v>9</v>
      </c>
      <c r="C62" s="40">
        <f>Features_IF!C62</f>
        <v/>
      </c>
      <c r="D62" s="17">
        <f>Features_IF!S62</f>
        <v/>
      </c>
      <c r="E62" s="5">
        <f>IF(D62&gt;=$L$5,"anomaly","normal")</f>
        <v/>
      </c>
      <c r="F62" s="5">
        <f>IF(E62="anomaly",COUNTIFS($D$5:$D$88,"&gt;"&amp;D62,$D$5:$D$88,"&gt;="&amp;$L$5),"")</f>
        <v/>
      </c>
      <c r="G62" s="18">
        <f>IF(E62="anomaly",IF($L$6&gt;1,F62/($L$6-1)*100,0),"")</f>
        <v/>
      </c>
      <c r="H62" s="5">
        <f>IF(E62="anomaly",IF(G62&lt;=25,"CRITICAL",IF(G62&lt;=50,"HIGH",IF(G62&lt;=75,"MEDIUM","INFO"))),"")</f>
        <v/>
      </c>
      <c r="I62" s="27">
        <f>IF(E62="anomaly",100-G62*0.5,"")</f>
        <v/>
      </c>
    </row>
    <row r="63">
      <c r="A63" s="5" t="n">
        <v>5</v>
      </c>
      <c r="B63" s="5" t="n">
        <v>9</v>
      </c>
      <c r="C63" s="40">
        <f>Features_IF!C63</f>
        <v/>
      </c>
      <c r="D63" s="17">
        <f>Features_IF!S63</f>
        <v/>
      </c>
      <c r="E63" s="5">
        <f>IF(D63&gt;=$L$5,"anomaly","normal")</f>
        <v/>
      </c>
      <c r="F63" s="5">
        <f>IF(E63="anomaly",COUNTIFS($D$5:$D$88,"&gt;"&amp;D63,$D$5:$D$88,"&gt;="&amp;$L$5),"")</f>
        <v/>
      </c>
      <c r="G63" s="18">
        <f>IF(E63="anomaly",IF($L$6&gt;1,F63/($L$6-1)*100,0),"")</f>
        <v/>
      </c>
      <c r="H63" s="5">
        <f>IF(E63="anomaly",IF(G63&lt;=25,"CRITICAL",IF(G63&lt;=50,"HIGH",IF(G63&lt;=75,"MEDIUM","INFO"))),"")</f>
        <v/>
      </c>
      <c r="I63" s="27">
        <f>IF(E63="anomaly",100-G63*0.5,"")</f>
        <v/>
      </c>
    </row>
    <row r="64">
      <c r="A64" s="5" t="n">
        <v>6</v>
      </c>
      <c r="B64" s="5" t="n">
        <v>9</v>
      </c>
      <c r="C64" s="40">
        <f>Features_IF!C64</f>
        <v/>
      </c>
      <c r="D64" s="17">
        <f>Features_IF!S64</f>
        <v/>
      </c>
      <c r="E64" s="5">
        <f>IF(D64&gt;=$L$5,"anomaly","normal")</f>
        <v/>
      </c>
      <c r="F64" s="5">
        <f>IF(E64="anomaly",COUNTIFS($D$5:$D$88,"&gt;"&amp;D64,$D$5:$D$88,"&gt;="&amp;$L$5),"")</f>
        <v/>
      </c>
      <c r="G64" s="18">
        <f>IF(E64="anomaly",IF($L$6&gt;1,F64/($L$6-1)*100,0),"")</f>
        <v/>
      </c>
      <c r="H64" s="5">
        <f>IF(E64="anomaly",IF(G64&lt;=25,"CRITICAL",IF(G64&lt;=50,"HIGH",IF(G64&lt;=75,"MEDIUM","INFO"))),"")</f>
        <v/>
      </c>
      <c r="I64" s="27">
        <f>IF(E64="anomaly",100-G64*0.5,"")</f>
        <v/>
      </c>
    </row>
    <row r="65">
      <c r="A65" s="5" t="n">
        <v>1</v>
      </c>
      <c r="B65" s="5" t="n">
        <v>10</v>
      </c>
      <c r="C65" s="40">
        <f>Features_IF!C65</f>
        <v/>
      </c>
      <c r="D65" s="17">
        <f>Features_IF!S65</f>
        <v/>
      </c>
      <c r="E65" s="5">
        <f>IF(D65&gt;=$L$5,"anomaly","normal")</f>
        <v/>
      </c>
      <c r="F65" s="5">
        <f>IF(E65="anomaly",COUNTIFS($D$5:$D$88,"&gt;"&amp;D65,$D$5:$D$88,"&gt;="&amp;$L$5),"")</f>
        <v/>
      </c>
      <c r="G65" s="18">
        <f>IF(E65="anomaly",IF($L$6&gt;1,F65/($L$6-1)*100,0),"")</f>
        <v/>
      </c>
      <c r="H65" s="5">
        <f>IF(E65="anomaly",IF(G65&lt;=25,"CRITICAL",IF(G65&lt;=50,"HIGH",IF(G65&lt;=75,"MEDIUM","INFO"))),"")</f>
        <v/>
      </c>
      <c r="I65" s="27">
        <f>IF(E65="anomaly",100-G65*0.5,"")</f>
        <v/>
      </c>
    </row>
    <row r="66">
      <c r="A66" s="5" t="n">
        <v>2</v>
      </c>
      <c r="B66" s="5" t="n">
        <v>10</v>
      </c>
      <c r="C66" s="40">
        <f>Features_IF!C66</f>
        <v/>
      </c>
      <c r="D66" s="17">
        <f>Features_IF!S66</f>
        <v/>
      </c>
      <c r="E66" s="5">
        <f>IF(D66&gt;=$L$5,"anomaly","normal")</f>
        <v/>
      </c>
      <c r="F66" s="5">
        <f>IF(E66="anomaly",COUNTIFS($D$5:$D$88,"&gt;"&amp;D66,$D$5:$D$88,"&gt;="&amp;$L$5),"")</f>
        <v/>
      </c>
      <c r="G66" s="18">
        <f>IF(E66="anomaly",IF($L$6&gt;1,F66/($L$6-1)*100,0),"")</f>
        <v/>
      </c>
      <c r="H66" s="5">
        <f>IF(E66="anomaly",IF(G66&lt;=25,"CRITICAL",IF(G66&lt;=50,"HIGH",IF(G66&lt;=75,"MEDIUM","INFO"))),"")</f>
        <v/>
      </c>
      <c r="I66" s="27">
        <f>IF(E66="anomaly",100-G66*0.5,"")</f>
        <v/>
      </c>
    </row>
    <row r="67">
      <c r="A67" s="5" t="n">
        <v>3</v>
      </c>
      <c r="B67" s="5" t="n">
        <v>10</v>
      </c>
      <c r="C67" s="40">
        <f>Features_IF!C67</f>
        <v/>
      </c>
      <c r="D67" s="17">
        <f>Features_IF!S67</f>
        <v/>
      </c>
      <c r="E67" s="5">
        <f>IF(D67&gt;=$L$5,"anomaly","normal")</f>
        <v/>
      </c>
      <c r="F67" s="5">
        <f>IF(E67="anomaly",COUNTIFS($D$5:$D$88,"&gt;"&amp;D67,$D$5:$D$88,"&gt;="&amp;$L$5),"")</f>
        <v/>
      </c>
      <c r="G67" s="18">
        <f>IF(E67="anomaly",IF($L$6&gt;1,F67/($L$6-1)*100,0),"")</f>
        <v/>
      </c>
      <c r="H67" s="5">
        <f>IF(E67="anomaly",IF(G67&lt;=25,"CRITICAL",IF(G67&lt;=50,"HIGH",IF(G67&lt;=75,"MEDIUM","INFO"))),"")</f>
        <v/>
      </c>
      <c r="I67" s="27">
        <f>IF(E67="anomaly",100-G67*0.5,"")</f>
        <v/>
      </c>
    </row>
    <row r="68">
      <c r="A68" s="5" t="n">
        <v>4</v>
      </c>
      <c r="B68" s="5" t="n">
        <v>10</v>
      </c>
      <c r="C68" s="40">
        <f>Features_IF!C68</f>
        <v/>
      </c>
      <c r="D68" s="17">
        <f>Features_IF!S68</f>
        <v/>
      </c>
      <c r="E68" s="5">
        <f>IF(D68&gt;=$L$5,"anomaly","normal")</f>
        <v/>
      </c>
      <c r="F68" s="5">
        <f>IF(E68="anomaly",COUNTIFS($D$5:$D$88,"&gt;"&amp;D68,$D$5:$D$88,"&gt;="&amp;$L$5),"")</f>
        <v/>
      </c>
      <c r="G68" s="18">
        <f>IF(E68="anomaly",IF($L$6&gt;1,F68/($L$6-1)*100,0),"")</f>
        <v/>
      </c>
      <c r="H68" s="5">
        <f>IF(E68="anomaly",IF(G68&lt;=25,"CRITICAL",IF(G68&lt;=50,"HIGH",IF(G68&lt;=75,"MEDIUM","INFO"))),"")</f>
        <v/>
      </c>
      <c r="I68" s="27">
        <f>IF(E68="anomaly",100-G68*0.5,"")</f>
        <v/>
      </c>
    </row>
    <row r="69">
      <c r="A69" s="5" t="n">
        <v>5</v>
      </c>
      <c r="B69" s="5" t="n">
        <v>10</v>
      </c>
      <c r="C69" s="40">
        <f>Features_IF!C69</f>
        <v/>
      </c>
      <c r="D69" s="17">
        <f>Features_IF!S69</f>
        <v/>
      </c>
      <c r="E69" s="5">
        <f>IF(D69&gt;=$L$5,"anomaly","normal")</f>
        <v/>
      </c>
      <c r="F69" s="5">
        <f>IF(E69="anomaly",COUNTIFS($D$5:$D$88,"&gt;"&amp;D69,$D$5:$D$88,"&gt;="&amp;$L$5),"")</f>
        <v/>
      </c>
      <c r="G69" s="18">
        <f>IF(E69="anomaly",IF($L$6&gt;1,F69/($L$6-1)*100,0),"")</f>
        <v/>
      </c>
      <c r="H69" s="5">
        <f>IF(E69="anomaly",IF(G69&lt;=25,"CRITICAL",IF(G69&lt;=50,"HIGH",IF(G69&lt;=75,"MEDIUM","INFO"))),"")</f>
        <v/>
      </c>
      <c r="I69" s="27">
        <f>IF(E69="anomaly",100-G69*0.5,"")</f>
        <v/>
      </c>
    </row>
    <row r="70">
      <c r="A70" s="5" t="n">
        <v>6</v>
      </c>
      <c r="B70" s="5" t="n">
        <v>10</v>
      </c>
      <c r="C70" s="40">
        <f>Features_IF!C70</f>
        <v/>
      </c>
      <c r="D70" s="17">
        <f>Features_IF!S70</f>
        <v/>
      </c>
      <c r="E70" s="5">
        <f>IF(D70&gt;=$L$5,"anomaly","normal")</f>
        <v/>
      </c>
      <c r="F70" s="5">
        <f>IF(E70="anomaly",COUNTIFS($D$5:$D$88,"&gt;"&amp;D70,$D$5:$D$88,"&gt;="&amp;$L$5),"")</f>
        <v/>
      </c>
      <c r="G70" s="18">
        <f>IF(E70="anomaly",IF($L$6&gt;1,F70/($L$6-1)*100,0),"")</f>
        <v/>
      </c>
      <c r="H70" s="5">
        <f>IF(E70="anomaly",IF(G70&lt;=25,"CRITICAL",IF(G70&lt;=50,"HIGH",IF(G70&lt;=75,"MEDIUM","INFO"))),"")</f>
        <v/>
      </c>
      <c r="I70" s="27">
        <f>IF(E70="anomaly",100-G70*0.5,"")</f>
        <v/>
      </c>
    </row>
    <row r="71">
      <c r="A71" s="5" t="n">
        <v>1</v>
      </c>
      <c r="B71" s="5" t="n">
        <v>11</v>
      </c>
      <c r="C71" s="40">
        <f>Features_IF!C71</f>
        <v/>
      </c>
      <c r="D71" s="17">
        <f>Features_IF!S71</f>
        <v/>
      </c>
      <c r="E71" s="5">
        <f>IF(D71&gt;=$L$5,"anomaly","normal")</f>
        <v/>
      </c>
      <c r="F71" s="5">
        <f>IF(E71="anomaly",COUNTIFS($D$5:$D$88,"&gt;"&amp;D71,$D$5:$D$88,"&gt;="&amp;$L$5),"")</f>
        <v/>
      </c>
      <c r="G71" s="18">
        <f>IF(E71="anomaly",IF($L$6&gt;1,F71/($L$6-1)*100,0),"")</f>
        <v/>
      </c>
      <c r="H71" s="5">
        <f>IF(E71="anomaly",IF(G71&lt;=25,"CRITICAL",IF(G71&lt;=50,"HIGH",IF(G71&lt;=75,"MEDIUM","INFO"))),"")</f>
        <v/>
      </c>
      <c r="I71" s="27">
        <f>IF(E71="anomaly",100-G71*0.5,"")</f>
        <v/>
      </c>
    </row>
    <row r="72">
      <c r="A72" s="5" t="n">
        <v>2</v>
      </c>
      <c r="B72" s="5" t="n">
        <v>11</v>
      </c>
      <c r="C72" s="40">
        <f>Features_IF!C72</f>
        <v/>
      </c>
      <c r="D72" s="17">
        <f>Features_IF!S72</f>
        <v/>
      </c>
      <c r="E72" s="5">
        <f>IF(D72&gt;=$L$5,"anomaly","normal")</f>
        <v/>
      </c>
      <c r="F72" s="5">
        <f>IF(E72="anomaly",COUNTIFS($D$5:$D$88,"&gt;"&amp;D72,$D$5:$D$88,"&gt;="&amp;$L$5),"")</f>
        <v/>
      </c>
      <c r="G72" s="18">
        <f>IF(E72="anomaly",IF($L$6&gt;1,F72/($L$6-1)*100,0),"")</f>
        <v/>
      </c>
      <c r="H72" s="5">
        <f>IF(E72="anomaly",IF(G72&lt;=25,"CRITICAL",IF(G72&lt;=50,"HIGH",IF(G72&lt;=75,"MEDIUM","INFO"))),"")</f>
        <v/>
      </c>
      <c r="I72" s="27">
        <f>IF(E72="anomaly",100-G72*0.5,"")</f>
        <v/>
      </c>
    </row>
    <row r="73">
      <c r="A73" s="5" t="n">
        <v>3</v>
      </c>
      <c r="B73" s="5" t="n">
        <v>11</v>
      </c>
      <c r="C73" s="40">
        <f>Features_IF!C73</f>
        <v/>
      </c>
      <c r="D73" s="17">
        <f>Features_IF!S73</f>
        <v/>
      </c>
      <c r="E73" s="5">
        <f>IF(D73&gt;=$L$5,"anomaly","normal")</f>
        <v/>
      </c>
      <c r="F73" s="5">
        <f>IF(E73="anomaly",COUNTIFS($D$5:$D$88,"&gt;"&amp;D73,$D$5:$D$88,"&gt;="&amp;$L$5),"")</f>
        <v/>
      </c>
      <c r="G73" s="18">
        <f>IF(E73="anomaly",IF($L$6&gt;1,F73/($L$6-1)*100,0),"")</f>
        <v/>
      </c>
      <c r="H73" s="5">
        <f>IF(E73="anomaly",IF(G73&lt;=25,"CRITICAL",IF(G73&lt;=50,"HIGH",IF(G73&lt;=75,"MEDIUM","INFO"))),"")</f>
        <v/>
      </c>
      <c r="I73" s="27">
        <f>IF(E73="anomaly",100-G73*0.5,"")</f>
        <v/>
      </c>
    </row>
    <row r="74">
      <c r="A74" s="5" t="n">
        <v>4</v>
      </c>
      <c r="B74" s="5" t="n">
        <v>11</v>
      </c>
      <c r="C74" s="40">
        <f>Features_IF!C74</f>
        <v/>
      </c>
      <c r="D74" s="17">
        <f>Features_IF!S74</f>
        <v/>
      </c>
      <c r="E74" s="5">
        <f>IF(D74&gt;=$L$5,"anomaly","normal")</f>
        <v/>
      </c>
      <c r="F74" s="5">
        <f>IF(E74="anomaly",COUNTIFS($D$5:$D$88,"&gt;"&amp;D74,$D$5:$D$88,"&gt;="&amp;$L$5),"")</f>
        <v/>
      </c>
      <c r="G74" s="18">
        <f>IF(E74="anomaly",IF($L$6&gt;1,F74/($L$6-1)*100,0),"")</f>
        <v/>
      </c>
      <c r="H74" s="5">
        <f>IF(E74="anomaly",IF(G74&lt;=25,"CRITICAL",IF(G74&lt;=50,"HIGH",IF(G74&lt;=75,"MEDIUM","INFO"))),"")</f>
        <v/>
      </c>
      <c r="I74" s="27">
        <f>IF(E74="anomaly",100-G74*0.5,"")</f>
        <v/>
      </c>
    </row>
    <row r="75">
      <c r="A75" s="5" t="n">
        <v>5</v>
      </c>
      <c r="B75" s="5" t="n">
        <v>11</v>
      </c>
      <c r="C75" s="40">
        <f>Features_IF!C75</f>
        <v/>
      </c>
      <c r="D75" s="17">
        <f>Features_IF!S75</f>
        <v/>
      </c>
      <c r="E75" s="5">
        <f>IF(D75&gt;=$L$5,"anomaly","normal")</f>
        <v/>
      </c>
      <c r="F75" s="5">
        <f>IF(E75="anomaly",COUNTIFS($D$5:$D$88,"&gt;"&amp;D75,$D$5:$D$88,"&gt;="&amp;$L$5),"")</f>
        <v/>
      </c>
      <c r="G75" s="18">
        <f>IF(E75="anomaly",IF($L$6&gt;1,F75/($L$6-1)*100,0),"")</f>
        <v/>
      </c>
      <c r="H75" s="5">
        <f>IF(E75="anomaly",IF(G75&lt;=25,"CRITICAL",IF(G75&lt;=50,"HIGH",IF(G75&lt;=75,"MEDIUM","INFO"))),"")</f>
        <v/>
      </c>
      <c r="I75" s="27">
        <f>IF(E75="anomaly",100-G75*0.5,"")</f>
        <v/>
      </c>
    </row>
    <row r="76">
      <c r="A76" s="5" t="n">
        <v>6</v>
      </c>
      <c r="B76" s="5" t="n">
        <v>11</v>
      </c>
      <c r="C76" s="40">
        <f>Features_IF!C76</f>
        <v/>
      </c>
      <c r="D76" s="17">
        <f>Features_IF!S76</f>
        <v/>
      </c>
      <c r="E76" s="5">
        <f>IF(D76&gt;=$L$5,"anomaly","normal")</f>
        <v/>
      </c>
      <c r="F76" s="5">
        <f>IF(E76="anomaly",COUNTIFS($D$5:$D$88,"&gt;"&amp;D76,$D$5:$D$88,"&gt;="&amp;$L$5),"")</f>
        <v/>
      </c>
      <c r="G76" s="18">
        <f>IF(E76="anomaly",IF($L$6&gt;1,F76/($L$6-1)*100,0),"")</f>
        <v/>
      </c>
      <c r="H76" s="5">
        <f>IF(E76="anomaly",IF(G76&lt;=25,"CRITICAL",IF(G76&lt;=50,"HIGH",IF(G76&lt;=75,"MEDIUM","INFO"))),"")</f>
        <v/>
      </c>
      <c r="I76" s="27">
        <f>IF(E76="anomaly",100-G76*0.5,"")</f>
        <v/>
      </c>
    </row>
    <row r="77">
      <c r="A77" s="5" t="n">
        <v>1</v>
      </c>
      <c r="B77" s="5" t="n">
        <v>12</v>
      </c>
      <c r="C77" s="40">
        <f>Features_IF!C77</f>
        <v/>
      </c>
      <c r="D77" s="17">
        <f>Features_IF!S77</f>
        <v/>
      </c>
      <c r="E77" s="5">
        <f>IF(D77&gt;=$L$5,"anomaly","normal")</f>
        <v/>
      </c>
      <c r="F77" s="5">
        <f>IF(E77="anomaly",COUNTIFS($D$5:$D$88,"&gt;"&amp;D77,$D$5:$D$88,"&gt;="&amp;$L$5),"")</f>
        <v/>
      </c>
      <c r="G77" s="18">
        <f>IF(E77="anomaly",IF($L$6&gt;1,F77/($L$6-1)*100,0),"")</f>
        <v/>
      </c>
      <c r="H77" s="5">
        <f>IF(E77="anomaly",IF(G77&lt;=25,"CRITICAL",IF(G77&lt;=50,"HIGH",IF(G77&lt;=75,"MEDIUM","INFO"))),"")</f>
        <v/>
      </c>
      <c r="I77" s="27">
        <f>IF(E77="anomaly",100-G77*0.5,"")</f>
        <v/>
      </c>
    </row>
    <row r="78">
      <c r="A78" s="5" t="n">
        <v>2</v>
      </c>
      <c r="B78" s="5" t="n">
        <v>12</v>
      </c>
      <c r="C78" s="40">
        <f>Features_IF!C78</f>
        <v/>
      </c>
      <c r="D78" s="17">
        <f>Features_IF!S78</f>
        <v/>
      </c>
      <c r="E78" s="5">
        <f>IF(D78&gt;=$L$5,"anomaly","normal")</f>
        <v/>
      </c>
      <c r="F78" s="5">
        <f>IF(E78="anomaly",COUNTIFS($D$5:$D$88,"&gt;"&amp;D78,$D$5:$D$88,"&gt;="&amp;$L$5),"")</f>
        <v/>
      </c>
      <c r="G78" s="18">
        <f>IF(E78="anomaly",IF($L$6&gt;1,F78/($L$6-1)*100,0),"")</f>
        <v/>
      </c>
      <c r="H78" s="5">
        <f>IF(E78="anomaly",IF(G78&lt;=25,"CRITICAL",IF(G78&lt;=50,"HIGH",IF(G78&lt;=75,"MEDIUM","INFO"))),"")</f>
        <v/>
      </c>
      <c r="I78" s="27">
        <f>IF(E78="anomaly",100-G78*0.5,"")</f>
        <v/>
      </c>
    </row>
    <row r="79">
      <c r="A79" s="5" t="n">
        <v>3</v>
      </c>
      <c r="B79" s="5" t="n">
        <v>12</v>
      </c>
      <c r="C79" s="40">
        <f>Features_IF!C79</f>
        <v/>
      </c>
      <c r="D79" s="17">
        <f>Features_IF!S79</f>
        <v/>
      </c>
      <c r="E79" s="5">
        <f>IF(D79&gt;=$L$5,"anomaly","normal")</f>
        <v/>
      </c>
      <c r="F79" s="5">
        <f>IF(E79="anomaly",COUNTIFS($D$5:$D$88,"&gt;"&amp;D79,$D$5:$D$88,"&gt;="&amp;$L$5),"")</f>
        <v/>
      </c>
      <c r="G79" s="18">
        <f>IF(E79="anomaly",IF($L$6&gt;1,F79/($L$6-1)*100,0),"")</f>
        <v/>
      </c>
      <c r="H79" s="5">
        <f>IF(E79="anomaly",IF(G79&lt;=25,"CRITICAL",IF(G79&lt;=50,"HIGH",IF(G79&lt;=75,"MEDIUM","INFO"))),"")</f>
        <v/>
      </c>
      <c r="I79" s="27">
        <f>IF(E79="anomaly",100-G79*0.5,"")</f>
        <v/>
      </c>
    </row>
    <row r="80">
      <c r="A80" s="5" t="n">
        <v>4</v>
      </c>
      <c r="B80" s="5" t="n">
        <v>12</v>
      </c>
      <c r="C80" s="40">
        <f>Features_IF!C80</f>
        <v/>
      </c>
      <c r="D80" s="17">
        <f>Features_IF!S80</f>
        <v/>
      </c>
      <c r="E80" s="5">
        <f>IF(D80&gt;=$L$5,"anomaly","normal")</f>
        <v/>
      </c>
      <c r="F80" s="5">
        <f>IF(E80="anomaly",COUNTIFS($D$5:$D$88,"&gt;"&amp;D80,$D$5:$D$88,"&gt;="&amp;$L$5),"")</f>
        <v/>
      </c>
      <c r="G80" s="18">
        <f>IF(E80="anomaly",IF($L$6&gt;1,F80/($L$6-1)*100,0),"")</f>
        <v/>
      </c>
      <c r="H80" s="5">
        <f>IF(E80="anomaly",IF(G80&lt;=25,"CRITICAL",IF(G80&lt;=50,"HIGH",IF(G80&lt;=75,"MEDIUM","INFO"))),"")</f>
        <v/>
      </c>
      <c r="I80" s="27">
        <f>IF(E80="anomaly",100-G80*0.5,"")</f>
        <v/>
      </c>
    </row>
    <row r="81">
      <c r="A81" s="5" t="n">
        <v>5</v>
      </c>
      <c r="B81" s="5" t="n">
        <v>12</v>
      </c>
      <c r="C81" s="40">
        <f>Features_IF!C81</f>
        <v/>
      </c>
      <c r="D81" s="17">
        <f>Features_IF!S81</f>
        <v/>
      </c>
      <c r="E81" s="5">
        <f>IF(D81&gt;=$L$5,"anomaly","normal")</f>
        <v/>
      </c>
      <c r="F81" s="5">
        <f>IF(E81="anomaly",COUNTIFS($D$5:$D$88,"&gt;"&amp;D81,$D$5:$D$88,"&gt;="&amp;$L$5),"")</f>
        <v/>
      </c>
      <c r="G81" s="18">
        <f>IF(E81="anomaly",IF($L$6&gt;1,F81/($L$6-1)*100,0),"")</f>
        <v/>
      </c>
      <c r="H81" s="5">
        <f>IF(E81="anomaly",IF(G81&lt;=25,"CRITICAL",IF(G81&lt;=50,"HIGH",IF(G81&lt;=75,"MEDIUM","INFO"))),"")</f>
        <v/>
      </c>
      <c r="I81" s="27">
        <f>IF(E81="anomaly",100-G81*0.5,"")</f>
        <v/>
      </c>
    </row>
    <row r="82">
      <c r="A82" s="5" t="n">
        <v>6</v>
      </c>
      <c r="B82" s="5" t="n">
        <v>12</v>
      </c>
      <c r="C82" s="40">
        <f>Features_IF!C82</f>
        <v/>
      </c>
      <c r="D82" s="17">
        <f>Features_IF!S82</f>
        <v/>
      </c>
      <c r="E82" s="5">
        <f>IF(D82&gt;=$L$5,"anomaly","normal")</f>
        <v/>
      </c>
      <c r="F82" s="5">
        <f>IF(E82="anomaly",COUNTIFS($D$5:$D$88,"&gt;"&amp;D82,$D$5:$D$88,"&gt;="&amp;$L$5),"")</f>
        <v/>
      </c>
      <c r="G82" s="18">
        <f>IF(E82="anomaly",IF($L$6&gt;1,F82/($L$6-1)*100,0),"")</f>
        <v/>
      </c>
      <c r="H82" s="5">
        <f>IF(E82="anomaly",IF(G82&lt;=25,"CRITICAL",IF(G82&lt;=50,"HIGH",IF(G82&lt;=75,"MEDIUM","INFO"))),"")</f>
        <v/>
      </c>
      <c r="I82" s="27">
        <f>IF(E82="anomaly",100-G82*0.5,"")</f>
        <v/>
      </c>
    </row>
    <row r="83">
      <c r="A83" s="5" t="n">
        <v>1</v>
      </c>
      <c r="B83" s="5" t="n">
        <v>13</v>
      </c>
      <c r="C83" s="40">
        <f>Features_IF!C83</f>
        <v/>
      </c>
      <c r="D83" s="17">
        <f>Features_IF!S83</f>
        <v/>
      </c>
      <c r="E83" s="5">
        <f>IF(D83&gt;=$L$5,"anomaly","normal")</f>
        <v/>
      </c>
      <c r="F83" s="5">
        <f>IF(E83="anomaly",COUNTIFS($D$5:$D$88,"&gt;"&amp;D83,$D$5:$D$88,"&gt;="&amp;$L$5),"")</f>
        <v/>
      </c>
      <c r="G83" s="18">
        <f>IF(E83="anomaly",IF($L$6&gt;1,F83/($L$6-1)*100,0),"")</f>
        <v/>
      </c>
      <c r="H83" s="5">
        <f>IF(E83="anomaly",IF(G83&lt;=25,"CRITICAL",IF(G83&lt;=50,"HIGH",IF(G83&lt;=75,"MEDIUM","INFO"))),"")</f>
        <v/>
      </c>
      <c r="I83" s="27">
        <f>IF(E83="anomaly",100-G83*0.5,"")</f>
        <v/>
      </c>
    </row>
    <row r="84">
      <c r="A84" s="5" t="n">
        <v>2</v>
      </c>
      <c r="B84" s="5" t="n">
        <v>13</v>
      </c>
      <c r="C84" s="40">
        <f>Features_IF!C84</f>
        <v/>
      </c>
      <c r="D84" s="17">
        <f>Features_IF!S84</f>
        <v/>
      </c>
      <c r="E84" s="5">
        <f>IF(D84&gt;=$L$5,"anomaly","normal")</f>
        <v/>
      </c>
      <c r="F84" s="5">
        <f>IF(E84="anomaly",COUNTIFS($D$5:$D$88,"&gt;"&amp;D84,$D$5:$D$88,"&gt;="&amp;$L$5),"")</f>
        <v/>
      </c>
      <c r="G84" s="18">
        <f>IF(E84="anomaly",IF($L$6&gt;1,F84/($L$6-1)*100,0),"")</f>
        <v/>
      </c>
      <c r="H84" s="5">
        <f>IF(E84="anomaly",IF(G84&lt;=25,"CRITICAL",IF(G84&lt;=50,"HIGH",IF(G84&lt;=75,"MEDIUM","INFO"))),"")</f>
        <v/>
      </c>
      <c r="I84" s="27">
        <f>IF(E84="anomaly",100-G84*0.5,"")</f>
        <v/>
      </c>
    </row>
    <row r="85">
      <c r="A85" s="5" t="n">
        <v>3</v>
      </c>
      <c r="B85" s="5" t="n">
        <v>13</v>
      </c>
      <c r="C85" s="40">
        <f>Features_IF!C85</f>
        <v/>
      </c>
      <c r="D85" s="17">
        <f>Features_IF!S85</f>
        <v/>
      </c>
      <c r="E85" s="5">
        <f>IF(D85&gt;=$L$5,"anomaly","normal")</f>
        <v/>
      </c>
      <c r="F85" s="5">
        <f>IF(E85="anomaly",COUNTIFS($D$5:$D$88,"&gt;"&amp;D85,$D$5:$D$88,"&gt;="&amp;$L$5),"")</f>
        <v/>
      </c>
      <c r="G85" s="18">
        <f>IF(E85="anomaly",IF($L$6&gt;1,F85/($L$6-1)*100,0),"")</f>
        <v/>
      </c>
      <c r="H85" s="5">
        <f>IF(E85="anomaly",IF(G85&lt;=25,"CRITICAL",IF(G85&lt;=50,"HIGH",IF(G85&lt;=75,"MEDIUM","INFO"))),"")</f>
        <v/>
      </c>
      <c r="I85" s="27">
        <f>IF(E85="anomaly",100-G85*0.5,"")</f>
        <v/>
      </c>
    </row>
    <row r="86">
      <c r="A86" s="5" t="n">
        <v>4</v>
      </c>
      <c r="B86" s="5" t="n">
        <v>13</v>
      </c>
      <c r="C86" s="40">
        <f>Features_IF!C86</f>
        <v/>
      </c>
      <c r="D86" s="17">
        <f>Features_IF!S86</f>
        <v/>
      </c>
      <c r="E86" s="5">
        <f>IF(D86&gt;=$L$5,"anomaly","normal")</f>
        <v/>
      </c>
      <c r="F86" s="5">
        <f>IF(E86="anomaly",COUNTIFS($D$5:$D$88,"&gt;"&amp;D86,$D$5:$D$88,"&gt;="&amp;$L$5),"")</f>
        <v/>
      </c>
      <c r="G86" s="18">
        <f>IF(E86="anomaly",IF($L$6&gt;1,F86/($L$6-1)*100,0),"")</f>
        <v/>
      </c>
      <c r="H86" s="5">
        <f>IF(E86="anomaly",IF(G86&lt;=25,"CRITICAL",IF(G86&lt;=50,"HIGH",IF(G86&lt;=75,"MEDIUM","INFO"))),"")</f>
        <v/>
      </c>
      <c r="I86" s="27">
        <f>IF(E86="anomaly",100-G86*0.5,"")</f>
        <v/>
      </c>
    </row>
    <row r="87">
      <c r="A87" s="5" t="n">
        <v>5</v>
      </c>
      <c r="B87" s="5" t="n">
        <v>13</v>
      </c>
      <c r="C87" s="40">
        <f>Features_IF!C87</f>
        <v/>
      </c>
      <c r="D87" s="17">
        <f>Features_IF!S87</f>
        <v/>
      </c>
      <c r="E87" s="5">
        <f>IF(D87&gt;=$L$5,"anomaly","normal")</f>
        <v/>
      </c>
      <c r="F87" s="5">
        <f>IF(E87="anomaly",COUNTIFS($D$5:$D$88,"&gt;"&amp;D87,$D$5:$D$88,"&gt;="&amp;$L$5),"")</f>
        <v/>
      </c>
      <c r="G87" s="18">
        <f>IF(E87="anomaly",IF($L$6&gt;1,F87/($L$6-1)*100,0),"")</f>
        <v/>
      </c>
      <c r="H87" s="5">
        <f>IF(E87="anomaly",IF(G87&lt;=25,"CRITICAL",IF(G87&lt;=50,"HIGH",IF(G87&lt;=75,"MEDIUM","INFO"))),"")</f>
        <v/>
      </c>
      <c r="I87" s="27">
        <f>IF(E87="anomaly",100-G87*0.5,"")</f>
        <v/>
      </c>
    </row>
    <row r="88">
      <c r="A88" s="5" t="n">
        <v>6</v>
      </c>
      <c r="B88" s="5" t="n">
        <v>13</v>
      </c>
      <c r="C88" s="40">
        <f>Features_IF!C88</f>
        <v/>
      </c>
      <c r="D88" s="17">
        <f>Features_IF!S88</f>
        <v/>
      </c>
      <c r="E88" s="5">
        <f>IF(D88&gt;=$L$5,"anomaly","normal")</f>
        <v/>
      </c>
      <c r="F88" s="5">
        <f>IF(E88="anomaly",COUNTIFS($D$5:$D$88,"&gt;"&amp;D88,$D$5:$D$88,"&gt;="&amp;$L$5),"")</f>
        <v/>
      </c>
      <c r="G88" s="18">
        <f>IF(E88="anomaly",IF($L$6&gt;1,F88/($L$6-1)*100,0),"")</f>
        <v/>
      </c>
      <c r="H88" s="5">
        <f>IF(E88="anomaly",IF(G88&lt;=25,"CRITICAL",IF(G88&lt;=50,"HIGH",IF(G88&lt;=75,"MEDIUM","INFO"))),"")</f>
        <v/>
      </c>
      <c r="I88" s="27">
        <f>IF(E88="anomaly",100-G88*0.5,"")</f>
        <v/>
      </c>
    </row>
  </sheetData>
  <conditionalFormatting sqref="H5:H88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7">
      <formula>"MEDIUM"</formula>
    </cfRule>
    <cfRule type="cellIs" priority="4" operator="equal" dxfId="8">
      <formula>"INFO"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3" customWidth="1" min="1" max="1"/>
  </cols>
  <sheetData>
    <row r="1">
      <c r="A1" s="23" t="inlineStr">
        <is>
          <t>IF_Summary — ringkasan per inverter (approx)</t>
        </is>
      </c>
    </row>
    <row r="2">
      <c r="A2" s="24" t="inlineStr">
        <is>
          <t>Mirror artifact AnomalySummary. n_flagged ≈ contamination × n_samples (PERCENTILE boundary + ties).</t>
        </is>
      </c>
    </row>
    <row r="4">
      <c r="A4" s="10" t="inlineStr">
        <is>
          <t>inverter_id</t>
        </is>
      </c>
      <c r="B4" s="10" t="inlineStr">
        <is>
          <t>n_samples</t>
        </is>
      </c>
      <c r="C4" s="10" t="inlineStr">
        <is>
          <t>n_flagged</t>
        </is>
      </c>
      <c r="D4" s="10" t="inlineStr">
        <is>
          <t>flagged_pct</t>
        </is>
      </c>
      <c r="E4" s="10" t="inlineStr">
        <is>
          <t>threshold_A</t>
        </is>
      </c>
      <c r="F4" s="10" t="inlineStr">
        <is>
          <t>max_A</t>
        </is>
      </c>
      <c r="G4" s="10" t="inlineStr">
        <is>
          <t>min_A</t>
        </is>
      </c>
    </row>
    <row r="5">
      <c r="A5" s="5" t="inlineStr">
        <is>
          <t>WB05-INV01</t>
        </is>
      </c>
      <c r="B5" s="5">
        <f>IF_Anomaly!L7</f>
        <v/>
      </c>
      <c r="C5" s="5">
        <f>IF_Anomaly!L6</f>
        <v/>
      </c>
      <c r="D5" s="15">
        <f>IF_Anomaly!L6/IF_Anomaly!L7*100</f>
        <v/>
      </c>
      <c r="E5" s="31">
        <f>IF_Anomaly!L5</f>
        <v/>
      </c>
      <c r="F5" s="17">
        <f>MAX(Features_IF!S5:S88)</f>
        <v/>
      </c>
      <c r="G5" s="17">
        <f>MIN(Features_IF!S5:S88)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32"/>
  <sheetViews>
    <sheetView workbookViewId="0">
      <selection activeCell="A1" sqref="A1"/>
    </sheetView>
  </sheetViews>
  <sheetFormatPr baseColWidth="8" defaultRowHeight="15"/>
  <cols>
    <col width="13" customWidth="1" min="1" max="1"/>
  </cols>
  <sheetData>
    <row r="1">
      <c r="A1" s="23" t="inlineStr">
        <is>
          <t>Raw_Data_LI — POA &amp; daya inverter (P_inv) per sampel</t>
        </is>
      </c>
    </row>
    <row r="2">
      <c r="A2" s="24" t="inlineStr">
        <is>
          <t>2 inverter WB05. P_inv = Σ daya per-PV (kW); di sini disediakan langsung (production menjumlah PV{n} Power). Tiap inverter: 32 sampel band-low (POA 60–245) + 32 band-mid (POA 310–790) = ≥ min 30/band.</t>
        </is>
      </c>
    </row>
    <row r="3">
      <c r="A3" s="24" t="inlineStr">
        <is>
          <t>pr_proxy = P_inv / POA dihitung di Helpers_LI. Ganti dengan data Huawei aktual (paste over).</t>
        </is>
      </c>
    </row>
    <row r="4">
      <c r="A4" s="10" t="inlineStr">
        <is>
          <t>inverter_id</t>
        </is>
      </c>
      <c r="B4" s="10" t="inlineStr">
        <is>
          <t>sample</t>
        </is>
      </c>
      <c r="C4" s="10" t="inlineStr">
        <is>
          <t>POA (W/m²)</t>
        </is>
      </c>
      <c r="D4" s="10" t="inlineStr">
        <is>
          <t>P_inv (kW)</t>
        </is>
      </c>
      <c r="E4" s="10" t="inlineStr">
        <is>
          <t>band</t>
        </is>
      </c>
    </row>
    <row r="5">
      <c r="A5" s="5" t="inlineStr">
        <is>
          <t>WB05-INV01</t>
        </is>
      </c>
      <c r="B5" s="5" t="n">
        <v>0</v>
      </c>
      <c r="C5" s="18" t="n">
        <v>60</v>
      </c>
      <c r="D5" s="17" t="n">
        <v>7.800000000000001</v>
      </c>
      <c r="E5" s="41" t="inlineStr">
        <is>
          <t>low</t>
        </is>
      </c>
    </row>
    <row r="6">
      <c r="A6" s="5" t="inlineStr">
        <is>
          <t>WB05-INV01</t>
        </is>
      </c>
      <c r="B6" s="5" t="n">
        <v>1</v>
      </c>
      <c r="C6" s="18" t="n">
        <v>65.96774193548387</v>
      </c>
      <c r="D6" s="17" t="n">
        <v>8.417032369391491</v>
      </c>
      <c r="E6" s="41" t="inlineStr">
        <is>
          <t>low</t>
        </is>
      </c>
    </row>
    <row r="7">
      <c r="A7" s="5" t="inlineStr">
        <is>
          <t>WB05-INV01</t>
        </is>
      </c>
      <c r="B7" s="5" t="n">
        <v>2</v>
      </c>
      <c r="C7" s="18" t="n">
        <v>71.93548387096774</v>
      </c>
      <c r="D7" s="17" t="n">
        <v>9.00378777956211</v>
      </c>
      <c r="E7" s="41" t="inlineStr">
        <is>
          <t>low</t>
        </is>
      </c>
    </row>
    <row r="8">
      <c r="A8" s="5" t="inlineStr">
        <is>
          <t>WB05-INV01</t>
        </is>
      </c>
      <c r="B8" s="5" t="n">
        <v>3</v>
      </c>
      <c r="C8" s="18" t="n">
        <v>77.90322580645162</v>
      </c>
      <c r="D8" s="17" t="n">
        <v>9.558264426532402</v>
      </c>
      <c r="E8" s="41" t="inlineStr">
        <is>
          <t>low</t>
        </is>
      </c>
    </row>
    <row r="9">
      <c r="A9" s="5" t="inlineStr">
        <is>
          <t>WB05-INV01</t>
        </is>
      </c>
      <c r="B9" s="5" t="n">
        <v>4</v>
      </c>
      <c r="C9" s="18" t="n">
        <v>83.87096774193549</v>
      </c>
      <c r="D9" s="17" t="n">
        <v>10.07809779387541</v>
      </c>
      <c r="E9" s="41" t="inlineStr">
        <is>
          <t>low</t>
        </is>
      </c>
    </row>
    <row r="10">
      <c r="A10" s="5" t="inlineStr">
        <is>
          <t>WB05-INV01</t>
        </is>
      </c>
      <c r="B10" s="5" t="n">
        <v>5</v>
      </c>
      <c r="C10" s="18" t="n">
        <v>89.83870967741936</v>
      </c>
      <c r="D10" s="17" t="n">
        <v>10.56067207528575</v>
      </c>
      <c r="E10" s="41" t="inlineStr">
        <is>
          <t>low</t>
        </is>
      </c>
    </row>
    <row r="11">
      <c r="A11" s="5" t="inlineStr">
        <is>
          <t>WB05-INV01</t>
        </is>
      </c>
      <c r="B11" s="5" t="n">
        <v>6</v>
      </c>
      <c r="C11" s="18" t="n">
        <v>95.80645161290323</v>
      </c>
      <c r="D11" s="17" t="n">
        <v>11.00324901190125</v>
      </c>
      <c r="E11" s="41" t="inlineStr">
        <is>
          <t>low</t>
        </is>
      </c>
    </row>
    <row r="12">
      <c r="A12" s="5" t="inlineStr">
        <is>
          <t>WB05-INV01</t>
        </is>
      </c>
      <c r="B12" s="5" t="n">
        <v>7</v>
      </c>
      <c r="C12" s="18" t="n">
        <v>101.7741935483871</v>
      </c>
      <c r="D12" s="17" t="n">
        <v>11.40310816970054</v>
      </c>
      <c r="E12" s="41" t="inlineStr">
        <is>
          <t>low</t>
        </is>
      </c>
    </row>
    <row r="13">
      <c r="A13" s="5" t="inlineStr">
        <is>
          <t>WB05-INV01</t>
        </is>
      </c>
      <c r="B13" s="5" t="n">
        <v>8</v>
      </c>
      <c r="C13" s="18" t="n">
        <v>107.741935483871</v>
      </c>
      <c r="D13" s="17" t="n">
        <v>11.75769199863005</v>
      </c>
      <c r="E13" s="41" t="inlineStr">
        <is>
          <t>low</t>
        </is>
      </c>
    </row>
    <row r="14">
      <c r="A14" s="5" t="inlineStr">
        <is>
          <t>WB05-INV01</t>
        </is>
      </c>
      <c r="B14" s="5" t="n">
        <v>9</v>
      </c>
      <c r="C14" s="18" t="n">
        <v>113.7096774193548</v>
      </c>
      <c r="D14" s="17" t="n">
        <v>12.0647486331161</v>
      </c>
      <c r="E14" s="41" t="inlineStr">
        <is>
          <t>low</t>
        </is>
      </c>
    </row>
    <row r="15">
      <c r="A15" s="5" t="inlineStr">
        <is>
          <t>WB05-INV01</t>
        </is>
      </c>
      <c r="B15" s="5" t="n">
        <v>10</v>
      </c>
      <c r="C15" s="18" t="n">
        <v>119.6774193548387</v>
      </c>
      <c r="D15" s="17" t="n">
        <v>12.3224653351541</v>
      </c>
      <c r="E15" s="41" t="inlineStr">
        <is>
          <t>low</t>
        </is>
      </c>
    </row>
    <row r="16">
      <c r="A16" s="5" t="inlineStr">
        <is>
          <t>WB05-INV01</t>
        </is>
      </c>
      <c r="B16" s="5" t="n">
        <v>11</v>
      </c>
      <c r="C16" s="18" t="n">
        <v>125.6451612903226</v>
      </c>
      <c r="D16" s="17" t="n">
        <v>12.52958575375363</v>
      </c>
      <c r="E16" s="41" t="inlineStr">
        <is>
          <t>low</t>
        </is>
      </c>
    </row>
    <row r="17">
      <c r="A17" s="5" t="inlineStr">
        <is>
          <t>WB05-INV01</t>
        </is>
      </c>
      <c r="B17" s="5" t="n">
        <v>12</v>
      </c>
      <c r="C17" s="18" t="n">
        <v>131.6129032258065</v>
      </c>
      <c r="D17" s="17" t="n">
        <v>12.68550477084574</v>
      </c>
      <c r="E17" s="41" t="inlineStr">
        <is>
          <t>low</t>
        </is>
      </c>
    </row>
    <row r="18">
      <c r="A18" s="5" t="inlineStr">
        <is>
          <t>WB05-INV01</t>
        </is>
      </c>
      <c r="B18" s="5" t="n">
        <v>13</v>
      </c>
      <c r="C18" s="18" t="n">
        <v>137.5806451612903</v>
      </c>
      <c r="D18" s="17" t="n">
        <v>12.79033560185924</v>
      </c>
      <c r="E18" s="41" t="inlineStr">
        <is>
          <t>low</t>
        </is>
      </c>
    </row>
    <row r="19">
      <c r="A19" s="5" t="inlineStr">
        <is>
          <t>WB05-INV01</t>
        </is>
      </c>
      <c r="B19" s="5" t="n">
        <v>14</v>
      </c>
      <c r="C19" s="18" t="n">
        <v>143.5483870967742</v>
      </c>
      <c r="D19" s="17" t="n">
        <v>12.84494498322388</v>
      </c>
      <c r="E19" s="41" t="inlineStr">
        <is>
          <t>low</t>
        </is>
      </c>
    </row>
    <row r="20">
      <c r="A20" s="5" t="inlineStr">
        <is>
          <t>WB05-INV01</t>
        </is>
      </c>
      <c r="B20" s="5" t="n">
        <v>15</v>
      </c>
      <c r="C20" s="18" t="n">
        <v>149.516129032258</v>
      </c>
      <c r="D20" s="17" t="n">
        <v>12.85095366081495</v>
      </c>
      <c r="E20" s="41" t="inlineStr">
        <is>
          <t>low</t>
        </is>
      </c>
    </row>
    <row r="21">
      <c r="A21" s="5" t="inlineStr">
        <is>
          <t>WB05-INV01</t>
        </is>
      </c>
      <c r="B21" s="5" t="n">
        <v>16</v>
      </c>
      <c r="C21" s="18" t="n">
        <v>155.483870967742</v>
      </c>
      <c r="D21" s="17" t="n">
        <v>12.81070093411785</v>
      </c>
      <c r="E21" s="41" t="inlineStr">
        <is>
          <t>low</t>
        </is>
      </c>
    </row>
    <row r="22">
      <c r="A22" s="5" t="inlineStr">
        <is>
          <t>WB05-INV01</t>
        </is>
      </c>
      <c r="B22" s="5" t="n">
        <v>17</v>
      </c>
      <c r="C22" s="18" t="n">
        <v>161.4516129032258</v>
      </c>
      <c r="D22" s="17" t="n">
        <v>12.72717364397861</v>
      </c>
      <c r="E22" s="41" t="inlineStr">
        <is>
          <t>low</t>
        </is>
      </c>
    </row>
    <row r="23">
      <c r="A23" s="5" t="inlineStr">
        <is>
          <t>WB05-INV01</t>
        </is>
      </c>
      <c r="B23" s="5" t="n">
        <v>18</v>
      </c>
      <c r="C23" s="18" t="n">
        <v>167.4193548387097</v>
      </c>
      <c r="D23" s="17" t="n">
        <v>12.60390164537018</v>
      </c>
      <c r="E23" s="41" t="inlineStr">
        <is>
          <t>low</t>
        </is>
      </c>
    </row>
    <row r="24">
      <c r="A24" s="5" t="inlineStr">
        <is>
          <t>WB05-INV01</t>
        </is>
      </c>
      <c r="B24" s="5" t="n">
        <v>19</v>
      </c>
      <c r="C24" s="18" t="n">
        <v>173.3870967741935</v>
      </c>
      <c r="D24" s="17" t="n">
        <v>12.44482340673062</v>
      </c>
      <c r="E24" s="41" t="inlineStr">
        <is>
          <t>low</t>
        </is>
      </c>
    </row>
    <row r="25">
      <c r="A25" s="5" t="inlineStr">
        <is>
          <t>WB05-INV01</t>
        </is>
      </c>
      <c r="B25" s="5" t="n">
        <v>20</v>
      </c>
      <c r="C25" s="18" t="n">
        <v>179.3548387096774</v>
      </c>
      <c r="D25" s="17" t="n">
        <v>12.25412685134524</v>
      </c>
      <c r="E25" s="41" t="inlineStr">
        <is>
          <t>low</t>
        </is>
      </c>
    </row>
    <row r="26">
      <c r="A26" s="5" t="inlineStr">
        <is>
          <t>WB05-INV01</t>
        </is>
      </c>
      <c r="B26" s="5" t="n">
        <v>21</v>
      </c>
      <c r="C26" s="18" t="n">
        <v>185.3225806451613</v>
      </c>
      <c r="D26" s="17" t="n">
        <v>12.03607183552934</v>
      </c>
      <c r="E26" s="41" t="inlineStr">
        <is>
          <t>low</t>
        </is>
      </c>
    </row>
    <row r="27">
      <c r="A27" s="5" t="inlineStr">
        <is>
          <t>WB05-INV01</t>
        </is>
      </c>
      <c r="B27" s="5" t="n">
        <v>22</v>
      </c>
      <c r="C27" s="18" t="n">
        <v>191.2903225806452</v>
      </c>
      <c r="D27" s="17" t="n">
        <v>11.79480168199787</v>
      </c>
      <c r="E27" s="41" t="inlineStr">
        <is>
          <t>low</t>
        </is>
      </c>
    </row>
    <row r="28">
      <c r="A28" s="5" t="inlineStr">
        <is>
          <t>WB05-INV01</t>
        </is>
      </c>
      <c r="B28" s="5" t="n">
        <v>23</v>
      </c>
      <c r="C28" s="18" t="n">
        <v>197.258064516129</v>
      </c>
      <c r="D28" s="17" t="n">
        <v>11.53415190394239</v>
      </c>
      <c r="E28" s="41" t="inlineStr">
        <is>
          <t>low</t>
        </is>
      </c>
    </row>
    <row r="29">
      <c r="A29" s="5" t="inlineStr">
        <is>
          <t>WB05-INV01</t>
        </is>
      </c>
      <c r="B29" s="5" t="n">
        <v>24</v>
      </c>
      <c r="C29" s="18" t="n">
        <v>203.2258064516129</v>
      </c>
      <c r="D29" s="17" t="n">
        <v>11.25746462767284</v>
      </c>
      <c r="E29" s="41" t="inlineStr">
        <is>
          <t>low</t>
        </is>
      </c>
    </row>
    <row r="30">
      <c r="A30" s="5" t="inlineStr">
        <is>
          <t>WB05-INV01</t>
        </is>
      </c>
      <c r="B30" s="5" t="n">
        <v>25</v>
      </c>
      <c r="C30" s="18" t="n">
        <v>209.1935483870968</v>
      </c>
      <c r="D30" s="17" t="n">
        <v>10.96741722533306</v>
      </c>
      <c r="E30" s="41" t="inlineStr">
        <is>
          <t>low</t>
        </is>
      </c>
    </row>
    <row r="31">
      <c r="A31" s="5" t="inlineStr">
        <is>
          <t>WB05-INV01</t>
        </is>
      </c>
      <c r="B31" s="5" t="n">
        <v>26</v>
      </c>
      <c r="C31" s="18" t="n">
        <v>215.1612903225806</v>
      </c>
      <c r="D31" s="17" t="n">
        <v>10.66587329594288</v>
      </c>
      <c r="E31" s="41" t="inlineStr">
        <is>
          <t>low</t>
        </is>
      </c>
    </row>
    <row r="32">
      <c r="A32" s="5" t="inlineStr">
        <is>
          <t>WB05-INV01</t>
        </is>
      </c>
      <c r="B32" s="5" t="n">
        <v>27</v>
      </c>
      <c r="C32" s="18" t="n">
        <v>221.1290322580645</v>
      </c>
      <c r="D32" s="17" t="n">
        <v>10.35376339091797</v>
      </c>
      <c r="E32" s="41" t="inlineStr">
        <is>
          <t>low</t>
        </is>
      </c>
    </row>
    <row r="33">
      <c r="A33" s="5" t="inlineStr">
        <is>
          <t>WB05-INV01</t>
        </is>
      </c>
      <c r="B33" s="5" t="n">
        <v>28</v>
      </c>
      <c r="C33" s="18" t="n">
        <v>227.0967741935484</v>
      </c>
      <c r="D33" s="17" t="n">
        <v>10.03100179353045</v>
      </c>
      <c r="E33" s="41" t="inlineStr">
        <is>
          <t>low</t>
        </is>
      </c>
    </row>
    <row r="34">
      <c r="A34" s="5" t="inlineStr">
        <is>
          <t>WB05-INV01</t>
        </is>
      </c>
      <c r="B34" s="5" t="n">
        <v>29</v>
      </c>
      <c r="C34" s="18" t="n">
        <v>233.0645161290323</v>
      </c>
      <c r="D34" s="17" t="n">
        <v>9.696444270180082</v>
      </c>
      <c r="E34" s="41" t="inlineStr">
        <is>
          <t>low</t>
        </is>
      </c>
    </row>
    <row r="35">
      <c r="A35" s="5" t="inlineStr">
        <is>
          <t>WB05-INV01</t>
        </is>
      </c>
      <c r="B35" s="5" t="n">
        <v>30</v>
      </c>
      <c r="C35" s="18" t="n">
        <v>239.0322580645161</v>
      </c>
      <c r="D35" s="17" t="n">
        <v>9.347890068504038</v>
      </c>
      <c r="E35" s="41" t="inlineStr">
        <is>
          <t>low</t>
        </is>
      </c>
    </row>
    <row r="36">
      <c r="A36" s="5" t="inlineStr">
        <is>
          <t>WB05-INV01</t>
        </is>
      </c>
      <c r="B36" s="5" t="n">
        <v>31</v>
      </c>
      <c r="C36" s="18" t="n">
        <v>245</v>
      </c>
      <c r="D36" s="17" t="n">
        <v>8.98212960882379</v>
      </c>
      <c r="E36" s="41" t="inlineStr">
        <is>
          <t>low</t>
        </is>
      </c>
    </row>
    <row r="37">
      <c r="A37" s="5" t="inlineStr">
        <is>
          <t>WB05-INV01</t>
        </is>
      </c>
      <c r="B37" s="5" t="n">
        <v>32</v>
      </c>
      <c r="C37" s="18" t="n">
        <v>310</v>
      </c>
      <c r="D37" s="17" t="n">
        <v>32.922</v>
      </c>
      <c r="E37" s="5" t="inlineStr">
        <is>
          <t>mid</t>
        </is>
      </c>
    </row>
    <row r="38">
      <c r="A38" s="5" t="inlineStr">
        <is>
          <t>WB05-INV01</t>
        </is>
      </c>
      <c r="B38" s="5" t="n">
        <v>33</v>
      </c>
      <c r="C38" s="18" t="n">
        <v>325.483870967742</v>
      </c>
      <c r="D38" s="17" t="n">
        <v>34.85499498254971</v>
      </c>
      <c r="E38" s="5" t="inlineStr">
        <is>
          <t>mid</t>
        </is>
      </c>
    </row>
    <row r="39">
      <c r="A39" s="5" t="inlineStr">
        <is>
          <t>WB05-INV01</t>
        </is>
      </c>
      <c r="B39" s="5" t="n">
        <v>34</v>
      </c>
      <c r="C39" s="18" t="n">
        <v>340.9677419354839</v>
      </c>
      <c r="D39" s="17" t="n">
        <v>36.80810181546811</v>
      </c>
      <c r="E39" s="5" t="inlineStr">
        <is>
          <t>mid</t>
        </is>
      </c>
    </row>
    <row r="40">
      <c r="A40" s="5" t="inlineStr">
        <is>
          <t>WB05-INV01</t>
        </is>
      </c>
      <c r="B40" s="5" t="n">
        <v>35</v>
      </c>
      <c r="C40" s="18" t="n">
        <v>356.4516129032258</v>
      </c>
      <c r="D40" s="17" t="n">
        <v>38.7729253445746</v>
      </c>
      <c r="E40" s="5" t="inlineStr">
        <is>
          <t>mid</t>
        </is>
      </c>
    </row>
    <row r="41">
      <c r="A41" s="5" t="inlineStr">
        <is>
          <t>WB05-INV01</t>
        </is>
      </c>
      <c r="B41" s="5" t="n">
        <v>36</v>
      </c>
      <c r="C41" s="18" t="n">
        <v>371.9354838709677</v>
      </c>
      <c r="D41" s="17" t="n">
        <v>40.74037306027839</v>
      </c>
      <c r="E41" s="5" t="inlineStr">
        <is>
          <t>mid</t>
        </is>
      </c>
    </row>
    <row r="42">
      <c r="A42" s="5" t="inlineStr">
        <is>
          <t>WB05-INV01</t>
        </is>
      </c>
      <c r="B42" s="5" t="n">
        <v>37</v>
      </c>
      <c r="C42" s="18" t="n">
        <v>387.4193548387097</v>
      </c>
      <c r="D42" s="17" t="n">
        <v>42.70105464118159</v>
      </c>
      <c r="E42" s="5" t="inlineStr">
        <is>
          <t>mid</t>
        </is>
      </c>
    </row>
    <row r="43">
      <c r="A43" s="5" t="inlineStr">
        <is>
          <t>WB05-INV01</t>
        </is>
      </c>
      <c r="B43" s="5" t="n">
        <v>38</v>
      </c>
      <c r="C43" s="18" t="n">
        <v>402.9032258064516</v>
      </c>
      <c r="D43" s="17" t="n">
        <v>44.64571345521092</v>
      </c>
      <c r="E43" s="5" t="inlineStr">
        <is>
          <t>mid</t>
        </is>
      </c>
    </row>
    <row r="44">
      <c r="A44" s="5" t="inlineStr">
        <is>
          <t>WB05-INV01</t>
        </is>
      </c>
      <c r="B44" s="5" t="n">
        <v>39</v>
      </c>
      <c r="C44" s="18" t="n">
        <v>418.3870967741935</v>
      </c>
      <c r="D44" s="17" t="n">
        <v>46.56567088579363</v>
      </c>
      <c r="E44" s="5" t="inlineStr">
        <is>
          <t>mid</t>
        </is>
      </c>
    </row>
    <row r="45">
      <c r="A45" s="5" t="inlineStr">
        <is>
          <t>WB05-INV01</t>
        </is>
      </c>
      <c r="B45" s="5" t="n">
        <v>40</v>
      </c>
      <c r="C45" s="18" t="n">
        <v>433.8709677419355</v>
      </c>
      <c r="D45" s="17" t="n">
        <v>48.45326320626992</v>
      </c>
      <c r="E45" s="5" t="inlineStr">
        <is>
          <t>mid</t>
        </is>
      </c>
    </row>
    <row r="46">
      <c r="A46" s="5" t="inlineStr">
        <is>
          <t>WB05-INV01</t>
        </is>
      </c>
      <c r="B46" s="5" t="n">
        <v>41</v>
      </c>
      <c r="C46" s="18" t="n">
        <v>449.3548387096774</v>
      </c>
      <c r="D46" s="17" t="n">
        <v>50.30225047620142</v>
      </c>
      <c r="E46" s="5" t="inlineStr">
        <is>
          <t>mid</t>
        </is>
      </c>
    </row>
    <row r="47">
      <c r="A47" s="5" t="inlineStr">
        <is>
          <t>WB05-INV01</t>
        </is>
      </c>
      <c r="B47" s="5" t="n">
        <v>42</v>
      </c>
      <c r="C47" s="18" t="n">
        <v>464.8387096774194</v>
      </c>
      <c r="D47" s="17" t="n">
        <v>52.10817760752007</v>
      </c>
      <c r="E47" s="5" t="inlineStr">
        <is>
          <t>mid</t>
        </is>
      </c>
    </row>
    <row r="48">
      <c r="A48" s="5" t="inlineStr">
        <is>
          <t>WB05-INV01</t>
        </is>
      </c>
      <c r="B48" s="5" t="n">
        <v>43</v>
      </c>
      <c r="C48" s="18" t="n">
        <v>480.3225806451613</v>
      </c>
      <c r="D48" s="17" t="n">
        <v>53.86866933522372</v>
      </c>
      <c r="E48" s="5" t="inlineStr">
        <is>
          <t>mid</t>
        </is>
      </c>
    </row>
    <row r="49">
      <c r="A49" s="5" t="inlineStr">
        <is>
          <t>WB05-INV01</t>
        </is>
      </c>
      <c r="B49" s="5" t="n">
        <v>44</v>
      </c>
      <c r="C49" s="18" t="n">
        <v>495.8064516129032</v>
      </c>
      <c r="D49" s="17" t="n">
        <v>55.58364327475235</v>
      </c>
      <c r="E49" s="5" t="inlineStr">
        <is>
          <t>mid</t>
        </is>
      </c>
    </row>
    <row r="50">
      <c r="A50" s="5" t="inlineStr">
        <is>
          <t>WB05-INV01</t>
        </is>
      </c>
      <c r="B50" s="5" t="n">
        <v>45</v>
      </c>
      <c r="C50" s="18" t="n">
        <v>511.2903225806452</v>
      </c>
      <c r="D50" s="17" t="n">
        <v>57.25542846565396</v>
      </c>
      <c r="E50" s="5" t="inlineStr">
        <is>
          <t>mid</t>
        </is>
      </c>
    </row>
    <row r="51">
      <c r="A51" s="5" t="inlineStr">
        <is>
          <t>WB05-INV01</t>
        </is>
      </c>
      <c r="B51" s="5" t="n">
        <v>46</v>
      </c>
      <c r="C51" s="18" t="n">
        <v>526.7741935483871</v>
      </c>
      <c r="D51" s="17" t="n">
        <v>58.88878066260102</v>
      </c>
      <c r="E51" s="5" t="inlineStr">
        <is>
          <t>mid</t>
        </is>
      </c>
    </row>
    <row r="52">
      <c r="A52" s="5" t="inlineStr">
        <is>
          <t>WB05-INV01</t>
        </is>
      </c>
      <c r="B52" s="5" t="n">
        <v>47</v>
      </c>
      <c r="C52" s="18" t="n">
        <v>542.258064516129</v>
      </c>
      <c r="D52" s="17" t="n">
        <v>60.49078998364605</v>
      </c>
      <c r="E52" s="5" t="inlineStr">
        <is>
          <t>mid</t>
        </is>
      </c>
    </row>
    <row r="53">
      <c r="A53" s="5" t="inlineStr">
        <is>
          <t>WB05-INV01</t>
        </is>
      </c>
      <c r="B53" s="5" t="n">
        <v>48</v>
      </c>
      <c r="C53" s="18" t="n">
        <v>557.741935483871</v>
      </c>
      <c r="D53" s="17" t="n">
        <v>62.07068118099937</v>
      </c>
      <c r="E53" s="5" t="inlineStr">
        <is>
          <t>mid</t>
        </is>
      </c>
    </row>
    <row r="54">
      <c r="A54" s="5" t="inlineStr">
        <is>
          <t>WB05-INV01</t>
        </is>
      </c>
      <c r="B54" s="5" t="n">
        <v>49</v>
      </c>
      <c r="C54" s="18" t="n">
        <v>573.2258064516129</v>
      </c>
      <c r="D54" s="17" t="n">
        <v>63.6395115639851</v>
      </c>
      <c r="E54" s="5" t="inlineStr">
        <is>
          <t>mid</t>
        </is>
      </c>
    </row>
    <row r="55">
      <c r="A55" s="5" t="inlineStr">
        <is>
          <t>WB05-INV01</t>
        </is>
      </c>
      <c r="B55" s="5" t="n">
        <v>50</v>
      </c>
      <c r="C55" s="18" t="n">
        <v>588.7096774193549</v>
      </c>
      <c r="D55" s="17" t="n">
        <v>65.20977627108758</v>
      </c>
      <c r="E55" s="5" t="inlineStr">
        <is>
          <t>mid</t>
        </is>
      </c>
    </row>
    <row r="56">
      <c r="A56" s="5" t="inlineStr">
        <is>
          <t>WB05-INV01</t>
        </is>
      </c>
      <c r="B56" s="5" t="n">
        <v>51</v>
      </c>
      <c r="C56" s="18" t="n">
        <v>604.1935483870968</v>
      </c>
      <c r="D56" s="17" t="n">
        <v>66.79493495228323</v>
      </c>
      <c r="E56" s="5" t="inlineStr">
        <is>
          <t>mid</t>
        </is>
      </c>
    </row>
    <row r="57">
      <c r="A57" s="5" t="inlineStr">
        <is>
          <t>WB05-INV01</t>
        </is>
      </c>
      <c r="B57" s="5" t="n">
        <v>52</v>
      </c>
      <c r="C57" s="18" t="n">
        <v>619.6774193548388</v>
      </c>
      <c r="D57" s="17" t="n">
        <v>68.40887778741097</v>
      </c>
      <c r="E57" s="5" t="inlineStr">
        <is>
          <t>mid</t>
        </is>
      </c>
    </row>
    <row r="58">
      <c r="A58" s="5" t="inlineStr">
        <is>
          <t>WB05-INV01</t>
        </is>
      </c>
      <c r="B58" s="5" t="n">
        <v>53</v>
      </c>
      <c r="C58" s="18" t="n">
        <v>635.1612903225807</v>
      </c>
      <c r="D58" s="17" t="n">
        <v>70.06535195212982</v>
      </c>
      <c r="E58" s="5" t="inlineStr">
        <is>
          <t>mid</t>
        </is>
      </c>
    </row>
    <row r="59">
      <c r="A59" s="5" t="inlineStr">
        <is>
          <t>WB05-INV01</t>
        </is>
      </c>
      <c r="B59" s="5" t="n">
        <v>54</v>
      </c>
      <c r="C59" s="18" t="n">
        <v>650.6451612903226</v>
      </c>
      <c r="D59" s="17" t="n">
        <v>71.77737199670575</v>
      </c>
      <c r="E59" s="5" t="inlineStr">
        <is>
          <t>mid</t>
        </is>
      </c>
    </row>
    <row r="60">
      <c r="A60" s="5" t="inlineStr">
        <is>
          <t>WB05-INV01</t>
        </is>
      </c>
      <c r="B60" s="5" t="n">
        <v>55</v>
      </c>
      <c r="C60" s="18" t="n">
        <v>666.1290322580645</v>
      </c>
      <c r="D60" s="17" t="n">
        <v>73.55663900382629</v>
      </c>
      <c r="E60" s="5" t="inlineStr">
        <is>
          <t>mid</t>
        </is>
      </c>
    </row>
    <row r="61">
      <c r="A61" s="5" t="inlineStr">
        <is>
          <t>WB05-INV01</t>
        </is>
      </c>
      <c r="B61" s="5" t="n">
        <v>56</v>
      </c>
      <c r="C61" s="18" t="n">
        <v>681.6129032258065</v>
      </c>
      <c r="D61" s="17" t="n">
        <v>75.41299375765996</v>
      </c>
      <c r="E61" s="5" t="inlineStr">
        <is>
          <t>mid</t>
        </is>
      </c>
    </row>
    <row r="62">
      <c r="A62" s="5" t="inlineStr">
        <is>
          <t>WB05-INV01</t>
        </is>
      </c>
      <c r="B62" s="5" t="n">
        <v>57</v>
      </c>
      <c r="C62" s="18" t="n">
        <v>697.0967741935484</v>
      </c>
      <c r="D62" s="17" t="n">
        <v>77.35392844788046</v>
      </c>
      <c r="E62" s="5" t="inlineStr">
        <is>
          <t>mid</t>
        </is>
      </c>
    </row>
    <row r="63">
      <c r="A63" s="5" t="inlineStr">
        <is>
          <t>WB05-INV01</t>
        </is>
      </c>
      <c r="B63" s="5" t="n">
        <v>58</v>
      </c>
      <c r="C63" s="18" t="n">
        <v>712.5806451612904</v>
      </c>
      <c r="D63" s="17" t="n">
        <v>79.38417965484329</v>
      </c>
      <c r="E63" s="5" t="inlineStr">
        <is>
          <t>mid</t>
        </is>
      </c>
    </row>
    <row r="64">
      <c r="A64" s="5" t="inlineStr">
        <is>
          <t>WB05-INV01</t>
        </is>
      </c>
      <c r="B64" s="5" t="n">
        <v>59</v>
      </c>
      <c r="C64" s="18" t="n">
        <v>728.0645161290322</v>
      </c>
      <c r="D64" s="17" t="n">
        <v>81.50542256666914</v>
      </c>
      <c r="E64" s="5" t="inlineStr">
        <is>
          <t>mid</t>
        </is>
      </c>
    </row>
    <row r="65">
      <c r="A65" s="5" t="inlineStr">
        <is>
          <t>WB05-INV01</t>
        </is>
      </c>
      <c r="B65" s="5" t="n">
        <v>60</v>
      </c>
      <c r="C65" s="18" t="n">
        <v>743.5483870967741</v>
      </c>
      <c r="D65" s="17" t="n">
        <v>83.71608266108082</v>
      </c>
      <c r="E65" s="5" t="inlineStr">
        <is>
          <t>mid</t>
        </is>
      </c>
    </row>
    <row r="66">
      <c r="A66" s="5" t="inlineStr">
        <is>
          <t>WB05-INV01</t>
        </is>
      </c>
      <c r="B66" s="5" t="n">
        <v>61</v>
      </c>
      <c r="C66" s="18" t="n">
        <v>759.0322580645161</v>
      </c>
      <c r="D66" s="17" t="n">
        <v>86.01127658097226</v>
      </c>
      <c r="E66" s="5" t="inlineStr">
        <is>
          <t>mid</t>
        </is>
      </c>
    </row>
    <row r="67">
      <c r="A67" s="5" t="inlineStr">
        <is>
          <t>WB05-INV01</t>
        </is>
      </c>
      <c r="B67" s="5" t="n">
        <v>62</v>
      </c>
      <c r="C67" s="18" t="n">
        <v>774.516129032258</v>
      </c>
      <c r="D67" s="17" t="n">
        <v>88.38288881542583</v>
      </c>
      <c r="E67" s="5" t="inlineStr">
        <is>
          <t>mid</t>
        </is>
      </c>
    </row>
    <row r="68">
      <c r="A68" s="5" t="inlineStr">
        <is>
          <t>WB05-INV01</t>
        </is>
      </c>
      <c r="B68" s="5" t="n">
        <v>63</v>
      </c>
      <c r="C68" s="18" t="n">
        <v>790</v>
      </c>
      <c r="D68" s="17" t="n">
        <v>90.81978526926855</v>
      </c>
      <c r="E68" s="5" t="inlineStr">
        <is>
          <t>mid</t>
        </is>
      </c>
    </row>
    <row r="69">
      <c r="A69" s="5" t="inlineStr">
        <is>
          <t>WB05-INV02</t>
        </is>
      </c>
      <c r="B69" s="5" t="n">
        <v>64</v>
      </c>
      <c r="C69" s="18" t="n">
        <v>60</v>
      </c>
      <c r="D69" s="17" t="n">
        <v>13.56</v>
      </c>
      <c r="E69" s="41" t="inlineStr">
        <is>
          <t>low</t>
        </is>
      </c>
    </row>
    <row r="70">
      <c r="A70" s="5" t="inlineStr">
        <is>
          <t>WB05-INV02</t>
        </is>
      </c>
      <c r="B70" s="5" t="n">
        <v>65</v>
      </c>
      <c r="C70" s="18" t="n">
        <v>65.96774193548387</v>
      </c>
      <c r="D70" s="17" t="n">
        <v>14.59246421122292</v>
      </c>
      <c r="E70" s="41" t="inlineStr">
        <is>
          <t>low</t>
        </is>
      </c>
    </row>
    <row r="71">
      <c r="A71" s="5" t="inlineStr">
        <is>
          <t>WB05-INV02</t>
        </is>
      </c>
      <c r="B71" s="5" t="n">
        <v>66</v>
      </c>
      <c r="C71" s="18" t="n">
        <v>71.93548387096774</v>
      </c>
      <c r="D71" s="17" t="n">
        <v>15.56616030817814</v>
      </c>
      <c r="E71" s="41" t="inlineStr">
        <is>
          <t>low</t>
        </is>
      </c>
    </row>
    <row r="72">
      <c r="A72" s="5" t="inlineStr">
        <is>
          <t>WB05-INV02</t>
        </is>
      </c>
      <c r="B72" s="5" t="n">
        <v>67</v>
      </c>
      <c r="C72" s="18" t="n">
        <v>77.90322580645162</v>
      </c>
      <c r="D72" s="17" t="n">
        <v>16.4790864868862</v>
      </c>
      <c r="E72" s="41" t="inlineStr">
        <is>
          <t>low</t>
        </is>
      </c>
    </row>
    <row r="73">
      <c r="A73" s="5" t="inlineStr">
        <is>
          <t>WB05-INV02</t>
        </is>
      </c>
      <c r="B73" s="5" t="n">
        <v>68</v>
      </c>
      <c r="C73" s="18" t="n">
        <v>83.87096774193549</v>
      </c>
      <c r="D73" s="17" t="n">
        <v>17.32887823092016</v>
      </c>
      <c r="E73" s="41" t="inlineStr">
        <is>
          <t>low</t>
        </is>
      </c>
    </row>
    <row r="74">
      <c r="A74" s="5" t="inlineStr">
        <is>
          <t>WB05-INV02</t>
        </is>
      </c>
      <c r="B74" s="5" t="n">
        <v>69</v>
      </c>
      <c r="C74" s="18" t="n">
        <v>89.83870967741936</v>
      </c>
      <c r="D74" s="17" t="n">
        <v>18.11291973397462</v>
      </c>
      <c r="E74" s="41" t="inlineStr">
        <is>
          <t>low</t>
        </is>
      </c>
    </row>
    <row r="75">
      <c r="A75" s="5" t="inlineStr">
        <is>
          <t>WB05-INV02</t>
        </is>
      </c>
      <c r="B75" s="5" t="n">
        <v>70</v>
      </c>
      <c r="C75" s="18" t="n">
        <v>95.80645161290323</v>
      </c>
      <c r="D75" s="17" t="n">
        <v>18.82847273718741</v>
      </c>
      <c r="E75" s="41" t="inlineStr">
        <is>
          <t>low</t>
        </is>
      </c>
    </row>
    <row r="76">
      <c r="A76" s="5" t="inlineStr">
        <is>
          <t>WB05-INV02</t>
        </is>
      </c>
      <c r="B76" s="5" t="n">
        <v>71</v>
      </c>
      <c r="C76" s="18" t="n">
        <v>101.7741935483871</v>
      </c>
      <c r="D76" s="17" t="n">
        <v>19.47281680653717</v>
      </c>
      <c r="E76" s="41" t="inlineStr">
        <is>
          <t>low</t>
        </is>
      </c>
    </row>
    <row r="77">
      <c r="A77" s="5" t="inlineStr">
        <is>
          <t>WB05-INV02</t>
        </is>
      </c>
      <c r="B77" s="5" t="n">
        <v>72</v>
      </c>
      <c r="C77" s="18" t="n">
        <v>107.741935483871</v>
      </c>
      <c r="D77" s="17" t="n">
        <v>20.04339439197033</v>
      </c>
      <c r="E77" s="41" t="inlineStr">
        <is>
          <t>low</t>
        </is>
      </c>
    </row>
    <row r="78">
      <c r="A78" s="5" t="inlineStr">
        <is>
          <t>WB05-INV02</t>
        </is>
      </c>
      <c r="B78" s="5" t="n">
        <v>73</v>
      </c>
      <c r="C78" s="18" t="n">
        <v>113.7096774193548</v>
      </c>
      <c r="D78" s="17" t="n">
        <v>20.53795362791318</v>
      </c>
      <c r="E78" s="41" t="inlineStr">
        <is>
          <t>low</t>
        </is>
      </c>
    </row>
    <row r="79">
      <c r="A79" s="5" t="inlineStr">
        <is>
          <t>WB05-INV02</t>
        </is>
      </c>
      <c r="B79" s="5" t="n">
        <v>74</v>
      </c>
      <c r="C79" s="18" t="n">
        <v>119.6774193548387</v>
      </c>
      <c r="D79" s="17" t="n">
        <v>20.95468177636118</v>
      </c>
      <c r="E79" s="41" t="inlineStr">
        <is>
          <t>low</t>
        </is>
      </c>
    </row>
    <row r="80">
      <c r="A80" s="5" t="inlineStr">
        <is>
          <t>WB05-INV02</t>
        </is>
      </c>
      <c r="B80" s="5" t="n">
        <v>75</v>
      </c>
      <c r="C80" s="18" t="n">
        <v>125.6451612903226</v>
      </c>
      <c r="D80" s="17" t="n">
        <v>21.29232248632387</v>
      </c>
      <c r="E80" s="41" t="inlineStr">
        <is>
          <t>low</t>
        </is>
      </c>
    </row>
    <row r="81">
      <c r="A81" s="5" t="inlineStr">
        <is>
          <t>WB05-INV02</t>
        </is>
      </c>
      <c r="B81" s="5" t="n">
        <v>76</v>
      </c>
      <c r="C81" s="18" t="n">
        <v>131.6129032258065</v>
      </c>
      <c r="D81" s="17" t="n">
        <v>21.55027063973233</v>
      </c>
      <c r="E81" s="41" t="inlineStr">
        <is>
          <t>low</t>
        </is>
      </c>
    </row>
    <row r="82">
      <c r="A82" s="5" t="inlineStr">
        <is>
          <t>WB05-INV02</t>
        </is>
      </c>
      <c r="B82" s="5" t="n">
        <v>77</v>
      </c>
      <c r="C82" s="18" t="n">
        <v>137.5806451612903</v>
      </c>
      <c r="D82" s="17" t="n">
        <v>21.72863945201533</v>
      </c>
      <c r="E82" s="41" t="inlineStr">
        <is>
          <t>low</t>
        </is>
      </c>
    </row>
    <row r="83">
      <c r="A83" s="5" t="inlineStr">
        <is>
          <t>WB05-INV02</t>
        </is>
      </c>
      <c r="B83" s="5" t="n">
        <v>78</v>
      </c>
      <c r="C83" s="18" t="n">
        <v>143.5483870967742</v>
      </c>
      <c r="D83" s="17" t="n">
        <v>21.82829565960266</v>
      </c>
      <c r="E83" s="41" t="inlineStr">
        <is>
          <t>low</t>
        </is>
      </c>
    </row>
    <row r="84">
      <c r="A84" s="5" t="inlineStr">
        <is>
          <t>WB05-INV02</t>
        </is>
      </c>
      <c r="B84" s="5" t="n">
        <v>79</v>
      </c>
      <c r="C84" s="18" t="n">
        <v>149.516129032258</v>
      </c>
      <c r="D84" s="17" t="n">
        <v>21.85086000836958</v>
      </c>
      <c r="E84" s="41" t="inlineStr">
        <is>
          <t>low</t>
        </is>
      </c>
    </row>
    <row r="85">
      <c r="A85" s="5" t="inlineStr">
        <is>
          <t>WB05-INV02</t>
        </is>
      </c>
      <c r="B85" s="5" t="n">
        <v>80</v>
      </c>
      <c r="C85" s="18" t="n">
        <v>155.483870967742</v>
      </c>
      <c r="D85" s="17" t="n">
        <v>21.79867179780152</v>
      </c>
      <c r="E85" s="41" t="inlineStr">
        <is>
          <t>low</t>
        </is>
      </c>
    </row>
    <row r="86">
      <c r="A86" s="5" t="inlineStr">
        <is>
          <t>WB05-INV02</t>
        </is>
      </c>
      <c r="B86" s="5" t="n">
        <v>81</v>
      </c>
      <c r="C86" s="18" t="n">
        <v>161.4516129032258</v>
      </c>
      <c r="D86" s="17" t="n">
        <v>21.67471786874448</v>
      </c>
      <c r="E86" s="41" t="inlineStr">
        <is>
          <t>low</t>
        </is>
      </c>
    </row>
    <row r="87">
      <c r="A87" s="5" t="inlineStr">
        <is>
          <t>WB05-INV02</t>
        </is>
      </c>
      <c r="B87" s="5" t="n">
        <v>82</v>
      </c>
      <c r="C87" s="18" t="n">
        <v>167.4193548387097</v>
      </c>
      <c r="D87" s="17" t="n">
        <v>21.48252807617144</v>
      </c>
      <c r="E87" s="41" t="inlineStr">
        <is>
          <t>low</t>
        </is>
      </c>
    </row>
    <row r="88">
      <c r="A88" s="5" t="inlineStr">
        <is>
          <t>WB05-INV02</t>
        </is>
      </c>
      <c r="B88" s="5" t="n">
        <v>83</v>
      </c>
      <c r="C88" s="18" t="n">
        <v>173.3870967741935</v>
      </c>
      <c r="D88" s="17" t="n">
        <v>21.22604088852042</v>
      </c>
      <c r="E88" s="41" t="inlineStr">
        <is>
          <t>low</t>
        </is>
      </c>
    </row>
    <row r="89">
      <c r="A89" s="5" t="inlineStr">
        <is>
          <t>WB05-INV02</t>
        </is>
      </c>
      <c r="B89" s="5" t="n">
        <v>84</v>
      </c>
      <c r="C89" s="18" t="n">
        <v>179.3548387096774</v>
      </c>
      <c r="D89" s="17" t="n">
        <v>20.90944422907677</v>
      </c>
      <c r="E89" s="41" t="inlineStr">
        <is>
          <t>low</t>
        </is>
      </c>
    </row>
    <row r="90">
      <c r="A90" s="5" t="inlineStr">
        <is>
          <t>WB05-INV02</t>
        </is>
      </c>
      <c r="B90" s="5" t="n">
        <v>85</v>
      </c>
      <c r="C90" s="18" t="n">
        <v>185.3225806451613</v>
      </c>
      <c r="D90" s="17" t="n">
        <v>20.53699795415577</v>
      </c>
      <c r="E90" s="41" t="inlineStr">
        <is>
          <t>low</t>
        </is>
      </c>
    </row>
    <row r="91">
      <c r="A91" s="5" t="inlineStr">
        <is>
          <t>WB05-INV02</t>
        </is>
      </c>
      <c r="B91" s="5" t="n">
        <v>86</v>
      </c>
      <c r="C91" s="18" t="n">
        <v>191.2903225806452</v>
      </c>
      <c r="D91" s="17" t="n">
        <v>20.11284538647238</v>
      </c>
      <c r="E91" s="41" t="inlineStr">
        <is>
          <t>low</t>
        </is>
      </c>
    </row>
    <row r="92">
      <c r="A92" s="5" t="inlineStr">
        <is>
          <t>WB05-INV02</t>
        </is>
      </c>
      <c r="B92" s="5" t="n">
        <v>87</v>
      </c>
      <c r="C92" s="18" t="n">
        <v>197.258064516129</v>
      </c>
      <c r="D92" s="17" t="n">
        <v>19.64082203921815</v>
      </c>
      <c r="E92" s="41" t="inlineStr">
        <is>
          <t>low</t>
        </is>
      </c>
    </row>
    <row r="93">
      <c r="A93" s="5" t="inlineStr">
        <is>
          <t>WB05-INV02</t>
        </is>
      </c>
      <c r="B93" s="5" t="n">
        <v>88</v>
      </c>
      <c r="C93" s="18" t="n">
        <v>203.2258064516129</v>
      </c>
      <c r="D93" s="17" t="n">
        <v>19.12427003870302</v>
      </c>
      <c r="E93" s="41" t="inlineStr">
        <is>
          <t>low</t>
        </is>
      </c>
    </row>
    <row r="94">
      <c r="A94" s="5" t="inlineStr">
        <is>
          <t>WB05-INV02</t>
        </is>
      </c>
      <c r="B94" s="5" t="n">
        <v>89</v>
      </c>
      <c r="C94" s="18" t="n">
        <v>209.1935483870968</v>
      </c>
      <c r="D94" s="17" t="n">
        <v>18.56586675707084</v>
      </c>
      <c r="E94" s="41" t="inlineStr">
        <is>
          <t>low</t>
        </is>
      </c>
    </row>
    <row r="95">
      <c r="A95" s="5" t="inlineStr">
        <is>
          <t>WB05-INV02</t>
        </is>
      </c>
      <c r="B95" s="5" t="n">
        <v>90</v>
      </c>
      <c r="C95" s="18" t="n">
        <v>215.1612903225806</v>
      </c>
      <c r="D95" s="17" t="n">
        <v>17.96747579334142</v>
      </c>
      <c r="E95" s="41" t="inlineStr">
        <is>
          <t>low</t>
        </is>
      </c>
    </row>
    <row r="96">
      <c r="A96" s="5" t="inlineStr">
        <is>
          <t>WB05-INV02</t>
        </is>
      </c>
      <c r="B96" s="5" t="n">
        <v>91</v>
      </c>
      <c r="C96" s="18" t="n">
        <v>221.1290322580645</v>
      </c>
      <c r="D96" s="17" t="n">
        <v>17.33002769893046</v>
      </c>
      <c r="E96" s="41" t="inlineStr">
        <is>
          <t>low</t>
        </is>
      </c>
    </row>
    <row r="97">
      <c r="A97" s="5" t="inlineStr">
        <is>
          <t>WB05-INV02</t>
        </is>
      </c>
      <c r="B97" s="5" t="n">
        <v>92</v>
      </c>
      <c r="C97" s="18" t="n">
        <v>227.0967741935484</v>
      </c>
      <c r="D97" s="17" t="n">
        <v>16.65343675711006</v>
      </c>
      <c r="E97" s="41" t="inlineStr">
        <is>
          <t>low</t>
        </is>
      </c>
    </row>
    <row r="98">
      <c r="A98" s="5" t="inlineStr">
        <is>
          <t>WB05-INV02</t>
        </is>
      </c>
      <c r="B98" s="5" t="n">
        <v>93</v>
      </c>
      <c r="C98" s="18" t="n">
        <v>233.0645161290323</v>
      </c>
      <c r="D98" s="17" t="n">
        <v>15.93655873427999</v>
      </c>
      <c r="E98" s="41" t="inlineStr">
        <is>
          <t>low</t>
        </is>
      </c>
    </row>
    <row r="99">
      <c r="A99" s="5" t="inlineStr">
        <is>
          <t>WB05-INV02</t>
        </is>
      </c>
      <c r="B99" s="5" t="n">
        <v>94</v>
      </c>
      <c r="C99" s="18" t="n">
        <v>239.0322580645161</v>
      </c>
      <c r="D99" s="17" t="n">
        <v>15.17719287807741</v>
      </c>
      <c r="E99" s="41" t="inlineStr">
        <is>
          <t>low</t>
        </is>
      </c>
    </row>
    <row r="100">
      <c r="A100" s="5" t="inlineStr">
        <is>
          <t>WB05-INV02</t>
        </is>
      </c>
      <c r="B100" s="5" t="n">
        <v>95</v>
      </c>
      <c r="C100" s="18" t="n">
        <v>245</v>
      </c>
      <c r="D100" s="17" t="n">
        <v>14.37212960882379</v>
      </c>
      <c r="E100" s="41" t="inlineStr">
        <is>
          <t>low</t>
        </is>
      </c>
    </row>
    <row r="101">
      <c r="A101" s="5" t="inlineStr">
        <is>
          <t>WB05-INV02</t>
        </is>
      </c>
      <c r="B101" s="5" t="n">
        <v>96</v>
      </c>
      <c r="C101" s="18" t="n">
        <v>310</v>
      </c>
      <c r="D101" s="17" t="n">
        <v>36.89</v>
      </c>
      <c r="E101" s="5" t="inlineStr">
        <is>
          <t>mid</t>
        </is>
      </c>
    </row>
    <row r="102">
      <c r="A102" s="5" t="inlineStr">
        <is>
          <t>WB05-INV02</t>
        </is>
      </c>
      <c r="B102" s="5" t="n">
        <v>97</v>
      </c>
      <c r="C102" s="18" t="n">
        <v>325.483870967742</v>
      </c>
      <c r="D102" s="17" t="n">
        <v>38.41641849971932</v>
      </c>
      <c r="E102" s="5" t="inlineStr">
        <is>
          <t>mid</t>
        </is>
      </c>
    </row>
    <row r="103">
      <c r="A103" s="5" t="inlineStr">
        <is>
          <t>WB05-INV02</t>
        </is>
      </c>
      <c r="B103" s="5" t="n">
        <v>98</v>
      </c>
      <c r="C103" s="18" t="n">
        <v>340.9677419354839</v>
      </c>
      <c r="D103" s="17" t="n">
        <v>39.90540878737237</v>
      </c>
      <c r="E103" s="5" t="inlineStr">
        <is>
          <t>mid</t>
        </is>
      </c>
    </row>
    <row r="104">
      <c r="A104" s="5" t="inlineStr">
        <is>
          <t>WB05-INV02</t>
        </is>
      </c>
      <c r="B104" s="5" t="n">
        <v>99</v>
      </c>
      <c r="C104" s="18" t="n">
        <v>356.4516129032258</v>
      </c>
      <c r="D104" s="17" t="n">
        <v>41.34857570877855</v>
      </c>
      <c r="E104" s="5" t="inlineStr">
        <is>
          <t>mid</t>
        </is>
      </c>
    </row>
    <row r="105">
      <c r="A105" s="5" t="inlineStr">
        <is>
          <t>WB05-INV02</t>
        </is>
      </c>
      <c r="B105" s="5" t="n">
        <v>100</v>
      </c>
      <c r="C105" s="18" t="n">
        <v>371.9354838709677</v>
      </c>
      <c r="D105" s="17" t="n">
        <v>42.73682675434706</v>
      </c>
      <c r="E105" s="5" t="inlineStr">
        <is>
          <t>mid</t>
        </is>
      </c>
    </row>
    <row r="106">
      <c r="A106" s="5" t="inlineStr">
        <is>
          <t>WB05-INV02</t>
        </is>
      </c>
      <c r="B106" s="5" t="n">
        <v>101</v>
      </c>
      <c r="C106" s="18" t="n">
        <v>387.4193548387097</v>
      </c>
      <c r="D106" s="17" t="n">
        <v>44.06077160268002</v>
      </c>
      <c r="E106" s="5" t="inlineStr">
        <is>
          <t>mid</t>
        </is>
      </c>
    </row>
    <row r="107">
      <c r="A107" s="5" t="inlineStr">
        <is>
          <t>WB05-INV02</t>
        </is>
      </c>
      <c r="B107" s="5" t="n">
        <v>102</v>
      </c>
      <c r="C107" s="18" t="n">
        <v>402.9032258064516</v>
      </c>
      <c r="D107" s="17" t="n">
        <v>45.31115362170416</v>
      </c>
      <c r="E107" s="5" t="inlineStr">
        <is>
          <t>mid</t>
        </is>
      </c>
    </row>
    <row r="108">
      <c r="A108" s="5" t="inlineStr">
        <is>
          <t>WB05-INV02</t>
        </is>
      </c>
      <c r="B108" s="5" t="n">
        <v>103</v>
      </c>
      <c r="C108" s="18" t="n">
        <v>418.3870967741935</v>
      </c>
      <c r="D108" s="17" t="n">
        <v>46.47929419484669</v>
      </c>
      <c r="E108" s="5" t="inlineStr">
        <is>
          <t>mid</t>
        </is>
      </c>
    </row>
    <row r="109">
      <c r="A109" s="5" t="inlineStr">
        <is>
          <t>WB05-INV02</t>
        </is>
      </c>
      <c r="B109" s="5" t="n">
        <v>104</v>
      </c>
      <c r="C109" s="18" t="n">
        <v>433.8709677419355</v>
      </c>
      <c r="D109" s="17" t="n">
        <v>47.55752959544786</v>
      </c>
      <c r="E109" s="5" t="inlineStr">
        <is>
          <t>mid</t>
        </is>
      </c>
    </row>
    <row r="110">
      <c r="A110" s="5" t="inlineStr">
        <is>
          <t>WB05-INV02</t>
        </is>
      </c>
      <c r="B110" s="5" t="n">
        <v>105</v>
      </c>
      <c r="C110" s="18" t="n">
        <v>449.3548387096774</v>
      </c>
      <c r="D110" s="17" t="n">
        <v>48.53961988306927</v>
      </c>
      <c r="E110" s="5" t="inlineStr">
        <is>
          <t>mid</t>
        </is>
      </c>
    </row>
    <row r="111">
      <c r="A111" s="5" t="inlineStr">
        <is>
          <t>WB05-INV02</t>
        </is>
      </c>
      <c r="B111" s="5" t="n">
        <v>106</v>
      </c>
      <c r="C111" s="18" t="n">
        <v>464.8387096774194</v>
      </c>
      <c r="D111" s="17" t="n">
        <v>49.42110996964285</v>
      </c>
      <c r="E111" s="5" t="inlineStr">
        <is>
          <t>mid</t>
        </is>
      </c>
    </row>
    <row r="112">
      <c r="A112" s="5" t="inlineStr">
        <is>
          <t>WB05-INV02</t>
        </is>
      </c>
      <c r="B112" s="5" t="n">
        <v>107</v>
      </c>
      <c r="C112" s="18" t="n">
        <v>480.3225806451613</v>
      </c>
      <c r="D112" s="17" t="n">
        <v>50.19962459016648</v>
      </c>
      <c r="E112" s="5" t="inlineStr">
        <is>
          <t>mid</t>
        </is>
      </c>
    </row>
    <row r="113">
      <c r="A113" s="5" t="inlineStr">
        <is>
          <t>WB05-INV02</t>
        </is>
      </c>
      <c r="B113" s="5" t="n">
        <v>108</v>
      </c>
      <c r="C113" s="18" t="n">
        <v>495.8064516129032</v>
      </c>
      <c r="D113" s="17" t="n">
        <v>50.87508136008013</v>
      </c>
      <c r="E113" s="5" t="inlineStr">
        <is>
          <t>mid</t>
        </is>
      </c>
    </row>
    <row r="114">
      <c r="A114" s="5" t="inlineStr">
        <is>
          <t>WB05-INV02</t>
        </is>
      </c>
      <c r="B114" s="5" t="n">
        <v>109</v>
      </c>
      <c r="C114" s="18" t="n">
        <v>511.2903225806452</v>
      </c>
      <c r="D114" s="17" t="n">
        <v>51.44980931893179</v>
      </c>
      <c r="E114" s="5" t="inlineStr">
        <is>
          <t>mid</t>
        </is>
      </c>
    </row>
    <row r="115">
      <c r="A115" s="5" t="inlineStr">
        <is>
          <t>WB05-INV02</t>
        </is>
      </c>
      <c r="B115" s="5" t="n">
        <v>110</v>
      </c>
      <c r="C115" s="18" t="n">
        <v>526.7741935483871</v>
      </c>
      <c r="D115" s="17" t="n">
        <v>51.92856422139394</v>
      </c>
      <c r="E115" s="5" t="inlineStr">
        <is>
          <t>mid</t>
        </is>
      </c>
    </row>
    <row r="116">
      <c r="A116" s="5" t="inlineStr">
        <is>
          <t>WB05-INV02</t>
        </is>
      </c>
      <c r="B116" s="5" t="n">
        <v>111</v>
      </c>
      <c r="C116" s="18" t="n">
        <v>542.258064516129</v>
      </c>
      <c r="D116" s="17" t="n">
        <v>52.31843618551909</v>
      </c>
      <c r="E116" s="5" t="inlineStr">
        <is>
          <t>mid</t>
        </is>
      </c>
    </row>
    <row r="117">
      <c r="A117" s="5" t="inlineStr">
        <is>
          <t>WB05-INV02</t>
        </is>
      </c>
      <c r="B117" s="5" t="n">
        <v>112</v>
      </c>
      <c r="C117" s="18" t="n">
        <v>557.741935483871</v>
      </c>
      <c r="D117" s="17" t="n">
        <v>52.62864996351757</v>
      </c>
      <c r="E117" s="5" t="inlineStr">
        <is>
          <t>mid</t>
        </is>
      </c>
    </row>
    <row r="118">
      <c r="A118" s="5" t="inlineStr">
        <is>
          <t>WB05-INV02</t>
        </is>
      </c>
      <c r="B118" s="5" t="n">
        <v>113</v>
      </c>
      <c r="C118" s="18" t="n">
        <v>573.2258064516129</v>
      </c>
      <c r="D118" s="17" t="n">
        <v>52.8702628647135</v>
      </c>
      <c r="E118" s="5" t="inlineStr">
        <is>
          <t>mid</t>
        </is>
      </c>
    </row>
    <row r="119">
      <c r="A119" s="5" t="inlineStr">
        <is>
          <t>WB05-INV02</t>
        </is>
      </c>
      <c r="B119" s="5" t="n">
        <v>114</v>
      </c>
      <c r="C119" s="18" t="n">
        <v>588.7096774193549</v>
      </c>
      <c r="D119" s="17" t="n">
        <v>53.0557700275912</v>
      </c>
      <c r="E119" s="5" t="inlineStr">
        <is>
          <t>mid</t>
        </is>
      </c>
    </row>
    <row r="120">
      <c r="A120" s="5" t="inlineStr">
        <is>
          <t>WB05-INV02</t>
        </is>
      </c>
      <c r="B120" s="5" t="n">
        <v>115</v>
      </c>
      <c r="C120" s="18" t="n">
        <v>604.1935483870968</v>
      </c>
      <c r="D120" s="17" t="n">
        <v>53.19863110212712</v>
      </c>
      <c r="E120" s="5" t="inlineStr">
        <is>
          <t>mid</t>
        </is>
      </c>
    </row>
    <row r="121">
      <c r="A121" s="5" t="inlineStr">
        <is>
          <t>WB05-INV02</t>
        </is>
      </c>
      <c r="B121" s="5" t="n">
        <v>116</v>
      </c>
      <c r="C121" s="18" t="n">
        <v>619.6774193548388</v>
      </c>
      <c r="D121" s="17" t="n">
        <v>53.31273626816018</v>
      </c>
      <c r="E121" s="5" t="inlineStr">
        <is>
          <t>mid</t>
        </is>
      </c>
    </row>
    <row r="122">
      <c r="A122" s="5" t="inlineStr">
        <is>
          <t>WB05-INV02</t>
        </is>
      </c>
      <c r="B122" s="5" t="n">
        <v>117</v>
      </c>
      <c r="C122" s="18" t="n">
        <v>635.1612903225807</v>
      </c>
      <c r="D122" s="17" t="n">
        <v>53.41183270134936</v>
      </c>
      <c r="E122" s="5" t="inlineStr">
        <is>
          <t>mid</t>
        </is>
      </c>
    </row>
    <row r="123">
      <c r="A123" s="5" t="inlineStr">
        <is>
          <t>WB05-INV02</t>
        </is>
      </c>
      <c r="B123" s="5" t="n">
        <v>118</v>
      </c>
      <c r="C123" s="18" t="n">
        <v>650.6451612903226</v>
      </c>
      <c r="D123" s="17" t="n">
        <v>53.50893495196069</v>
      </c>
      <c r="E123" s="5" t="inlineStr">
        <is>
          <t>mid</t>
        </is>
      </c>
    </row>
    <row r="124">
      <c r="A124" s="5" t="inlineStr">
        <is>
          <t>WB05-INV02</t>
        </is>
      </c>
      <c r="B124" s="5" t="n">
        <v>119</v>
      </c>
      <c r="C124" s="18" t="n">
        <v>666.1290322580645</v>
      </c>
      <c r="D124" s="17" t="n">
        <v>53.61574410268165</v>
      </c>
      <c r="E124" s="5" t="inlineStr">
        <is>
          <t>mid</t>
        </is>
      </c>
    </row>
    <row r="125">
      <c r="A125" s="5" t="inlineStr">
        <is>
          <t>WB05-INV02</t>
        </is>
      </c>
      <c r="B125" s="5" t="n">
        <v>120</v>
      </c>
      <c r="C125" s="18" t="n">
        <v>681.6129032258065</v>
      </c>
      <c r="D125" s="17" t="n">
        <v>53.74210093768077</v>
      </c>
      <c r="E125" s="5" t="inlineStr">
        <is>
          <t>mid</t>
        </is>
      </c>
    </row>
    <row r="126">
      <c r="A126" s="5" t="inlineStr">
        <is>
          <t>WB05-INV02</t>
        </is>
      </c>
      <c r="B126" s="5" t="n">
        <v>121</v>
      </c>
      <c r="C126" s="18" t="n">
        <v>697.0967741935484</v>
      </c>
      <c r="D126" s="17" t="n">
        <v>53.89549764663175</v>
      </c>
      <c r="E126" s="5" t="inlineStr">
        <is>
          <t>mid</t>
        </is>
      </c>
    </row>
    <row r="127">
      <c r="A127" s="5" t="inlineStr">
        <is>
          <t>WB05-INV02</t>
        </is>
      </c>
      <c r="B127" s="5" t="n">
        <v>122</v>
      </c>
      <c r="C127" s="18" t="n">
        <v>712.5806451612904</v>
      </c>
      <c r="D127" s="17" t="n">
        <v>54.08067080989011</v>
      </c>
      <c r="E127" s="5" t="inlineStr">
        <is>
          <t>mid</t>
        </is>
      </c>
    </row>
    <row r="128">
      <c r="A128" s="5" t="inlineStr">
        <is>
          <t>WB05-INV02</t>
        </is>
      </c>
      <c r="B128" s="5" t="n">
        <v>123</v>
      </c>
      <c r="C128" s="18" t="n">
        <v>728.0645161290322</v>
      </c>
      <c r="D128" s="17" t="n">
        <v>54.29929561557653</v>
      </c>
      <c r="E128" s="5" t="inlineStr">
        <is>
          <t>mid</t>
        </is>
      </c>
    </row>
    <row r="129">
      <c r="A129" s="5" t="inlineStr">
        <is>
          <t>WB05-INV02</t>
        </is>
      </c>
      <c r="B129" s="5" t="n">
        <v>124</v>
      </c>
      <c r="C129" s="18" t="n">
        <v>743.5483870967741</v>
      </c>
      <c r="D129" s="17" t="n">
        <v>54.5497975414138</v>
      </c>
      <c r="E129" s="5" t="inlineStr">
        <is>
          <t>mid</t>
        </is>
      </c>
    </row>
    <row r="130">
      <c r="A130" s="5" t="inlineStr">
        <is>
          <t>WB05-INV02</t>
        </is>
      </c>
      <c r="B130" s="5" t="n">
        <v>125</v>
      </c>
      <c r="C130" s="18" t="n">
        <v>759.0322580645161</v>
      </c>
      <c r="D130" s="17" t="n">
        <v>54.82729323029588</v>
      </c>
      <c r="E130" s="5" t="inlineStr">
        <is>
          <t>mid</t>
        </is>
      </c>
    </row>
    <row r="131">
      <c r="A131" s="5" t="inlineStr">
        <is>
          <t>WB05-INV02</t>
        </is>
      </c>
      <c r="B131" s="5" t="n">
        <v>126</v>
      </c>
      <c r="C131" s="18" t="n">
        <v>774.516129032258</v>
      </c>
      <c r="D131" s="17" t="n">
        <v>55.12366717130512</v>
      </c>
      <c r="E131" s="5" t="inlineStr">
        <is>
          <t>mid</t>
        </is>
      </c>
    </row>
    <row r="132">
      <c r="A132" s="5" t="inlineStr">
        <is>
          <t>WB05-INV02</t>
        </is>
      </c>
      <c r="B132" s="5" t="n">
        <v>127</v>
      </c>
      <c r="C132" s="18" t="n">
        <v>790</v>
      </c>
      <c r="D132" s="17" t="n">
        <v>55.42778526926854</v>
      </c>
      <c r="E132" s="5" t="inlineStr">
        <is>
          <t>mid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32"/>
  <sheetViews>
    <sheetView workbookViewId="0">
      <selection activeCell="A1" sqref="A1"/>
    </sheetView>
  </sheetViews>
  <sheetFormatPr baseColWidth="8" defaultRowHeight="15"/>
  <cols>
    <col width="13" customWidth="1" min="1" max="1"/>
  </cols>
  <sheetData>
    <row r="1">
      <c r="A1" s="23" t="inlineStr">
        <is>
          <t>Helpers_LI — pr_proxy + band membership</t>
        </is>
      </c>
    </row>
    <row r="2">
      <c r="A2" s="24" t="inlineStr">
        <is>
          <t>pr_proxy = P_inv / POA. in_low = 1 jika POA∈[50,250]; in_mid = 1 jika POA∈[300,800] (band dari Config).</t>
        </is>
      </c>
    </row>
    <row r="3">
      <c r="A3" s="24" t="inlineStr">
        <is>
          <t>Dipakai SUMPRODUCT regresi di M2a_LowIrradiance (mask per inverter × band).</t>
        </is>
      </c>
    </row>
    <row r="4">
      <c r="A4" s="10" t="inlineStr">
        <is>
          <t>inverter_id</t>
        </is>
      </c>
      <c r="B4" s="10" t="inlineStr">
        <is>
          <t>POA</t>
        </is>
      </c>
      <c r="C4" s="10" t="inlineStr">
        <is>
          <t>P_inv</t>
        </is>
      </c>
      <c r="D4" s="10" t="inlineStr">
        <is>
          <t>pr_proxy</t>
        </is>
      </c>
      <c r="E4" s="10" t="inlineStr">
        <is>
          <t>in_low</t>
        </is>
      </c>
      <c r="F4" s="10" t="inlineStr">
        <is>
          <t>in_mid</t>
        </is>
      </c>
    </row>
    <row r="5">
      <c r="A5" s="5">
        <f>Raw_Data_LI!A5</f>
        <v/>
      </c>
      <c r="B5" s="18">
        <f>Raw_Data_LI!C5</f>
        <v/>
      </c>
      <c r="C5" s="17">
        <f>Raw_Data_LI!D5</f>
        <v/>
      </c>
      <c r="D5" s="42">
        <f>Raw_Data_LI!D5/Raw_Data_LI!C5</f>
        <v/>
      </c>
      <c r="E5" s="5">
        <f>IF(AND(B5&gt;=cfg_li_poa_low_min,B5&lt;=cfg_li_poa_low_max),1,0)</f>
        <v/>
      </c>
      <c r="F5" s="5">
        <f>IF(AND(B5&gt;=cfg_li_poa_mid_min,B5&lt;=cfg_li_poa_mid_max),1,0)</f>
        <v/>
      </c>
    </row>
    <row r="6">
      <c r="A6" s="5">
        <f>Raw_Data_LI!A6</f>
        <v/>
      </c>
      <c r="B6" s="18">
        <f>Raw_Data_LI!C6</f>
        <v/>
      </c>
      <c r="C6" s="17">
        <f>Raw_Data_LI!D6</f>
        <v/>
      </c>
      <c r="D6" s="42">
        <f>Raw_Data_LI!D6/Raw_Data_LI!C6</f>
        <v/>
      </c>
      <c r="E6" s="5">
        <f>IF(AND(B6&gt;=cfg_li_poa_low_min,B6&lt;=cfg_li_poa_low_max),1,0)</f>
        <v/>
      </c>
      <c r="F6" s="5">
        <f>IF(AND(B6&gt;=cfg_li_poa_mid_min,B6&lt;=cfg_li_poa_mid_max),1,0)</f>
        <v/>
      </c>
    </row>
    <row r="7">
      <c r="A7" s="5">
        <f>Raw_Data_LI!A7</f>
        <v/>
      </c>
      <c r="B7" s="18">
        <f>Raw_Data_LI!C7</f>
        <v/>
      </c>
      <c r="C7" s="17">
        <f>Raw_Data_LI!D7</f>
        <v/>
      </c>
      <c r="D7" s="42">
        <f>Raw_Data_LI!D7/Raw_Data_LI!C7</f>
        <v/>
      </c>
      <c r="E7" s="5">
        <f>IF(AND(B7&gt;=cfg_li_poa_low_min,B7&lt;=cfg_li_poa_low_max),1,0)</f>
        <v/>
      </c>
      <c r="F7" s="5">
        <f>IF(AND(B7&gt;=cfg_li_poa_mid_min,B7&lt;=cfg_li_poa_mid_max),1,0)</f>
        <v/>
      </c>
    </row>
    <row r="8">
      <c r="A8" s="5">
        <f>Raw_Data_LI!A8</f>
        <v/>
      </c>
      <c r="B8" s="18">
        <f>Raw_Data_LI!C8</f>
        <v/>
      </c>
      <c r="C8" s="17">
        <f>Raw_Data_LI!D8</f>
        <v/>
      </c>
      <c r="D8" s="42">
        <f>Raw_Data_LI!D8/Raw_Data_LI!C8</f>
        <v/>
      </c>
      <c r="E8" s="5">
        <f>IF(AND(B8&gt;=cfg_li_poa_low_min,B8&lt;=cfg_li_poa_low_max),1,0)</f>
        <v/>
      </c>
      <c r="F8" s="5">
        <f>IF(AND(B8&gt;=cfg_li_poa_mid_min,B8&lt;=cfg_li_poa_mid_max),1,0)</f>
        <v/>
      </c>
    </row>
    <row r="9">
      <c r="A9" s="5">
        <f>Raw_Data_LI!A9</f>
        <v/>
      </c>
      <c r="B9" s="18">
        <f>Raw_Data_LI!C9</f>
        <v/>
      </c>
      <c r="C9" s="17">
        <f>Raw_Data_LI!D9</f>
        <v/>
      </c>
      <c r="D9" s="42">
        <f>Raw_Data_LI!D9/Raw_Data_LI!C9</f>
        <v/>
      </c>
      <c r="E9" s="5">
        <f>IF(AND(B9&gt;=cfg_li_poa_low_min,B9&lt;=cfg_li_poa_low_max),1,0)</f>
        <v/>
      </c>
      <c r="F9" s="5">
        <f>IF(AND(B9&gt;=cfg_li_poa_mid_min,B9&lt;=cfg_li_poa_mid_max),1,0)</f>
        <v/>
      </c>
    </row>
    <row r="10">
      <c r="A10" s="5">
        <f>Raw_Data_LI!A10</f>
        <v/>
      </c>
      <c r="B10" s="18">
        <f>Raw_Data_LI!C10</f>
        <v/>
      </c>
      <c r="C10" s="17">
        <f>Raw_Data_LI!D10</f>
        <v/>
      </c>
      <c r="D10" s="42">
        <f>Raw_Data_LI!D10/Raw_Data_LI!C10</f>
        <v/>
      </c>
      <c r="E10" s="5">
        <f>IF(AND(B10&gt;=cfg_li_poa_low_min,B10&lt;=cfg_li_poa_low_max),1,0)</f>
        <v/>
      </c>
      <c r="F10" s="5">
        <f>IF(AND(B10&gt;=cfg_li_poa_mid_min,B10&lt;=cfg_li_poa_mid_max),1,0)</f>
        <v/>
      </c>
    </row>
    <row r="11">
      <c r="A11" s="5">
        <f>Raw_Data_LI!A11</f>
        <v/>
      </c>
      <c r="B11" s="18">
        <f>Raw_Data_LI!C11</f>
        <v/>
      </c>
      <c r="C11" s="17">
        <f>Raw_Data_LI!D11</f>
        <v/>
      </c>
      <c r="D11" s="42">
        <f>Raw_Data_LI!D11/Raw_Data_LI!C11</f>
        <v/>
      </c>
      <c r="E11" s="5">
        <f>IF(AND(B11&gt;=cfg_li_poa_low_min,B11&lt;=cfg_li_poa_low_max),1,0)</f>
        <v/>
      </c>
      <c r="F11" s="5">
        <f>IF(AND(B11&gt;=cfg_li_poa_mid_min,B11&lt;=cfg_li_poa_mid_max),1,0)</f>
        <v/>
      </c>
    </row>
    <row r="12">
      <c r="A12" s="5">
        <f>Raw_Data_LI!A12</f>
        <v/>
      </c>
      <c r="B12" s="18">
        <f>Raw_Data_LI!C12</f>
        <v/>
      </c>
      <c r="C12" s="17">
        <f>Raw_Data_LI!D12</f>
        <v/>
      </c>
      <c r="D12" s="42">
        <f>Raw_Data_LI!D12/Raw_Data_LI!C12</f>
        <v/>
      </c>
      <c r="E12" s="5">
        <f>IF(AND(B12&gt;=cfg_li_poa_low_min,B12&lt;=cfg_li_poa_low_max),1,0)</f>
        <v/>
      </c>
      <c r="F12" s="5">
        <f>IF(AND(B12&gt;=cfg_li_poa_mid_min,B12&lt;=cfg_li_poa_mid_max),1,0)</f>
        <v/>
      </c>
    </row>
    <row r="13">
      <c r="A13" s="5">
        <f>Raw_Data_LI!A13</f>
        <v/>
      </c>
      <c r="B13" s="18">
        <f>Raw_Data_LI!C13</f>
        <v/>
      </c>
      <c r="C13" s="17">
        <f>Raw_Data_LI!D13</f>
        <v/>
      </c>
      <c r="D13" s="42">
        <f>Raw_Data_LI!D13/Raw_Data_LI!C13</f>
        <v/>
      </c>
      <c r="E13" s="5">
        <f>IF(AND(B13&gt;=cfg_li_poa_low_min,B13&lt;=cfg_li_poa_low_max),1,0)</f>
        <v/>
      </c>
      <c r="F13" s="5">
        <f>IF(AND(B13&gt;=cfg_li_poa_mid_min,B13&lt;=cfg_li_poa_mid_max),1,0)</f>
        <v/>
      </c>
    </row>
    <row r="14">
      <c r="A14" s="5">
        <f>Raw_Data_LI!A14</f>
        <v/>
      </c>
      <c r="B14" s="18">
        <f>Raw_Data_LI!C14</f>
        <v/>
      </c>
      <c r="C14" s="17">
        <f>Raw_Data_LI!D14</f>
        <v/>
      </c>
      <c r="D14" s="42">
        <f>Raw_Data_LI!D14/Raw_Data_LI!C14</f>
        <v/>
      </c>
      <c r="E14" s="5">
        <f>IF(AND(B14&gt;=cfg_li_poa_low_min,B14&lt;=cfg_li_poa_low_max),1,0)</f>
        <v/>
      </c>
      <c r="F14" s="5">
        <f>IF(AND(B14&gt;=cfg_li_poa_mid_min,B14&lt;=cfg_li_poa_mid_max),1,0)</f>
        <v/>
      </c>
    </row>
    <row r="15">
      <c r="A15" s="5">
        <f>Raw_Data_LI!A15</f>
        <v/>
      </c>
      <c r="B15" s="18">
        <f>Raw_Data_LI!C15</f>
        <v/>
      </c>
      <c r="C15" s="17">
        <f>Raw_Data_LI!D15</f>
        <v/>
      </c>
      <c r="D15" s="42">
        <f>Raw_Data_LI!D15/Raw_Data_LI!C15</f>
        <v/>
      </c>
      <c r="E15" s="5">
        <f>IF(AND(B15&gt;=cfg_li_poa_low_min,B15&lt;=cfg_li_poa_low_max),1,0)</f>
        <v/>
      </c>
      <c r="F15" s="5">
        <f>IF(AND(B15&gt;=cfg_li_poa_mid_min,B15&lt;=cfg_li_poa_mid_max),1,0)</f>
        <v/>
      </c>
    </row>
    <row r="16">
      <c r="A16" s="5">
        <f>Raw_Data_LI!A16</f>
        <v/>
      </c>
      <c r="B16" s="18">
        <f>Raw_Data_LI!C16</f>
        <v/>
      </c>
      <c r="C16" s="17">
        <f>Raw_Data_LI!D16</f>
        <v/>
      </c>
      <c r="D16" s="42">
        <f>Raw_Data_LI!D16/Raw_Data_LI!C16</f>
        <v/>
      </c>
      <c r="E16" s="5">
        <f>IF(AND(B16&gt;=cfg_li_poa_low_min,B16&lt;=cfg_li_poa_low_max),1,0)</f>
        <v/>
      </c>
      <c r="F16" s="5">
        <f>IF(AND(B16&gt;=cfg_li_poa_mid_min,B16&lt;=cfg_li_poa_mid_max),1,0)</f>
        <v/>
      </c>
    </row>
    <row r="17">
      <c r="A17" s="5">
        <f>Raw_Data_LI!A17</f>
        <v/>
      </c>
      <c r="B17" s="18">
        <f>Raw_Data_LI!C17</f>
        <v/>
      </c>
      <c r="C17" s="17">
        <f>Raw_Data_LI!D17</f>
        <v/>
      </c>
      <c r="D17" s="42">
        <f>Raw_Data_LI!D17/Raw_Data_LI!C17</f>
        <v/>
      </c>
      <c r="E17" s="5">
        <f>IF(AND(B17&gt;=cfg_li_poa_low_min,B17&lt;=cfg_li_poa_low_max),1,0)</f>
        <v/>
      </c>
      <c r="F17" s="5">
        <f>IF(AND(B17&gt;=cfg_li_poa_mid_min,B17&lt;=cfg_li_poa_mid_max),1,0)</f>
        <v/>
      </c>
    </row>
    <row r="18">
      <c r="A18" s="5">
        <f>Raw_Data_LI!A18</f>
        <v/>
      </c>
      <c r="B18" s="18">
        <f>Raw_Data_LI!C18</f>
        <v/>
      </c>
      <c r="C18" s="17">
        <f>Raw_Data_LI!D18</f>
        <v/>
      </c>
      <c r="D18" s="42">
        <f>Raw_Data_LI!D18/Raw_Data_LI!C18</f>
        <v/>
      </c>
      <c r="E18" s="5">
        <f>IF(AND(B18&gt;=cfg_li_poa_low_min,B18&lt;=cfg_li_poa_low_max),1,0)</f>
        <v/>
      </c>
      <c r="F18" s="5">
        <f>IF(AND(B18&gt;=cfg_li_poa_mid_min,B18&lt;=cfg_li_poa_mid_max),1,0)</f>
        <v/>
      </c>
    </row>
    <row r="19">
      <c r="A19" s="5">
        <f>Raw_Data_LI!A19</f>
        <v/>
      </c>
      <c r="B19" s="18">
        <f>Raw_Data_LI!C19</f>
        <v/>
      </c>
      <c r="C19" s="17">
        <f>Raw_Data_LI!D19</f>
        <v/>
      </c>
      <c r="D19" s="42">
        <f>Raw_Data_LI!D19/Raw_Data_LI!C19</f>
        <v/>
      </c>
      <c r="E19" s="5">
        <f>IF(AND(B19&gt;=cfg_li_poa_low_min,B19&lt;=cfg_li_poa_low_max),1,0)</f>
        <v/>
      </c>
      <c r="F19" s="5">
        <f>IF(AND(B19&gt;=cfg_li_poa_mid_min,B19&lt;=cfg_li_poa_mid_max),1,0)</f>
        <v/>
      </c>
    </row>
    <row r="20">
      <c r="A20" s="5">
        <f>Raw_Data_LI!A20</f>
        <v/>
      </c>
      <c r="B20" s="18">
        <f>Raw_Data_LI!C20</f>
        <v/>
      </c>
      <c r="C20" s="17">
        <f>Raw_Data_LI!D20</f>
        <v/>
      </c>
      <c r="D20" s="42">
        <f>Raw_Data_LI!D20/Raw_Data_LI!C20</f>
        <v/>
      </c>
      <c r="E20" s="5">
        <f>IF(AND(B20&gt;=cfg_li_poa_low_min,B20&lt;=cfg_li_poa_low_max),1,0)</f>
        <v/>
      </c>
      <c r="F20" s="5">
        <f>IF(AND(B20&gt;=cfg_li_poa_mid_min,B20&lt;=cfg_li_poa_mid_max),1,0)</f>
        <v/>
      </c>
    </row>
    <row r="21">
      <c r="A21" s="5">
        <f>Raw_Data_LI!A21</f>
        <v/>
      </c>
      <c r="B21" s="18">
        <f>Raw_Data_LI!C21</f>
        <v/>
      </c>
      <c r="C21" s="17">
        <f>Raw_Data_LI!D21</f>
        <v/>
      </c>
      <c r="D21" s="42">
        <f>Raw_Data_LI!D21/Raw_Data_LI!C21</f>
        <v/>
      </c>
      <c r="E21" s="5">
        <f>IF(AND(B21&gt;=cfg_li_poa_low_min,B21&lt;=cfg_li_poa_low_max),1,0)</f>
        <v/>
      </c>
      <c r="F21" s="5">
        <f>IF(AND(B21&gt;=cfg_li_poa_mid_min,B21&lt;=cfg_li_poa_mid_max),1,0)</f>
        <v/>
      </c>
    </row>
    <row r="22">
      <c r="A22" s="5">
        <f>Raw_Data_LI!A22</f>
        <v/>
      </c>
      <c r="B22" s="18">
        <f>Raw_Data_LI!C22</f>
        <v/>
      </c>
      <c r="C22" s="17">
        <f>Raw_Data_LI!D22</f>
        <v/>
      </c>
      <c r="D22" s="42">
        <f>Raw_Data_LI!D22/Raw_Data_LI!C22</f>
        <v/>
      </c>
      <c r="E22" s="5">
        <f>IF(AND(B22&gt;=cfg_li_poa_low_min,B22&lt;=cfg_li_poa_low_max),1,0)</f>
        <v/>
      </c>
      <c r="F22" s="5">
        <f>IF(AND(B22&gt;=cfg_li_poa_mid_min,B22&lt;=cfg_li_poa_mid_max),1,0)</f>
        <v/>
      </c>
    </row>
    <row r="23">
      <c r="A23" s="5">
        <f>Raw_Data_LI!A23</f>
        <v/>
      </c>
      <c r="B23" s="18">
        <f>Raw_Data_LI!C23</f>
        <v/>
      </c>
      <c r="C23" s="17">
        <f>Raw_Data_LI!D23</f>
        <v/>
      </c>
      <c r="D23" s="42">
        <f>Raw_Data_LI!D23/Raw_Data_LI!C23</f>
        <v/>
      </c>
      <c r="E23" s="5">
        <f>IF(AND(B23&gt;=cfg_li_poa_low_min,B23&lt;=cfg_li_poa_low_max),1,0)</f>
        <v/>
      </c>
      <c r="F23" s="5">
        <f>IF(AND(B23&gt;=cfg_li_poa_mid_min,B23&lt;=cfg_li_poa_mid_max),1,0)</f>
        <v/>
      </c>
    </row>
    <row r="24">
      <c r="A24" s="5">
        <f>Raw_Data_LI!A24</f>
        <v/>
      </c>
      <c r="B24" s="18">
        <f>Raw_Data_LI!C24</f>
        <v/>
      </c>
      <c r="C24" s="17">
        <f>Raw_Data_LI!D24</f>
        <v/>
      </c>
      <c r="D24" s="42">
        <f>Raw_Data_LI!D24/Raw_Data_LI!C24</f>
        <v/>
      </c>
      <c r="E24" s="5">
        <f>IF(AND(B24&gt;=cfg_li_poa_low_min,B24&lt;=cfg_li_poa_low_max),1,0)</f>
        <v/>
      </c>
      <c r="F24" s="5">
        <f>IF(AND(B24&gt;=cfg_li_poa_mid_min,B24&lt;=cfg_li_poa_mid_max),1,0)</f>
        <v/>
      </c>
    </row>
    <row r="25">
      <c r="A25" s="5">
        <f>Raw_Data_LI!A25</f>
        <v/>
      </c>
      <c r="B25" s="18">
        <f>Raw_Data_LI!C25</f>
        <v/>
      </c>
      <c r="C25" s="17">
        <f>Raw_Data_LI!D25</f>
        <v/>
      </c>
      <c r="D25" s="42">
        <f>Raw_Data_LI!D25/Raw_Data_LI!C25</f>
        <v/>
      </c>
      <c r="E25" s="5">
        <f>IF(AND(B25&gt;=cfg_li_poa_low_min,B25&lt;=cfg_li_poa_low_max),1,0)</f>
        <v/>
      </c>
      <c r="F25" s="5">
        <f>IF(AND(B25&gt;=cfg_li_poa_mid_min,B25&lt;=cfg_li_poa_mid_max),1,0)</f>
        <v/>
      </c>
    </row>
    <row r="26">
      <c r="A26" s="5">
        <f>Raw_Data_LI!A26</f>
        <v/>
      </c>
      <c r="B26" s="18">
        <f>Raw_Data_LI!C26</f>
        <v/>
      </c>
      <c r="C26" s="17">
        <f>Raw_Data_LI!D26</f>
        <v/>
      </c>
      <c r="D26" s="42">
        <f>Raw_Data_LI!D26/Raw_Data_LI!C26</f>
        <v/>
      </c>
      <c r="E26" s="5">
        <f>IF(AND(B26&gt;=cfg_li_poa_low_min,B26&lt;=cfg_li_poa_low_max),1,0)</f>
        <v/>
      </c>
      <c r="F26" s="5">
        <f>IF(AND(B26&gt;=cfg_li_poa_mid_min,B26&lt;=cfg_li_poa_mid_max),1,0)</f>
        <v/>
      </c>
    </row>
    <row r="27">
      <c r="A27" s="5">
        <f>Raw_Data_LI!A27</f>
        <v/>
      </c>
      <c r="B27" s="18">
        <f>Raw_Data_LI!C27</f>
        <v/>
      </c>
      <c r="C27" s="17">
        <f>Raw_Data_LI!D27</f>
        <v/>
      </c>
      <c r="D27" s="42">
        <f>Raw_Data_LI!D27/Raw_Data_LI!C27</f>
        <v/>
      </c>
      <c r="E27" s="5">
        <f>IF(AND(B27&gt;=cfg_li_poa_low_min,B27&lt;=cfg_li_poa_low_max),1,0)</f>
        <v/>
      </c>
      <c r="F27" s="5">
        <f>IF(AND(B27&gt;=cfg_li_poa_mid_min,B27&lt;=cfg_li_poa_mid_max),1,0)</f>
        <v/>
      </c>
    </row>
    <row r="28">
      <c r="A28" s="5">
        <f>Raw_Data_LI!A28</f>
        <v/>
      </c>
      <c r="B28" s="18">
        <f>Raw_Data_LI!C28</f>
        <v/>
      </c>
      <c r="C28" s="17">
        <f>Raw_Data_LI!D28</f>
        <v/>
      </c>
      <c r="D28" s="42">
        <f>Raw_Data_LI!D28/Raw_Data_LI!C28</f>
        <v/>
      </c>
      <c r="E28" s="5">
        <f>IF(AND(B28&gt;=cfg_li_poa_low_min,B28&lt;=cfg_li_poa_low_max),1,0)</f>
        <v/>
      </c>
      <c r="F28" s="5">
        <f>IF(AND(B28&gt;=cfg_li_poa_mid_min,B28&lt;=cfg_li_poa_mid_max),1,0)</f>
        <v/>
      </c>
    </row>
    <row r="29">
      <c r="A29" s="5">
        <f>Raw_Data_LI!A29</f>
        <v/>
      </c>
      <c r="B29" s="18">
        <f>Raw_Data_LI!C29</f>
        <v/>
      </c>
      <c r="C29" s="17">
        <f>Raw_Data_LI!D29</f>
        <v/>
      </c>
      <c r="D29" s="42">
        <f>Raw_Data_LI!D29/Raw_Data_LI!C29</f>
        <v/>
      </c>
      <c r="E29" s="5">
        <f>IF(AND(B29&gt;=cfg_li_poa_low_min,B29&lt;=cfg_li_poa_low_max),1,0)</f>
        <v/>
      </c>
      <c r="F29" s="5">
        <f>IF(AND(B29&gt;=cfg_li_poa_mid_min,B29&lt;=cfg_li_poa_mid_max),1,0)</f>
        <v/>
      </c>
    </row>
    <row r="30">
      <c r="A30" s="5">
        <f>Raw_Data_LI!A30</f>
        <v/>
      </c>
      <c r="B30" s="18">
        <f>Raw_Data_LI!C30</f>
        <v/>
      </c>
      <c r="C30" s="17">
        <f>Raw_Data_LI!D30</f>
        <v/>
      </c>
      <c r="D30" s="42">
        <f>Raw_Data_LI!D30/Raw_Data_LI!C30</f>
        <v/>
      </c>
      <c r="E30" s="5">
        <f>IF(AND(B30&gt;=cfg_li_poa_low_min,B30&lt;=cfg_li_poa_low_max),1,0)</f>
        <v/>
      </c>
      <c r="F30" s="5">
        <f>IF(AND(B30&gt;=cfg_li_poa_mid_min,B30&lt;=cfg_li_poa_mid_max),1,0)</f>
        <v/>
      </c>
    </row>
    <row r="31">
      <c r="A31" s="5">
        <f>Raw_Data_LI!A31</f>
        <v/>
      </c>
      <c r="B31" s="18">
        <f>Raw_Data_LI!C31</f>
        <v/>
      </c>
      <c r="C31" s="17">
        <f>Raw_Data_LI!D31</f>
        <v/>
      </c>
      <c r="D31" s="42">
        <f>Raw_Data_LI!D31/Raw_Data_LI!C31</f>
        <v/>
      </c>
      <c r="E31" s="5">
        <f>IF(AND(B31&gt;=cfg_li_poa_low_min,B31&lt;=cfg_li_poa_low_max),1,0)</f>
        <v/>
      </c>
      <c r="F31" s="5">
        <f>IF(AND(B31&gt;=cfg_li_poa_mid_min,B31&lt;=cfg_li_poa_mid_max),1,0)</f>
        <v/>
      </c>
    </row>
    <row r="32">
      <c r="A32" s="5">
        <f>Raw_Data_LI!A32</f>
        <v/>
      </c>
      <c r="B32" s="18">
        <f>Raw_Data_LI!C32</f>
        <v/>
      </c>
      <c r="C32" s="17">
        <f>Raw_Data_LI!D32</f>
        <v/>
      </c>
      <c r="D32" s="42">
        <f>Raw_Data_LI!D32/Raw_Data_LI!C32</f>
        <v/>
      </c>
      <c r="E32" s="5">
        <f>IF(AND(B32&gt;=cfg_li_poa_low_min,B32&lt;=cfg_li_poa_low_max),1,0)</f>
        <v/>
      </c>
      <c r="F32" s="5">
        <f>IF(AND(B32&gt;=cfg_li_poa_mid_min,B32&lt;=cfg_li_poa_mid_max),1,0)</f>
        <v/>
      </c>
    </row>
    <row r="33">
      <c r="A33" s="5">
        <f>Raw_Data_LI!A33</f>
        <v/>
      </c>
      <c r="B33" s="18">
        <f>Raw_Data_LI!C33</f>
        <v/>
      </c>
      <c r="C33" s="17">
        <f>Raw_Data_LI!D33</f>
        <v/>
      </c>
      <c r="D33" s="42">
        <f>Raw_Data_LI!D33/Raw_Data_LI!C33</f>
        <v/>
      </c>
      <c r="E33" s="5">
        <f>IF(AND(B33&gt;=cfg_li_poa_low_min,B33&lt;=cfg_li_poa_low_max),1,0)</f>
        <v/>
      </c>
      <c r="F33" s="5">
        <f>IF(AND(B33&gt;=cfg_li_poa_mid_min,B33&lt;=cfg_li_poa_mid_max),1,0)</f>
        <v/>
      </c>
    </row>
    <row r="34">
      <c r="A34" s="5">
        <f>Raw_Data_LI!A34</f>
        <v/>
      </c>
      <c r="B34" s="18">
        <f>Raw_Data_LI!C34</f>
        <v/>
      </c>
      <c r="C34" s="17">
        <f>Raw_Data_LI!D34</f>
        <v/>
      </c>
      <c r="D34" s="42">
        <f>Raw_Data_LI!D34/Raw_Data_LI!C34</f>
        <v/>
      </c>
      <c r="E34" s="5">
        <f>IF(AND(B34&gt;=cfg_li_poa_low_min,B34&lt;=cfg_li_poa_low_max),1,0)</f>
        <v/>
      </c>
      <c r="F34" s="5">
        <f>IF(AND(B34&gt;=cfg_li_poa_mid_min,B34&lt;=cfg_li_poa_mid_max),1,0)</f>
        <v/>
      </c>
    </row>
    <row r="35">
      <c r="A35" s="5">
        <f>Raw_Data_LI!A35</f>
        <v/>
      </c>
      <c r="B35" s="18">
        <f>Raw_Data_LI!C35</f>
        <v/>
      </c>
      <c r="C35" s="17">
        <f>Raw_Data_LI!D35</f>
        <v/>
      </c>
      <c r="D35" s="42">
        <f>Raw_Data_LI!D35/Raw_Data_LI!C35</f>
        <v/>
      </c>
      <c r="E35" s="5">
        <f>IF(AND(B35&gt;=cfg_li_poa_low_min,B35&lt;=cfg_li_poa_low_max),1,0)</f>
        <v/>
      </c>
      <c r="F35" s="5">
        <f>IF(AND(B35&gt;=cfg_li_poa_mid_min,B35&lt;=cfg_li_poa_mid_max),1,0)</f>
        <v/>
      </c>
    </row>
    <row r="36">
      <c r="A36" s="5">
        <f>Raw_Data_LI!A36</f>
        <v/>
      </c>
      <c r="B36" s="18">
        <f>Raw_Data_LI!C36</f>
        <v/>
      </c>
      <c r="C36" s="17">
        <f>Raw_Data_LI!D36</f>
        <v/>
      </c>
      <c r="D36" s="42">
        <f>Raw_Data_LI!D36/Raw_Data_LI!C36</f>
        <v/>
      </c>
      <c r="E36" s="5">
        <f>IF(AND(B36&gt;=cfg_li_poa_low_min,B36&lt;=cfg_li_poa_low_max),1,0)</f>
        <v/>
      </c>
      <c r="F36" s="5">
        <f>IF(AND(B36&gt;=cfg_li_poa_mid_min,B36&lt;=cfg_li_poa_mid_max),1,0)</f>
        <v/>
      </c>
    </row>
    <row r="37">
      <c r="A37" s="5">
        <f>Raw_Data_LI!A37</f>
        <v/>
      </c>
      <c r="B37" s="18">
        <f>Raw_Data_LI!C37</f>
        <v/>
      </c>
      <c r="C37" s="17">
        <f>Raw_Data_LI!D37</f>
        <v/>
      </c>
      <c r="D37" s="42">
        <f>Raw_Data_LI!D37/Raw_Data_LI!C37</f>
        <v/>
      </c>
      <c r="E37" s="5">
        <f>IF(AND(B37&gt;=cfg_li_poa_low_min,B37&lt;=cfg_li_poa_low_max),1,0)</f>
        <v/>
      </c>
      <c r="F37" s="5">
        <f>IF(AND(B37&gt;=cfg_li_poa_mid_min,B37&lt;=cfg_li_poa_mid_max),1,0)</f>
        <v/>
      </c>
    </row>
    <row r="38">
      <c r="A38" s="5">
        <f>Raw_Data_LI!A38</f>
        <v/>
      </c>
      <c r="B38" s="18">
        <f>Raw_Data_LI!C38</f>
        <v/>
      </c>
      <c r="C38" s="17">
        <f>Raw_Data_LI!D38</f>
        <v/>
      </c>
      <c r="D38" s="42">
        <f>Raw_Data_LI!D38/Raw_Data_LI!C38</f>
        <v/>
      </c>
      <c r="E38" s="5">
        <f>IF(AND(B38&gt;=cfg_li_poa_low_min,B38&lt;=cfg_li_poa_low_max),1,0)</f>
        <v/>
      </c>
      <c r="F38" s="5">
        <f>IF(AND(B38&gt;=cfg_li_poa_mid_min,B38&lt;=cfg_li_poa_mid_max),1,0)</f>
        <v/>
      </c>
    </row>
    <row r="39">
      <c r="A39" s="5">
        <f>Raw_Data_LI!A39</f>
        <v/>
      </c>
      <c r="B39" s="18">
        <f>Raw_Data_LI!C39</f>
        <v/>
      </c>
      <c r="C39" s="17">
        <f>Raw_Data_LI!D39</f>
        <v/>
      </c>
      <c r="D39" s="42">
        <f>Raw_Data_LI!D39/Raw_Data_LI!C39</f>
        <v/>
      </c>
      <c r="E39" s="5">
        <f>IF(AND(B39&gt;=cfg_li_poa_low_min,B39&lt;=cfg_li_poa_low_max),1,0)</f>
        <v/>
      </c>
      <c r="F39" s="5">
        <f>IF(AND(B39&gt;=cfg_li_poa_mid_min,B39&lt;=cfg_li_poa_mid_max),1,0)</f>
        <v/>
      </c>
    </row>
    <row r="40">
      <c r="A40" s="5">
        <f>Raw_Data_LI!A40</f>
        <v/>
      </c>
      <c r="B40" s="18">
        <f>Raw_Data_LI!C40</f>
        <v/>
      </c>
      <c r="C40" s="17">
        <f>Raw_Data_LI!D40</f>
        <v/>
      </c>
      <c r="D40" s="42">
        <f>Raw_Data_LI!D40/Raw_Data_LI!C40</f>
        <v/>
      </c>
      <c r="E40" s="5">
        <f>IF(AND(B40&gt;=cfg_li_poa_low_min,B40&lt;=cfg_li_poa_low_max),1,0)</f>
        <v/>
      </c>
      <c r="F40" s="5">
        <f>IF(AND(B40&gt;=cfg_li_poa_mid_min,B40&lt;=cfg_li_poa_mid_max),1,0)</f>
        <v/>
      </c>
    </row>
    <row r="41">
      <c r="A41" s="5">
        <f>Raw_Data_LI!A41</f>
        <v/>
      </c>
      <c r="B41" s="18">
        <f>Raw_Data_LI!C41</f>
        <v/>
      </c>
      <c r="C41" s="17">
        <f>Raw_Data_LI!D41</f>
        <v/>
      </c>
      <c r="D41" s="42">
        <f>Raw_Data_LI!D41/Raw_Data_LI!C41</f>
        <v/>
      </c>
      <c r="E41" s="5">
        <f>IF(AND(B41&gt;=cfg_li_poa_low_min,B41&lt;=cfg_li_poa_low_max),1,0)</f>
        <v/>
      </c>
      <c r="F41" s="5">
        <f>IF(AND(B41&gt;=cfg_li_poa_mid_min,B41&lt;=cfg_li_poa_mid_max),1,0)</f>
        <v/>
      </c>
    </row>
    <row r="42">
      <c r="A42" s="5">
        <f>Raw_Data_LI!A42</f>
        <v/>
      </c>
      <c r="B42" s="18">
        <f>Raw_Data_LI!C42</f>
        <v/>
      </c>
      <c r="C42" s="17">
        <f>Raw_Data_LI!D42</f>
        <v/>
      </c>
      <c r="D42" s="42">
        <f>Raw_Data_LI!D42/Raw_Data_LI!C42</f>
        <v/>
      </c>
      <c r="E42" s="5">
        <f>IF(AND(B42&gt;=cfg_li_poa_low_min,B42&lt;=cfg_li_poa_low_max),1,0)</f>
        <v/>
      </c>
      <c r="F42" s="5">
        <f>IF(AND(B42&gt;=cfg_li_poa_mid_min,B42&lt;=cfg_li_poa_mid_max),1,0)</f>
        <v/>
      </c>
    </row>
    <row r="43">
      <c r="A43" s="5">
        <f>Raw_Data_LI!A43</f>
        <v/>
      </c>
      <c r="B43" s="18">
        <f>Raw_Data_LI!C43</f>
        <v/>
      </c>
      <c r="C43" s="17">
        <f>Raw_Data_LI!D43</f>
        <v/>
      </c>
      <c r="D43" s="42">
        <f>Raw_Data_LI!D43/Raw_Data_LI!C43</f>
        <v/>
      </c>
      <c r="E43" s="5">
        <f>IF(AND(B43&gt;=cfg_li_poa_low_min,B43&lt;=cfg_li_poa_low_max),1,0)</f>
        <v/>
      </c>
      <c r="F43" s="5">
        <f>IF(AND(B43&gt;=cfg_li_poa_mid_min,B43&lt;=cfg_li_poa_mid_max),1,0)</f>
        <v/>
      </c>
    </row>
    <row r="44">
      <c r="A44" s="5">
        <f>Raw_Data_LI!A44</f>
        <v/>
      </c>
      <c r="B44" s="18">
        <f>Raw_Data_LI!C44</f>
        <v/>
      </c>
      <c r="C44" s="17">
        <f>Raw_Data_LI!D44</f>
        <v/>
      </c>
      <c r="D44" s="42">
        <f>Raw_Data_LI!D44/Raw_Data_LI!C44</f>
        <v/>
      </c>
      <c r="E44" s="5">
        <f>IF(AND(B44&gt;=cfg_li_poa_low_min,B44&lt;=cfg_li_poa_low_max),1,0)</f>
        <v/>
      </c>
      <c r="F44" s="5">
        <f>IF(AND(B44&gt;=cfg_li_poa_mid_min,B44&lt;=cfg_li_poa_mid_max),1,0)</f>
        <v/>
      </c>
    </row>
    <row r="45">
      <c r="A45" s="5">
        <f>Raw_Data_LI!A45</f>
        <v/>
      </c>
      <c r="B45" s="18">
        <f>Raw_Data_LI!C45</f>
        <v/>
      </c>
      <c r="C45" s="17">
        <f>Raw_Data_LI!D45</f>
        <v/>
      </c>
      <c r="D45" s="42">
        <f>Raw_Data_LI!D45/Raw_Data_LI!C45</f>
        <v/>
      </c>
      <c r="E45" s="5">
        <f>IF(AND(B45&gt;=cfg_li_poa_low_min,B45&lt;=cfg_li_poa_low_max),1,0)</f>
        <v/>
      </c>
      <c r="F45" s="5">
        <f>IF(AND(B45&gt;=cfg_li_poa_mid_min,B45&lt;=cfg_li_poa_mid_max),1,0)</f>
        <v/>
      </c>
    </row>
    <row r="46">
      <c r="A46" s="5">
        <f>Raw_Data_LI!A46</f>
        <v/>
      </c>
      <c r="B46" s="18">
        <f>Raw_Data_LI!C46</f>
        <v/>
      </c>
      <c r="C46" s="17">
        <f>Raw_Data_LI!D46</f>
        <v/>
      </c>
      <c r="D46" s="42">
        <f>Raw_Data_LI!D46/Raw_Data_LI!C46</f>
        <v/>
      </c>
      <c r="E46" s="5">
        <f>IF(AND(B46&gt;=cfg_li_poa_low_min,B46&lt;=cfg_li_poa_low_max),1,0)</f>
        <v/>
      </c>
      <c r="F46" s="5">
        <f>IF(AND(B46&gt;=cfg_li_poa_mid_min,B46&lt;=cfg_li_poa_mid_max),1,0)</f>
        <v/>
      </c>
    </row>
    <row r="47">
      <c r="A47" s="5">
        <f>Raw_Data_LI!A47</f>
        <v/>
      </c>
      <c r="B47" s="18">
        <f>Raw_Data_LI!C47</f>
        <v/>
      </c>
      <c r="C47" s="17">
        <f>Raw_Data_LI!D47</f>
        <v/>
      </c>
      <c r="D47" s="42">
        <f>Raw_Data_LI!D47/Raw_Data_LI!C47</f>
        <v/>
      </c>
      <c r="E47" s="5">
        <f>IF(AND(B47&gt;=cfg_li_poa_low_min,B47&lt;=cfg_li_poa_low_max),1,0)</f>
        <v/>
      </c>
      <c r="F47" s="5">
        <f>IF(AND(B47&gt;=cfg_li_poa_mid_min,B47&lt;=cfg_li_poa_mid_max),1,0)</f>
        <v/>
      </c>
    </row>
    <row r="48">
      <c r="A48" s="5">
        <f>Raw_Data_LI!A48</f>
        <v/>
      </c>
      <c r="B48" s="18">
        <f>Raw_Data_LI!C48</f>
        <v/>
      </c>
      <c r="C48" s="17">
        <f>Raw_Data_LI!D48</f>
        <v/>
      </c>
      <c r="D48" s="42">
        <f>Raw_Data_LI!D48/Raw_Data_LI!C48</f>
        <v/>
      </c>
      <c r="E48" s="5">
        <f>IF(AND(B48&gt;=cfg_li_poa_low_min,B48&lt;=cfg_li_poa_low_max),1,0)</f>
        <v/>
      </c>
      <c r="F48" s="5">
        <f>IF(AND(B48&gt;=cfg_li_poa_mid_min,B48&lt;=cfg_li_poa_mid_max),1,0)</f>
        <v/>
      </c>
    </row>
    <row r="49">
      <c r="A49" s="5">
        <f>Raw_Data_LI!A49</f>
        <v/>
      </c>
      <c r="B49" s="18">
        <f>Raw_Data_LI!C49</f>
        <v/>
      </c>
      <c r="C49" s="17">
        <f>Raw_Data_LI!D49</f>
        <v/>
      </c>
      <c r="D49" s="42">
        <f>Raw_Data_LI!D49/Raw_Data_LI!C49</f>
        <v/>
      </c>
      <c r="E49" s="5">
        <f>IF(AND(B49&gt;=cfg_li_poa_low_min,B49&lt;=cfg_li_poa_low_max),1,0)</f>
        <v/>
      </c>
      <c r="F49" s="5">
        <f>IF(AND(B49&gt;=cfg_li_poa_mid_min,B49&lt;=cfg_li_poa_mid_max),1,0)</f>
        <v/>
      </c>
    </row>
    <row r="50">
      <c r="A50" s="5">
        <f>Raw_Data_LI!A50</f>
        <v/>
      </c>
      <c r="B50" s="18">
        <f>Raw_Data_LI!C50</f>
        <v/>
      </c>
      <c r="C50" s="17">
        <f>Raw_Data_LI!D50</f>
        <v/>
      </c>
      <c r="D50" s="42">
        <f>Raw_Data_LI!D50/Raw_Data_LI!C50</f>
        <v/>
      </c>
      <c r="E50" s="5">
        <f>IF(AND(B50&gt;=cfg_li_poa_low_min,B50&lt;=cfg_li_poa_low_max),1,0)</f>
        <v/>
      </c>
      <c r="F50" s="5">
        <f>IF(AND(B50&gt;=cfg_li_poa_mid_min,B50&lt;=cfg_li_poa_mid_max),1,0)</f>
        <v/>
      </c>
    </row>
    <row r="51">
      <c r="A51" s="5">
        <f>Raw_Data_LI!A51</f>
        <v/>
      </c>
      <c r="B51" s="18">
        <f>Raw_Data_LI!C51</f>
        <v/>
      </c>
      <c r="C51" s="17">
        <f>Raw_Data_LI!D51</f>
        <v/>
      </c>
      <c r="D51" s="42">
        <f>Raw_Data_LI!D51/Raw_Data_LI!C51</f>
        <v/>
      </c>
      <c r="E51" s="5">
        <f>IF(AND(B51&gt;=cfg_li_poa_low_min,B51&lt;=cfg_li_poa_low_max),1,0)</f>
        <v/>
      </c>
      <c r="F51" s="5">
        <f>IF(AND(B51&gt;=cfg_li_poa_mid_min,B51&lt;=cfg_li_poa_mid_max),1,0)</f>
        <v/>
      </c>
    </row>
    <row r="52">
      <c r="A52" s="5">
        <f>Raw_Data_LI!A52</f>
        <v/>
      </c>
      <c r="B52" s="18">
        <f>Raw_Data_LI!C52</f>
        <v/>
      </c>
      <c r="C52" s="17">
        <f>Raw_Data_LI!D52</f>
        <v/>
      </c>
      <c r="D52" s="42">
        <f>Raw_Data_LI!D52/Raw_Data_LI!C52</f>
        <v/>
      </c>
      <c r="E52" s="5">
        <f>IF(AND(B52&gt;=cfg_li_poa_low_min,B52&lt;=cfg_li_poa_low_max),1,0)</f>
        <v/>
      </c>
      <c r="F52" s="5">
        <f>IF(AND(B52&gt;=cfg_li_poa_mid_min,B52&lt;=cfg_li_poa_mid_max),1,0)</f>
        <v/>
      </c>
    </row>
    <row r="53">
      <c r="A53" s="5">
        <f>Raw_Data_LI!A53</f>
        <v/>
      </c>
      <c r="B53" s="18">
        <f>Raw_Data_LI!C53</f>
        <v/>
      </c>
      <c r="C53" s="17">
        <f>Raw_Data_LI!D53</f>
        <v/>
      </c>
      <c r="D53" s="42">
        <f>Raw_Data_LI!D53/Raw_Data_LI!C53</f>
        <v/>
      </c>
      <c r="E53" s="5">
        <f>IF(AND(B53&gt;=cfg_li_poa_low_min,B53&lt;=cfg_li_poa_low_max),1,0)</f>
        <v/>
      </c>
      <c r="F53" s="5">
        <f>IF(AND(B53&gt;=cfg_li_poa_mid_min,B53&lt;=cfg_li_poa_mid_max),1,0)</f>
        <v/>
      </c>
    </row>
    <row r="54">
      <c r="A54" s="5">
        <f>Raw_Data_LI!A54</f>
        <v/>
      </c>
      <c r="B54" s="18">
        <f>Raw_Data_LI!C54</f>
        <v/>
      </c>
      <c r="C54" s="17">
        <f>Raw_Data_LI!D54</f>
        <v/>
      </c>
      <c r="D54" s="42">
        <f>Raw_Data_LI!D54/Raw_Data_LI!C54</f>
        <v/>
      </c>
      <c r="E54" s="5">
        <f>IF(AND(B54&gt;=cfg_li_poa_low_min,B54&lt;=cfg_li_poa_low_max),1,0)</f>
        <v/>
      </c>
      <c r="F54" s="5">
        <f>IF(AND(B54&gt;=cfg_li_poa_mid_min,B54&lt;=cfg_li_poa_mid_max),1,0)</f>
        <v/>
      </c>
    </row>
    <row r="55">
      <c r="A55" s="5">
        <f>Raw_Data_LI!A55</f>
        <v/>
      </c>
      <c r="B55" s="18">
        <f>Raw_Data_LI!C55</f>
        <v/>
      </c>
      <c r="C55" s="17">
        <f>Raw_Data_LI!D55</f>
        <v/>
      </c>
      <c r="D55" s="42">
        <f>Raw_Data_LI!D55/Raw_Data_LI!C55</f>
        <v/>
      </c>
      <c r="E55" s="5">
        <f>IF(AND(B55&gt;=cfg_li_poa_low_min,B55&lt;=cfg_li_poa_low_max),1,0)</f>
        <v/>
      </c>
      <c r="F55" s="5">
        <f>IF(AND(B55&gt;=cfg_li_poa_mid_min,B55&lt;=cfg_li_poa_mid_max),1,0)</f>
        <v/>
      </c>
    </row>
    <row r="56">
      <c r="A56" s="5">
        <f>Raw_Data_LI!A56</f>
        <v/>
      </c>
      <c r="B56" s="18">
        <f>Raw_Data_LI!C56</f>
        <v/>
      </c>
      <c r="C56" s="17">
        <f>Raw_Data_LI!D56</f>
        <v/>
      </c>
      <c r="D56" s="42">
        <f>Raw_Data_LI!D56/Raw_Data_LI!C56</f>
        <v/>
      </c>
      <c r="E56" s="5">
        <f>IF(AND(B56&gt;=cfg_li_poa_low_min,B56&lt;=cfg_li_poa_low_max),1,0)</f>
        <v/>
      </c>
      <c r="F56" s="5">
        <f>IF(AND(B56&gt;=cfg_li_poa_mid_min,B56&lt;=cfg_li_poa_mid_max),1,0)</f>
        <v/>
      </c>
    </row>
    <row r="57">
      <c r="A57" s="5">
        <f>Raw_Data_LI!A57</f>
        <v/>
      </c>
      <c r="B57" s="18">
        <f>Raw_Data_LI!C57</f>
        <v/>
      </c>
      <c r="C57" s="17">
        <f>Raw_Data_LI!D57</f>
        <v/>
      </c>
      <c r="D57" s="42">
        <f>Raw_Data_LI!D57/Raw_Data_LI!C57</f>
        <v/>
      </c>
      <c r="E57" s="5">
        <f>IF(AND(B57&gt;=cfg_li_poa_low_min,B57&lt;=cfg_li_poa_low_max),1,0)</f>
        <v/>
      </c>
      <c r="F57" s="5">
        <f>IF(AND(B57&gt;=cfg_li_poa_mid_min,B57&lt;=cfg_li_poa_mid_max),1,0)</f>
        <v/>
      </c>
    </row>
    <row r="58">
      <c r="A58" s="5">
        <f>Raw_Data_LI!A58</f>
        <v/>
      </c>
      <c r="B58" s="18">
        <f>Raw_Data_LI!C58</f>
        <v/>
      </c>
      <c r="C58" s="17">
        <f>Raw_Data_LI!D58</f>
        <v/>
      </c>
      <c r="D58" s="42">
        <f>Raw_Data_LI!D58/Raw_Data_LI!C58</f>
        <v/>
      </c>
      <c r="E58" s="5">
        <f>IF(AND(B58&gt;=cfg_li_poa_low_min,B58&lt;=cfg_li_poa_low_max),1,0)</f>
        <v/>
      </c>
      <c r="F58" s="5">
        <f>IF(AND(B58&gt;=cfg_li_poa_mid_min,B58&lt;=cfg_li_poa_mid_max),1,0)</f>
        <v/>
      </c>
    </row>
    <row r="59">
      <c r="A59" s="5">
        <f>Raw_Data_LI!A59</f>
        <v/>
      </c>
      <c r="B59" s="18">
        <f>Raw_Data_LI!C59</f>
        <v/>
      </c>
      <c r="C59" s="17">
        <f>Raw_Data_LI!D59</f>
        <v/>
      </c>
      <c r="D59" s="42">
        <f>Raw_Data_LI!D59/Raw_Data_LI!C59</f>
        <v/>
      </c>
      <c r="E59" s="5">
        <f>IF(AND(B59&gt;=cfg_li_poa_low_min,B59&lt;=cfg_li_poa_low_max),1,0)</f>
        <v/>
      </c>
      <c r="F59" s="5">
        <f>IF(AND(B59&gt;=cfg_li_poa_mid_min,B59&lt;=cfg_li_poa_mid_max),1,0)</f>
        <v/>
      </c>
    </row>
    <row r="60">
      <c r="A60" s="5">
        <f>Raw_Data_LI!A60</f>
        <v/>
      </c>
      <c r="B60" s="18">
        <f>Raw_Data_LI!C60</f>
        <v/>
      </c>
      <c r="C60" s="17">
        <f>Raw_Data_LI!D60</f>
        <v/>
      </c>
      <c r="D60" s="42">
        <f>Raw_Data_LI!D60/Raw_Data_LI!C60</f>
        <v/>
      </c>
      <c r="E60" s="5">
        <f>IF(AND(B60&gt;=cfg_li_poa_low_min,B60&lt;=cfg_li_poa_low_max),1,0)</f>
        <v/>
      </c>
      <c r="F60" s="5">
        <f>IF(AND(B60&gt;=cfg_li_poa_mid_min,B60&lt;=cfg_li_poa_mid_max),1,0)</f>
        <v/>
      </c>
    </row>
    <row r="61">
      <c r="A61" s="5">
        <f>Raw_Data_LI!A61</f>
        <v/>
      </c>
      <c r="B61" s="18">
        <f>Raw_Data_LI!C61</f>
        <v/>
      </c>
      <c r="C61" s="17">
        <f>Raw_Data_LI!D61</f>
        <v/>
      </c>
      <c r="D61" s="42">
        <f>Raw_Data_LI!D61/Raw_Data_LI!C61</f>
        <v/>
      </c>
      <c r="E61" s="5">
        <f>IF(AND(B61&gt;=cfg_li_poa_low_min,B61&lt;=cfg_li_poa_low_max),1,0)</f>
        <v/>
      </c>
      <c r="F61" s="5">
        <f>IF(AND(B61&gt;=cfg_li_poa_mid_min,B61&lt;=cfg_li_poa_mid_max),1,0)</f>
        <v/>
      </c>
    </row>
    <row r="62">
      <c r="A62" s="5">
        <f>Raw_Data_LI!A62</f>
        <v/>
      </c>
      <c r="B62" s="18">
        <f>Raw_Data_LI!C62</f>
        <v/>
      </c>
      <c r="C62" s="17">
        <f>Raw_Data_LI!D62</f>
        <v/>
      </c>
      <c r="D62" s="42">
        <f>Raw_Data_LI!D62/Raw_Data_LI!C62</f>
        <v/>
      </c>
      <c r="E62" s="5">
        <f>IF(AND(B62&gt;=cfg_li_poa_low_min,B62&lt;=cfg_li_poa_low_max),1,0)</f>
        <v/>
      </c>
      <c r="F62" s="5">
        <f>IF(AND(B62&gt;=cfg_li_poa_mid_min,B62&lt;=cfg_li_poa_mid_max),1,0)</f>
        <v/>
      </c>
    </row>
    <row r="63">
      <c r="A63" s="5">
        <f>Raw_Data_LI!A63</f>
        <v/>
      </c>
      <c r="B63" s="18">
        <f>Raw_Data_LI!C63</f>
        <v/>
      </c>
      <c r="C63" s="17">
        <f>Raw_Data_LI!D63</f>
        <v/>
      </c>
      <c r="D63" s="42">
        <f>Raw_Data_LI!D63/Raw_Data_LI!C63</f>
        <v/>
      </c>
      <c r="E63" s="5">
        <f>IF(AND(B63&gt;=cfg_li_poa_low_min,B63&lt;=cfg_li_poa_low_max),1,0)</f>
        <v/>
      </c>
      <c r="F63" s="5">
        <f>IF(AND(B63&gt;=cfg_li_poa_mid_min,B63&lt;=cfg_li_poa_mid_max),1,0)</f>
        <v/>
      </c>
    </row>
    <row r="64">
      <c r="A64" s="5">
        <f>Raw_Data_LI!A64</f>
        <v/>
      </c>
      <c r="B64" s="18">
        <f>Raw_Data_LI!C64</f>
        <v/>
      </c>
      <c r="C64" s="17">
        <f>Raw_Data_LI!D64</f>
        <v/>
      </c>
      <c r="D64" s="42">
        <f>Raw_Data_LI!D64/Raw_Data_LI!C64</f>
        <v/>
      </c>
      <c r="E64" s="5">
        <f>IF(AND(B64&gt;=cfg_li_poa_low_min,B64&lt;=cfg_li_poa_low_max),1,0)</f>
        <v/>
      </c>
      <c r="F64" s="5">
        <f>IF(AND(B64&gt;=cfg_li_poa_mid_min,B64&lt;=cfg_li_poa_mid_max),1,0)</f>
        <v/>
      </c>
    </row>
    <row r="65">
      <c r="A65" s="5">
        <f>Raw_Data_LI!A65</f>
        <v/>
      </c>
      <c r="B65" s="18">
        <f>Raw_Data_LI!C65</f>
        <v/>
      </c>
      <c r="C65" s="17">
        <f>Raw_Data_LI!D65</f>
        <v/>
      </c>
      <c r="D65" s="42">
        <f>Raw_Data_LI!D65/Raw_Data_LI!C65</f>
        <v/>
      </c>
      <c r="E65" s="5">
        <f>IF(AND(B65&gt;=cfg_li_poa_low_min,B65&lt;=cfg_li_poa_low_max),1,0)</f>
        <v/>
      </c>
      <c r="F65" s="5">
        <f>IF(AND(B65&gt;=cfg_li_poa_mid_min,B65&lt;=cfg_li_poa_mid_max),1,0)</f>
        <v/>
      </c>
    </row>
    <row r="66">
      <c r="A66" s="5">
        <f>Raw_Data_LI!A66</f>
        <v/>
      </c>
      <c r="B66" s="18">
        <f>Raw_Data_LI!C66</f>
        <v/>
      </c>
      <c r="C66" s="17">
        <f>Raw_Data_LI!D66</f>
        <v/>
      </c>
      <c r="D66" s="42">
        <f>Raw_Data_LI!D66/Raw_Data_LI!C66</f>
        <v/>
      </c>
      <c r="E66" s="5">
        <f>IF(AND(B66&gt;=cfg_li_poa_low_min,B66&lt;=cfg_li_poa_low_max),1,0)</f>
        <v/>
      </c>
      <c r="F66" s="5">
        <f>IF(AND(B66&gt;=cfg_li_poa_mid_min,B66&lt;=cfg_li_poa_mid_max),1,0)</f>
        <v/>
      </c>
    </row>
    <row r="67">
      <c r="A67" s="5">
        <f>Raw_Data_LI!A67</f>
        <v/>
      </c>
      <c r="B67" s="18">
        <f>Raw_Data_LI!C67</f>
        <v/>
      </c>
      <c r="C67" s="17">
        <f>Raw_Data_LI!D67</f>
        <v/>
      </c>
      <c r="D67" s="42">
        <f>Raw_Data_LI!D67/Raw_Data_LI!C67</f>
        <v/>
      </c>
      <c r="E67" s="5">
        <f>IF(AND(B67&gt;=cfg_li_poa_low_min,B67&lt;=cfg_li_poa_low_max),1,0)</f>
        <v/>
      </c>
      <c r="F67" s="5">
        <f>IF(AND(B67&gt;=cfg_li_poa_mid_min,B67&lt;=cfg_li_poa_mid_max),1,0)</f>
        <v/>
      </c>
    </row>
    <row r="68">
      <c r="A68" s="5">
        <f>Raw_Data_LI!A68</f>
        <v/>
      </c>
      <c r="B68" s="18">
        <f>Raw_Data_LI!C68</f>
        <v/>
      </c>
      <c r="C68" s="17">
        <f>Raw_Data_LI!D68</f>
        <v/>
      </c>
      <c r="D68" s="42">
        <f>Raw_Data_LI!D68/Raw_Data_LI!C68</f>
        <v/>
      </c>
      <c r="E68" s="5">
        <f>IF(AND(B68&gt;=cfg_li_poa_low_min,B68&lt;=cfg_li_poa_low_max),1,0)</f>
        <v/>
      </c>
      <c r="F68" s="5">
        <f>IF(AND(B68&gt;=cfg_li_poa_mid_min,B68&lt;=cfg_li_poa_mid_max),1,0)</f>
        <v/>
      </c>
    </row>
    <row r="69">
      <c r="A69" s="5">
        <f>Raw_Data_LI!A69</f>
        <v/>
      </c>
      <c r="B69" s="18">
        <f>Raw_Data_LI!C69</f>
        <v/>
      </c>
      <c r="C69" s="17">
        <f>Raw_Data_LI!D69</f>
        <v/>
      </c>
      <c r="D69" s="42">
        <f>Raw_Data_LI!D69/Raw_Data_LI!C69</f>
        <v/>
      </c>
      <c r="E69" s="5">
        <f>IF(AND(B69&gt;=cfg_li_poa_low_min,B69&lt;=cfg_li_poa_low_max),1,0)</f>
        <v/>
      </c>
      <c r="F69" s="5">
        <f>IF(AND(B69&gt;=cfg_li_poa_mid_min,B69&lt;=cfg_li_poa_mid_max),1,0)</f>
        <v/>
      </c>
    </row>
    <row r="70">
      <c r="A70" s="5">
        <f>Raw_Data_LI!A70</f>
        <v/>
      </c>
      <c r="B70" s="18">
        <f>Raw_Data_LI!C70</f>
        <v/>
      </c>
      <c r="C70" s="17">
        <f>Raw_Data_LI!D70</f>
        <v/>
      </c>
      <c r="D70" s="42">
        <f>Raw_Data_LI!D70/Raw_Data_LI!C70</f>
        <v/>
      </c>
      <c r="E70" s="5">
        <f>IF(AND(B70&gt;=cfg_li_poa_low_min,B70&lt;=cfg_li_poa_low_max),1,0)</f>
        <v/>
      </c>
      <c r="F70" s="5">
        <f>IF(AND(B70&gt;=cfg_li_poa_mid_min,B70&lt;=cfg_li_poa_mid_max),1,0)</f>
        <v/>
      </c>
    </row>
    <row r="71">
      <c r="A71" s="5">
        <f>Raw_Data_LI!A71</f>
        <v/>
      </c>
      <c r="B71" s="18">
        <f>Raw_Data_LI!C71</f>
        <v/>
      </c>
      <c r="C71" s="17">
        <f>Raw_Data_LI!D71</f>
        <v/>
      </c>
      <c r="D71" s="42">
        <f>Raw_Data_LI!D71/Raw_Data_LI!C71</f>
        <v/>
      </c>
      <c r="E71" s="5">
        <f>IF(AND(B71&gt;=cfg_li_poa_low_min,B71&lt;=cfg_li_poa_low_max),1,0)</f>
        <v/>
      </c>
      <c r="F71" s="5">
        <f>IF(AND(B71&gt;=cfg_li_poa_mid_min,B71&lt;=cfg_li_poa_mid_max),1,0)</f>
        <v/>
      </c>
    </row>
    <row r="72">
      <c r="A72" s="5">
        <f>Raw_Data_LI!A72</f>
        <v/>
      </c>
      <c r="B72" s="18">
        <f>Raw_Data_LI!C72</f>
        <v/>
      </c>
      <c r="C72" s="17">
        <f>Raw_Data_LI!D72</f>
        <v/>
      </c>
      <c r="D72" s="42">
        <f>Raw_Data_LI!D72/Raw_Data_LI!C72</f>
        <v/>
      </c>
      <c r="E72" s="5">
        <f>IF(AND(B72&gt;=cfg_li_poa_low_min,B72&lt;=cfg_li_poa_low_max),1,0)</f>
        <v/>
      </c>
      <c r="F72" s="5">
        <f>IF(AND(B72&gt;=cfg_li_poa_mid_min,B72&lt;=cfg_li_poa_mid_max),1,0)</f>
        <v/>
      </c>
    </row>
    <row r="73">
      <c r="A73" s="5">
        <f>Raw_Data_LI!A73</f>
        <v/>
      </c>
      <c r="B73" s="18">
        <f>Raw_Data_LI!C73</f>
        <v/>
      </c>
      <c r="C73" s="17">
        <f>Raw_Data_LI!D73</f>
        <v/>
      </c>
      <c r="D73" s="42">
        <f>Raw_Data_LI!D73/Raw_Data_LI!C73</f>
        <v/>
      </c>
      <c r="E73" s="5">
        <f>IF(AND(B73&gt;=cfg_li_poa_low_min,B73&lt;=cfg_li_poa_low_max),1,0)</f>
        <v/>
      </c>
      <c r="F73" s="5">
        <f>IF(AND(B73&gt;=cfg_li_poa_mid_min,B73&lt;=cfg_li_poa_mid_max),1,0)</f>
        <v/>
      </c>
    </row>
    <row r="74">
      <c r="A74" s="5">
        <f>Raw_Data_LI!A74</f>
        <v/>
      </c>
      <c r="B74" s="18">
        <f>Raw_Data_LI!C74</f>
        <v/>
      </c>
      <c r="C74" s="17">
        <f>Raw_Data_LI!D74</f>
        <v/>
      </c>
      <c r="D74" s="42">
        <f>Raw_Data_LI!D74/Raw_Data_LI!C74</f>
        <v/>
      </c>
      <c r="E74" s="5">
        <f>IF(AND(B74&gt;=cfg_li_poa_low_min,B74&lt;=cfg_li_poa_low_max),1,0)</f>
        <v/>
      </c>
      <c r="F74" s="5">
        <f>IF(AND(B74&gt;=cfg_li_poa_mid_min,B74&lt;=cfg_li_poa_mid_max),1,0)</f>
        <v/>
      </c>
    </row>
    <row r="75">
      <c r="A75" s="5">
        <f>Raw_Data_LI!A75</f>
        <v/>
      </c>
      <c r="B75" s="18">
        <f>Raw_Data_LI!C75</f>
        <v/>
      </c>
      <c r="C75" s="17">
        <f>Raw_Data_LI!D75</f>
        <v/>
      </c>
      <c r="D75" s="42">
        <f>Raw_Data_LI!D75/Raw_Data_LI!C75</f>
        <v/>
      </c>
      <c r="E75" s="5">
        <f>IF(AND(B75&gt;=cfg_li_poa_low_min,B75&lt;=cfg_li_poa_low_max),1,0)</f>
        <v/>
      </c>
      <c r="F75" s="5">
        <f>IF(AND(B75&gt;=cfg_li_poa_mid_min,B75&lt;=cfg_li_poa_mid_max),1,0)</f>
        <v/>
      </c>
    </row>
    <row r="76">
      <c r="A76" s="5">
        <f>Raw_Data_LI!A76</f>
        <v/>
      </c>
      <c r="B76" s="18">
        <f>Raw_Data_LI!C76</f>
        <v/>
      </c>
      <c r="C76" s="17">
        <f>Raw_Data_LI!D76</f>
        <v/>
      </c>
      <c r="D76" s="42">
        <f>Raw_Data_LI!D76/Raw_Data_LI!C76</f>
        <v/>
      </c>
      <c r="E76" s="5">
        <f>IF(AND(B76&gt;=cfg_li_poa_low_min,B76&lt;=cfg_li_poa_low_max),1,0)</f>
        <v/>
      </c>
      <c r="F76" s="5">
        <f>IF(AND(B76&gt;=cfg_li_poa_mid_min,B76&lt;=cfg_li_poa_mid_max),1,0)</f>
        <v/>
      </c>
    </row>
    <row r="77">
      <c r="A77" s="5">
        <f>Raw_Data_LI!A77</f>
        <v/>
      </c>
      <c r="B77" s="18">
        <f>Raw_Data_LI!C77</f>
        <v/>
      </c>
      <c r="C77" s="17">
        <f>Raw_Data_LI!D77</f>
        <v/>
      </c>
      <c r="D77" s="42">
        <f>Raw_Data_LI!D77/Raw_Data_LI!C77</f>
        <v/>
      </c>
      <c r="E77" s="5">
        <f>IF(AND(B77&gt;=cfg_li_poa_low_min,B77&lt;=cfg_li_poa_low_max),1,0)</f>
        <v/>
      </c>
      <c r="F77" s="5">
        <f>IF(AND(B77&gt;=cfg_li_poa_mid_min,B77&lt;=cfg_li_poa_mid_max),1,0)</f>
        <v/>
      </c>
    </row>
    <row r="78">
      <c r="A78" s="5">
        <f>Raw_Data_LI!A78</f>
        <v/>
      </c>
      <c r="B78" s="18">
        <f>Raw_Data_LI!C78</f>
        <v/>
      </c>
      <c r="C78" s="17">
        <f>Raw_Data_LI!D78</f>
        <v/>
      </c>
      <c r="D78" s="42">
        <f>Raw_Data_LI!D78/Raw_Data_LI!C78</f>
        <v/>
      </c>
      <c r="E78" s="5">
        <f>IF(AND(B78&gt;=cfg_li_poa_low_min,B78&lt;=cfg_li_poa_low_max),1,0)</f>
        <v/>
      </c>
      <c r="F78" s="5">
        <f>IF(AND(B78&gt;=cfg_li_poa_mid_min,B78&lt;=cfg_li_poa_mid_max),1,0)</f>
        <v/>
      </c>
    </row>
    <row r="79">
      <c r="A79" s="5">
        <f>Raw_Data_LI!A79</f>
        <v/>
      </c>
      <c r="B79" s="18">
        <f>Raw_Data_LI!C79</f>
        <v/>
      </c>
      <c r="C79" s="17">
        <f>Raw_Data_LI!D79</f>
        <v/>
      </c>
      <c r="D79" s="42">
        <f>Raw_Data_LI!D79/Raw_Data_LI!C79</f>
        <v/>
      </c>
      <c r="E79" s="5">
        <f>IF(AND(B79&gt;=cfg_li_poa_low_min,B79&lt;=cfg_li_poa_low_max),1,0)</f>
        <v/>
      </c>
      <c r="F79" s="5">
        <f>IF(AND(B79&gt;=cfg_li_poa_mid_min,B79&lt;=cfg_li_poa_mid_max),1,0)</f>
        <v/>
      </c>
    </row>
    <row r="80">
      <c r="A80" s="5">
        <f>Raw_Data_LI!A80</f>
        <v/>
      </c>
      <c r="B80" s="18">
        <f>Raw_Data_LI!C80</f>
        <v/>
      </c>
      <c r="C80" s="17">
        <f>Raw_Data_LI!D80</f>
        <v/>
      </c>
      <c r="D80" s="42">
        <f>Raw_Data_LI!D80/Raw_Data_LI!C80</f>
        <v/>
      </c>
      <c r="E80" s="5">
        <f>IF(AND(B80&gt;=cfg_li_poa_low_min,B80&lt;=cfg_li_poa_low_max),1,0)</f>
        <v/>
      </c>
      <c r="F80" s="5">
        <f>IF(AND(B80&gt;=cfg_li_poa_mid_min,B80&lt;=cfg_li_poa_mid_max),1,0)</f>
        <v/>
      </c>
    </row>
    <row r="81">
      <c r="A81" s="5">
        <f>Raw_Data_LI!A81</f>
        <v/>
      </c>
      <c r="B81" s="18">
        <f>Raw_Data_LI!C81</f>
        <v/>
      </c>
      <c r="C81" s="17">
        <f>Raw_Data_LI!D81</f>
        <v/>
      </c>
      <c r="D81" s="42">
        <f>Raw_Data_LI!D81/Raw_Data_LI!C81</f>
        <v/>
      </c>
      <c r="E81" s="5">
        <f>IF(AND(B81&gt;=cfg_li_poa_low_min,B81&lt;=cfg_li_poa_low_max),1,0)</f>
        <v/>
      </c>
      <c r="F81" s="5">
        <f>IF(AND(B81&gt;=cfg_li_poa_mid_min,B81&lt;=cfg_li_poa_mid_max),1,0)</f>
        <v/>
      </c>
    </row>
    <row r="82">
      <c r="A82" s="5">
        <f>Raw_Data_LI!A82</f>
        <v/>
      </c>
      <c r="B82" s="18">
        <f>Raw_Data_LI!C82</f>
        <v/>
      </c>
      <c r="C82" s="17">
        <f>Raw_Data_LI!D82</f>
        <v/>
      </c>
      <c r="D82" s="42">
        <f>Raw_Data_LI!D82/Raw_Data_LI!C82</f>
        <v/>
      </c>
      <c r="E82" s="5">
        <f>IF(AND(B82&gt;=cfg_li_poa_low_min,B82&lt;=cfg_li_poa_low_max),1,0)</f>
        <v/>
      </c>
      <c r="F82" s="5">
        <f>IF(AND(B82&gt;=cfg_li_poa_mid_min,B82&lt;=cfg_li_poa_mid_max),1,0)</f>
        <v/>
      </c>
    </row>
    <row r="83">
      <c r="A83" s="5">
        <f>Raw_Data_LI!A83</f>
        <v/>
      </c>
      <c r="B83" s="18">
        <f>Raw_Data_LI!C83</f>
        <v/>
      </c>
      <c r="C83" s="17">
        <f>Raw_Data_LI!D83</f>
        <v/>
      </c>
      <c r="D83" s="42">
        <f>Raw_Data_LI!D83/Raw_Data_LI!C83</f>
        <v/>
      </c>
      <c r="E83" s="5">
        <f>IF(AND(B83&gt;=cfg_li_poa_low_min,B83&lt;=cfg_li_poa_low_max),1,0)</f>
        <v/>
      </c>
      <c r="F83" s="5">
        <f>IF(AND(B83&gt;=cfg_li_poa_mid_min,B83&lt;=cfg_li_poa_mid_max),1,0)</f>
        <v/>
      </c>
    </row>
    <row r="84">
      <c r="A84" s="5">
        <f>Raw_Data_LI!A84</f>
        <v/>
      </c>
      <c r="B84" s="18">
        <f>Raw_Data_LI!C84</f>
        <v/>
      </c>
      <c r="C84" s="17">
        <f>Raw_Data_LI!D84</f>
        <v/>
      </c>
      <c r="D84" s="42">
        <f>Raw_Data_LI!D84/Raw_Data_LI!C84</f>
        <v/>
      </c>
      <c r="E84" s="5">
        <f>IF(AND(B84&gt;=cfg_li_poa_low_min,B84&lt;=cfg_li_poa_low_max),1,0)</f>
        <v/>
      </c>
      <c r="F84" s="5">
        <f>IF(AND(B84&gt;=cfg_li_poa_mid_min,B84&lt;=cfg_li_poa_mid_max),1,0)</f>
        <v/>
      </c>
    </row>
    <row r="85">
      <c r="A85" s="5">
        <f>Raw_Data_LI!A85</f>
        <v/>
      </c>
      <c r="B85" s="18">
        <f>Raw_Data_LI!C85</f>
        <v/>
      </c>
      <c r="C85" s="17">
        <f>Raw_Data_LI!D85</f>
        <v/>
      </c>
      <c r="D85" s="42">
        <f>Raw_Data_LI!D85/Raw_Data_LI!C85</f>
        <v/>
      </c>
      <c r="E85" s="5">
        <f>IF(AND(B85&gt;=cfg_li_poa_low_min,B85&lt;=cfg_li_poa_low_max),1,0)</f>
        <v/>
      </c>
      <c r="F85" s="5">
        <f>IF(AND(B85&gt;=cfg_li_poa_mid_min,B85&lt;=cfg_li_poa_mid_max),1,0)</f>
        <v/>
      </c>
    </row>
    <row r="86">
      <c r="A86" s="5">
        <f>Raw_Data_LI!A86</f>
        <v/>
      </c>
      <c r="B86" s="18">
        <f>Raw_Data_LI!C86</f>
        <v/>
      </c>
      <c r="C86" s="17">
        <f>Raw_Data_LI!D86</f>
        <v/>
      </c>
      <c r="D86" s="42">
        <f>Raw_Data_LI!D86/Raw_Data_LI!C86</f>
        <v/>
      </c>
      <c r="E86" s="5">
        <f>IF(AND(B86&gt;=cfg_li_poa_low_min,B86&lt;=cfg_li_poa_low_max),1,0)</f>
        <v/>
      </c>
      <c r="F86" s="5">
        <f>IF(AND(B86&gt;=cfg_li_poa_mid_min,B86&lt;=cfg_li_poa_mid_max),1,0)</f>
        <v/>
      </c>
    </row>
    <row r="87">
      <c r="A87" s="5">
        <f>Raw_Data_LI!A87</f>
        <v/>
      </c>
      <c r="B87" s="18">
        <f>Raw_Data_LI!C87</f>
        <v/>
      </c>
      <c r="C87" s="17">
        <f>Raw_Data_LI!D87</f>
        <v/>
      </c>
      <c r="D87" s="42">
        <f>Raw_Data_LI!D87/Raw_Data_LI!C87</f>
        <v/>
      </c>
      <c r="E87" s="5">
        <f>IF(AND(B87&gt;=cfg_li_poa_low_min,B87&lt;=cfg_li_poa_low_max),1,0)</f>
        <v/>
      </c>
      <c r="F87" s="5">
        <f>IF(AND(B87&gt;=cfg_li_poa_mid_min,B87&lt;=cfg_li_poa_mid_max),1,0)</f>
        <v/>
      </c>
    </row>
    <row r="88">
      <c r="A88" s="5">
        <f>Raw_Data_LI!A88</f>
        <v/>
      </c>
      <c r="B88" s="18">
        <f>Raw_Data_LI!C88</f>
        <v/>
      </c>
      <c r="C88" s="17">
        <f>Raw_Data_LI!D88</f>
        <v/>
      </c>
      <c r="D88" s="42">
        <f>Raw_Data_LI!D88/Raw_Data_LI!C88</f>
        <v/>
      </c>
      <c r="E88" s="5">
        <f>IF(AND(B88&gt;=cfg_li_poa_low_min,B88&lt;=cfg_li_poa_low_max),1,0)</f>
        <v/>
      </c>
      <c r="F88" s="5">
        <f>IF(AND(B88&gt;=cfg_li_poa_mid_min,B88&lt;=cfg_li_poa_mid_max),1,0)</f>
        <v/>
      </c>
    </row>
    <row r="89">
      <c r="A89" s="5">
        <f>Raw_Data_LI!A89</f>
        <v/>
      </c>
      <c r="B89" s="18">
        <f>Raw_Data_LI!C89</f>
        <v/>
      </c>
      <c r="C89" s="17">
        <f>Raw_Data_LI!D89</f>
        <v/>
      </c>
      <c r="D89" s="42">
        <f>Raw_Data_LI!D89/Raw_Data_LI!C89</f>
        <v/>
      </c>
      <c r="E89" s="5">
        <f>IF(AND(B89&gt;=cfg_li_poa_low_min,B89&lt;=cfg_li_poa_low_max),1,0)</f>
        <v/>
      </c>
      <c r="F89" s="5">
        <f>IF(AND(B89&gt;=cfg_li_poa_mid_min,B89&lt;=cfg_li_poa_mid_max),1,0)</f>
        <v/>
      </c>
    </row>
    <row r="90">
      <c r="A90" s="5">
        <f>Raw_Data_LI!A90</f>
        <v/>
      </c>
      <c r="B90" s="18">
        <f>Raw_Data_LI!C90</f>
        <v/>
      </c>
      <c r="C90" s="17">
        <f>Raw_Data_LI!D90</f>
        <v/>
      </c>
      <c r="D90" s="42">
        <f>Raw_Data_LI!D90/Raw_Data_LI!C90</f>
        <v/>
      </c>
      <c r="E90" s="5">
        <f>IF(AND(B90&gt;=cfg_li_poa_low_min,B90&lt;=cfg_li_poa_low_max),1,0)</f>
        <v/>
      </c>
      <c r="F90" s="5">
        <f>IF(AND(B90&gt;=cfg_li_poa_mid_min,B90&lt;=cfg_li_poa_mid_max),1,0)</f>
        <v/>
      </c>
    </row>
    <row r="91">
      <c r="A91" s="5">
        <f>Raw_Data_LI!A91</f>
        <v/>
      </c>
      <c r="B91" s="18">
        <f>Raw_Data_LI!C91</f>
        <v/>
      </c>
      <c r="C91" s="17">
        <f>Raw_Data_LI!D91</f>
        <v/>
      </c>
      <c r="D91" s="42">
        <f>Raw_Data_LI!D91/Raw_Data_LI!C91</f>
        <v/>
      </c>
      <c r="E91" s="5">
        <f>IF(AND(B91&gt;=cfg_li_poa_low_min,B91&lt;=cfg_li_poa_low_max),1,0)</f>
        <v/>
      </c>
      <c r="F91" s="5">
        <f>IF(AND(B91&gt;=cfg_li_poa_mid_min,B91&lt;=cfg_li_poa_mid_max),1,0)</f>
        <v/>
      </c>
    </row>
    <row r="92">
      <c r="A92" s="5">
        <f>Raw_Data_LI!A92</f>
        <v/>
      </c>
      <c r="B92" s="18">
        <f>Raw_Data_LI!C92</f>
        <v/>
      </c>
      <c r="C92" s="17">
        <f>Raw_Data_LI!D92</f>
        <v/>
      </c>
      <c r="D92" s="42">
        <f>Raw_Data_LI!D92/Raw_Data_LI!C92</f>
        <v/>
      </c>
      <c r="E92" s="5">
        <f>IF(AND(B92&gt;=cfg_li_poa_low_min,B92&lt;=cfg_li_poa_low_max),1,0)</f>
        <v/>
      </c>
      <c r="F92" s="5">
        <f>IF(AND(B92&gt;=cfg_li_poa_mid_min,B92&lt;=cfg_li_poa_mid_max),1,0)</f>
        <v/>
      </c>
    </row>
    <row r="93">
      <c r="A93" s="5">
        <f>Raw_Data_LI!A93</f>
        <v/>
      </c>
      <c r="B93" s="18">
        <f>Raw_Data_LI!C93</f>
        <v/>
      </c>
      <c r="C93" s="17">
        <f>Raw_Data_LI!D93</f>
        <v/>
      </c>
      <c r="D93" s="42">
        <f>Raw_Data_LI!D93/Raw_Data_LI!C93</f>
        <v/>
      </c>
      <c r="E93" s="5">
        <f>IF(AND(B93&gt;=cfg_li_poa_low_min,B93&lt;=cfg_li_poa_low_max),1,0)</f>
        <v/>
      </c>
      <c r="F93" s="5">
        <f>IF(AND(B93&gt;=cfg_li_poa_mid_min,B93&lt;=cfg_li_poa_mid_max),1,0)</f>
        <v/>
      </c>
    </row>
    <row r="94">
      <c r="A94" s="5">
        <f>Raw_Data_LI!A94</f>
        <v/>
      </c>
      <c r="B94" s="18">
        <f>Raw_Data_LI!C94</f>
        <v/>
      </c>
      <c r="C94" s="17">
        <f>Raw_Data_LI!D94</f>
        <v/>
      </c>
      <c r="D94" s="42">
        <f>Raw_Data_LI!D94/Raw_Data_LI!C94</f>
        <v/>
      </c>
      <c r="E94" s="5">
        <f>IF(AND(B94&gt;=cfg_li_poa_low_min,B94&lt;=cfg_li_poa_low_max),1,0)</f>
        <v/>
      </c>
      <c r="F94" s="5">
        <f>IF(AND(B94&gt;=cfg_li_poa_mid_min,B94&lt;=cfg_li_poa_mid_max),1,0)</f>
        <v/>
      </c>
    </row>
    <row r="95">
      <c r="A95" s="5">
        <f>Raw_Data_LI!A95</f>
        <v/>
      </c>
      <c r="B95" s="18">
        <f>Raw_Data_LI!C95</f>
        <v/>
      </c>
      <c r="C95" s="17">
        <f>Raw_Data_LI!D95</f>
        <v/>
      </c>
      <c r="D95" s="42">
        <f>Raw_Data_LI!D95/Raw_Data_LI!C95</f>
        <v/>
      </c>
      <c r="E95" s="5">
        <f>IF(AND(B95&gt;=cfg_li_poa_low_min,B95&lt;=cfg_li_poa_low_max),1,0)</f>
        <v/>
      </c>
      <c r="F95" s="5">
        <f>IF(AND(B95&gt;=cfg_li_poa_mid_min,B95&lt;=cfg_li_poa_mid_max),1,0)</f>
        <v/>
      </c>
    </row>
    <row r="96">
      <c r="A96" s="5">
        <f>Raw_Data_LI!A96</f>
        <v/>
      </c>
      <c r="B96" s="18">
        <f>Raw_Data_LI!C96</f>
        <v/>
      </c>
      <c r="C96" s="17">
        <f>Raw_Data_LI!D96</f>
        <v/>
      </c>
      <c r="D96" s="42">
        <f>Raw_Data_LI!D96/Raw_Data_LI!C96</f>
        <v/>
      </c>
      <c r="E96" s="5">
        <f>IF(AND(B96&gt;=cfg_li_poa_low_min,B96&lt;=cfg_li_poa_low_max),1,0)</f>
        <v/>
      </c>
      <c r="F96" s="5">
        <f>IF(AND(B96&gt;=cfg_li_poa_mid_min,B96&lt;=cfg_li_poa_mid_max),1,0)</f>
        <v/>
      </c>
    </row>
    <row r="97">
      <c r="A97" s="5">
        <f>Raw_Data_LI!A97</f>
        <v/>
      </c>
      <c r="B97" s="18">
        <f>Raw_Data_LI!C97</f>
        <v/>
      </c>
      <c r="C97" s="17">
        <f>Raw_Data_LI!D97</f>
        <v/>
      </c>
      <c r="D97" s="42">
        <f>Raw_Data_LI!D97/Raw_Data_LI!C97</f>
        <v/>
      </c>
      <c r="E97" s="5">
        <f>IF(AND(B97&gt;=cfg_li_poa_low_min,B97&lt;=cfg_li_poa_low_max),1,0)</f>
        <v/>
      </c>
      <c r="F97" s="5">
        <f>IF(AND(B97&gt;=cfg_li_poa_mid_min,B97&lt;=cfg_li_poa_mid_max),1,0)</f>
        <v/>
      </c>
    </row>
    <row r="98">
      <c r="A98" s="5">
        <f>Raw_Data_LI!A98</f>
        <v/>
      </c>
      <c r="B98" s="18">
        <f>Raw_Data_LI!C98</f>
        <v/>
      </c>
      <c r="C98" s="17">
        <f>Raw_Data_LI!D98</f>
        <v/>
      </c>
      <c r="D98" s="42">
        <f>Raw_Data_LI!D98/Raw_Data_LI!C98</f>
        <v/>
      </c>
      <c r="E98" s="5">
        <f>IF(AND(B98&gt;=cfg_li_poa_low_min,B98&lt;=cfg_li_poa_low_max),1,0)</f>
        <v/>
      </c>
      <c r="F98" s="5">
        <f>IF(AND(B98&gt;=cfg_li_poa_mid_min,B98&lt;=cfg_li_poa_mid_max),1,0)</f>
        <v/>
      </c>
    </row>
    <row r="99">
      <c r="A99" s="5">
        <f>Raw_Data_LI!A99</f>
        <v/>
      </c>
      <c r="B99" s="18">
        <f>Raw_Data_LI!C99</f>
        <v/>
      </c>
      <c r="C99" s="17">
        <f>Raw_Data_LI!D99</f>
        <v/>
      </c>
      <c r="D99" s="42">
        <f>Raw_Data_LI!D99/Raw_Data_LI!C99</f>
        <v/>
      </c>
      <c r="E99" s="5">
        <f>IF(AND(B99&gt;=cfg_li_poa_low_min,B99&lt;=cfg_li_poa_low_max),1,0)</f>
        <v/>
      </c>
      <c r="F99" s="5">
        <f>IF(AND(B99&gt;=cfg_li_poa_mid_min,B99&lt;=cfg_li_poa_mid_max),1,0)</f>
        <v/>
      </c>
    </row>
    <row r="100">
      <c r="A100" s="5">
        <f>Raw_Data_LI!A100</f>
        <v/>
      </c>
      <c r="B100" s="18">
        <f>Raw_Data_LI!C100</f>
        <v/>
      </c>
      <c r="C100" s="17">
        <f>Raw_Data_LI!D100</f>
        <v/>
      </c>
      <c r="D100" s="42">
        <f>Raw_Data_LI!D100/Raw_Data_LI!C100</f>
        <v/>
      </c>
      <c r="E100" s="5">
        <f>IF(AND(B100&gt;=cfg_li_poa_low_min,B100&lt;=cfg_li_poa_low_max),1,0)</f>
        <v/>
      </c>
      <c r="F100" s="5">
        <f>IF(AND(B100&gt;=cfg_li_poa_mid_min,B100&lt;=cfg_li_poa_mid_max),1,0)</f>
        <v/>
      </c>
    </row>
    <row r="101">
      <c r="A101" s="5">
        <f>Raw_Data_LI!A101</f>
        <v/>
      </c>
      <c r="B101" s="18">
        <f>Raw_Data_LI!C101</f>
        <v/>
      </c>
      <c r="C101" s="17">
        <f>Raw_Data_LI!D101</f>
        <v/>
      </c>
      <c r="D101" s="42">
        <f>Raw_Data_LI!D101/Raw_Data_LI!C101</f>
        <v/>
      </c>
      <c r="E101" s="5">
        <f>IF(AND(B101&gt;=cfg_li_poa_low_min,B101&lt;=cfg_li_poa_low_max),1,0)</f>
        <v/>
      </c>
      <c r="F101" s="5">
        <f>IF(AND(B101&gt;=cfg_li_poa_mid_min,B101&lt;=cfg_li_poa_mid_max),1,0)</f>
        <v/>
      </c>
    </row>
    <row r="102">
      <c r="A102" s="5">
        <f>Raw_Data_LI!A102</f>
        <v/>
      </c>
      <c r="B102" s="18">
        <f>Raw_Data_LI!C102</f>
        <v/>
      </c>
      <c r="C102" s="17">
        <f>Raw_Data_LI!D102</f>
        <v/>
      </c>
      <c r="D102" s="42">
        <f>Raw_Data_LI!D102/Raw_Data_LI!C102</f>
        <v/>
      </c>
      <c r="E102" s="5">
        <f>IF(AND(B102&gt;=cfg_li_poa_low_min,B102&lt;=cfg_li_poa_low_max),1,0)</f>
        <v/>
      </c>
      <c r="F102" s="5">
        <f>IF(AND(B102&gt;=cfg_li_poa_mid_min,B102&lt;=cfg_li_poa_mid_max),1,0)</f>
        <v/>
      </c>
    </row>
    <row r="103">
      <c r="A103" s="5">
        <f>Raw_Data_LI!A103</f>
        <v/>
      </c>
      <c r="B103" s="18">
        <f>Raw_Data_LI!C103</f>
        <v/>
      </c>
      <c r="C103" s="17">
        <f>Raw_Data_LI!D103</f>
        <v/>
      </c>
      <c r="D103" s="42">
        <f>Raw_Data_LI!D103/Raw_Data_LI!C103</f>
        <v/>
      </c>
      <c r="E103" s="5">
        <f>IF(AND(B103&gt;=cfg_li_poa_low_min,B103&lt;=cfg_li_poa_low_max),1,0)</f>
        <v/>
      </c>
      <c r="F103" s="5">
        <f>IF(AND(B103&gt;=cfg_li_poa_mid_min,B103&lt;=cfg_li_poa_mid_max),1,0)</f>
        <v/>
      </c>
    </row>
    <row r="104">
      <c r="A104" s="5">
        <f>Raw_Data_LI!A104</f>
        <v/>
      </c>
      <c r="B104" s="18">
        <f>Raw_Data_LI!C104</f>
        <v/>
      </c>
      <c r="C104" s="17">
        <f>Raw_Data_LI!D104</f>
        <v/>
      </c>
      <c r="D104" s="42">
        <f>Raw_Data_LI!D104/Raw_Data_LI!C104</f>
        <v/>
      </c>
      <c r="E104" s="5">
        <f>IF(AND(B104&gt;=cfg_li_poa_low_min,B104&lt;=cfg_li_poa_low_max),1,0)</f>
        <v/>
      </c>
      <c r="F104" s="5">
        <f>IF(AND(B104&gt;=cfg_li_poa_mid_min,B104&lt;=cfg_li_poa_mid_max),1,0)</f>
        <v/>
      </c>
    </row>
    <row r="105">
      <c r="A105" s="5">
        <f>Raw_Data_LI!A105</f>
        <v/>
      </c>
      <c r="B105" s="18">
        <f>Raw_Data_LI!C105</f>
        <v/>
      </c>
      <c r="C105" s="17">
        <f>Raw_Data_LI!D105</f>
        <v/>
      </c>
      <c r="D105" s="42">
        <f>Raw_Data_LI!D105/Raw_Data_LI!C105</f>
        <v/>
      </c>
      <c r="E105" s="5">
        <f>IF(AND(B105&gt;=cfg_li_poa_low_min,B105&lt;=cfg_li_poa_low_max),1,0)</f>
        <v/>
      </c>
      <c r="F105" s="5">
        <f>IF(AND(B105&gt;=cfg_li_poa_mid_min,B105&lt;=cfg_li_poa_mid_max),1,0)</f>
        <v/>
      </c>
    </row>
    <row r="106">
      <c r="A106" s="5">
        <f>Raw_Data_LI!A106</f>
        <v/>
      </c>
      <c r="B106" s="18">
        <f>Raw_Data_LI!C106</f>
        <v/>
      </c>
      <c r="C106" s="17">
        <f>Raw_Data_LI!D106</f>
        <v/>
      </c>
      <c r="D106" s="42">
        <f>Raw_Data_LI!D106/Raw_Data_LI!C106</f>
        <v/>
      </c>
      <c r="E106" s="5">
        <f>IF(AND(B106&gt;=cfg_li_poa_low_min,B106&lt;=cfg_li_poa_low_max),1,0)</f>
        <v/>
      </c>
      <c r="F106" s="5">
        <f>IF(AND(B106&gt;=cfg_li_poa_mid_min,B106&lt;=cfg_li_poa_mid_max),1,0)</f>
        <v/>
      </c>
    </row>
    <row r="107">
      <c r="A107" s="5">
        <f>Raw_Data_LI!A107</f>
        <v/>
      </c>
      <c r="B107" s="18">
        <f>Raw_Data_LI!C107</f>
        <v/>
      </c>
      <c r="C107" s="17">
        <f>Raw_Data_LI!D107</f>
        <v/>
      </c>
      <c r="D107" s="42">
        <f>Raw_Data_LI!D107/Raw_Data_LI!C107</f>
        <v/>
      </c>
      <c r="E107" s="5">
        <f>IF(AND(B107&gt;=cfg_li_poa_low_min,B107&lt;=cfg_li_poa_low_max),1,0)</f>
        <v/>
      </c>
      <c r="F107" s="5">
        <f>IF(AND(B107&gt;=cfg_li_poa_mid_min,B107&lt;=cfg_li_poa_mid_max),1,0)</f>
        <v/>
      </c>
    </row>
    <row r="108">
      <c r="A108" s="5">
        <f>Raw_Data_LI!A108</f>
        <v/>
      </c>
      <c r="B108" s="18">
        <f>Raw_Data_LI!C108</f>
        <v/>
      </c>
      <c r="C108" s="17">
        <f>Raw_Data_LI!D108</f>
        <v/>
      </c>
      <c r="D108" s="42">
        <f>Raw_Data_LI!D108/Raw_Data_LI!C108</f>
        <v/>
      </c>
      <c r="E108" s="5">
        <f>IF(AND(B108&gt;=cfg_li_poa_low_min,B108&lt;=cfg_li_poa_low_max),1,0)</f>
        <v/>
      </c>
      <c r="F108" s="5">
        <f>IF(AND(B108&gt;=cfg_li_poa_mid_min,B108&lt;=cfg_li_poa_mid_max),1,0)</f>
        <v/>
      </c>
    </row>
    <row r="109">
      <c r="A109" s="5">
        <f>Raw_Data_LI!A109</f>
        <v/>
      </c>
      <c r="B109" s="18">
        <f>Raw_Data_LI!C109</f>
        <v/>
      </c>
      <c r="C109" s="17">
        <f>Raw_Data_LI!D109</f>
        <v/>
      </c>
      <c r="D109" s="42">
        <f>Raw_Data_LI!D109/Raw_Data_LI!C109</f>
        <v/>
      </c>
      <c r="E109" s="5">
        <f>IF(AND(B109&gt;=cfg_li_poa_low_min,B109&lt;=cfg_li_poa_low_max),1,0)</f>
        <v/>
      </c>
      <c r="F109" s="5">
        <f>IF(AND(B109&gt;=cfg_li_poa_mid_min,B109&lt;=cfg_li_poa_mid_max),1,0)</f>
        <v/>
      </c>
    </row>
    <row r="110">
      <c r="A110" s="5">
        <f>Raw_Data_LI!A110</f>
        <v/>
      </c>
      <c r="B110" s="18">
        <f>Raw_Data_LI!C110</f>
        <v/>
      </c>
      <c r="C110" s="17">
        <f>Raw_Data_LI!D110</f>
        <v/>
      </c>
      <c r="D110" s="42">
        <f>Raw_Data_LI!D110/Raw_Data_LI!C110</f>
        <v/>
      </c>
      <c r="E110" s="5">
        <f>IF(AND(B110&gt;=cfg_li_poa_low_min,B110&lt;=cfg_li_poa_low_max),1,0)</f>
        <v/>
      </c>
      <c r="F110" s="5">
        <f>IF(AND(B110&gt;=cfg_li_poa_mid_min,B110&lt;=cfg_li_poa_mid_max),1,0)</f>
        <v/>
      </c>
    </row>
    <row r="111">
      <c r="A111" s="5">
        <f>Raw_Data_LI!A111</f>
        <v/>
      </c>
      <c r="B111" s="18">
        <f>Raw_Data_LI!C111</f>
        <v/>
      </c>
      <c r="C111" s="17">
        <f>Raw_Data_LI!D111</f>
        <v/>
      </c>
      <c r="D111" s="42">
        <f>Raw_Data_LI!D111/Raw_Data_LI!C111</f>
        <v/>
      </c>
      <c r="E111" s="5">
        <f>IF(AND(B111&gt;=cfg_li_poa_low_min,B111&lt;=cfg_li_poa_low_max),1,0)</f>
        <v/>
      </c>
      <c r="F111" s="5">
        <f>IF(AND(B111&gt;=cfg_li_poa_mid_min,B111&lt;=cfg_li_poa_mid_max),1,0)</f>
        <v/>
      </c>
    </row>
    <row r="112">
      <c r="A112" s="5">
        <f>Raw_Data_LI!A112</f>
        <v/>
      </c>
      <c r="B112" s="18">
        <f>Raw_Data_LI!C112</f>
        <v/>
      </c>
      <c r="C112" s="17">
        <f>Raw_Data_LI!D112</f>
        <v/>
      </c>
      <c r="D112" s="42">
        <f>Raw_Data_LI!D112/Raw_Data_LI!C112</f>
        <v/>
      </c>
      <c r="E112" s="5">
        <f>IF(AND(B112&gt;=cfg_li_poa_low_min,B112&lt;=cfg_li_poa_low_max),1,0)</f>
        <v/>
      </c>
      <c r="F112" s="5">
        <f>IF(AND(B112&gt;=cfg_li_poa_mid_min,B112&lt;=cfg_li_poa_mid_max),1,0)</f>
        <v/>
      </c>
    </row>
    <row r="113">
      <c r="A113" s="5">
        <f>Raw_Data_LI!A113</f>
        <v/>
      </c>
      <c r="B113" s="18">
        <f>Raw_Data_LI!C113</f>
        <v/>
      </c>
      <c r="C113" s="17">
        <f>Raw_Data_LI!D113</f>
        <v/>
      </c>
      <c r="D113" s="42">
        <f>Raw_Data_LI!D113/Raw_Data_LI!C113</f>
        <v/>
      </c>
      <c r="E113" s="5">
        <f>IF(AND(B113&gt;=cfg_li_poa_low_min,B113&lt;=cfg_li_poa_low_max),1,0)</f>
        <v/>
      </c>
      <c r="F113" s="5">
        <f>IF(AND(B113&gt;=cfg_li_poa_mid_min,B113&lt;=cfg_li_poa_mid_max),1,0)</f>
        <v/>
      </c>
    </row>
    <row r="114">
      <c r="A114" s="5">
        <f>Raw_Data_LI!A114</f>
        <v/>
      </c>
      <c r="B114" s="18">
        <f>Raw_Data_LI!C114</f>
        <v/>
      </c>
      <c r="C114" s="17">
        <f>Raw_Data_LI!D114</f>
        <v/>
      </c>
      <c r="D114" s="42">
        <f>Raw_Data_LI!D114/Raw_Data_LI!C114</f>
        <v/>
      </c>
      <c r="E114" s="5">
        <f>IF(AND(B114&gt;=cfg_li_poa_low_min,B114&lt;=cfg_li_poa_low_max),1,0)</f>
        <v/>
      </c>
      <c r="F114" s="5">
        <f>IF(AND(B114&gt;=cfg_li_poa_mid_min,B114&lt;=cfg_li_poa_mid_max),1,0)</f>
        <v/>
      </c>
    </row>
    <row r="115">
      <c r="A115" s="5">
        <f>Raw_Data_LI!A115</f>
        <v/>
      </c>
      <c r="B115" s="18">
        <f>Raw_Data_LI!C115</f>
        <v/>
      </c>
      <c r="C115" s="17">
        <f>Raw_Data_LI!D115</f>
        <v/>
      </c>
      <c r="D115" s="42">
        <f>Raw_Data_LI!D115/Raw_Data_LI!C115</f>
        <v/>
      </c>
      <c r="E115" s="5">
        <f>IF(AND(B115&gt;=cfg_li_poa_low_min,B115&lt;=cfg_li_poa_low_max),1,0)</f>
        <v/>
      </c>
      <c r="F115" s="5">
        <f>IF(AND(B115&gt;=cfg_li_poa_mid_min,B115&lt;=cfg_li_poa_mid_max),1,0)</f>
        <v/>
      </c>
    </row>
    <row r="116">
      <c r="A116" s="5">
        <f>Raw_Data_LI!A116</f>
        <v/>
      </c>
      <c r="B116" s="18">
        <f>Raw_Data_LI!C116</f>
        <v/>
      </c>
      <c r="C116" s="17">
        <f>Raw_Data_LI!D116</f>
        <v/>
      </c>
      <c r="D116" s="42">
        <f>Raw_Data_LI!D116/Raw_Data_LI!C116</f>
        <v/>
      </c>
      <c r="E116" s="5">
        <f>IF(AND(B116&gt;=cfg_li_poa_low_min,B116&lt;=cfg_li_poa_low_max),1,0)</f>
        <v/>
      </c>
      <c r="F116" s="5">
        <f>IF(AND(B116&gt;=cfg_li_poa_mid_min,B116&lt;=cfg_li_poa_mid_max),1,0)</f>
        <v/>
      </c>
    </row>
    <row r="117">
      <c r="A117" s="5">
        <f>Raw_Data_LI!A117</f>
        <v/>
      </c>
      <c r="B117" s="18">
        <f>Raw_Data_LI!C117</f>
        <v/>
      </c>
      <c r="C117" s="17">
        <f>Raw_Data_LI!D117</f>
        <v/>
      </c>
      <c r="D117" s="42">
        <f>Raw_Data_LI!D117/Raw_Data_LI!C117</f>
        <v/>
      </c>
      <c r="E117" s="5">
        <f>IF(AND(B117&gt;=cfg_li_poa_low_min,B117&lt;=cfg_li_poa_low_max),1,0)</f>
        <v/>
      </c>
      <c r="F117" s="5">
        <f>IF(AND(B117&gt;=cfg_li_poa_mid_min,B117&lt;=cfg_li_poa_mid_max),1,0)</f>
        <v/>
      </c>
    </row>
    <row r="118">
      <c r="A118" s="5">
        <f>Raw_Data_LI!A118</f>
        <v/>
      </c>
      <c r="B118" s="18">
        <f>Raw_Data_LI!C118</f>
        <v/>
      </c>
      <c r="C118" s="17">
        <f>Raw_Data_LI!D118</f>
        <v/>
      </c>
      <c r="D118" s="42">
        <f>Raw_Data_LI!D118/Raw_Data_LI!C118</f>
        <v/>
      </c>
      <c r="E118" s="5">
        <f>IF(AND(B118&gt;=cfg_li_poa_low_min,B118&lt;=cfg_li_poa_low_max),1,0)</f>
        <v/>
      </c>
      <c r="F118" s="5">
        <f>IF(AND(B118&gt;=cfg_li_poa_mid_min,B118&lt;=cfg_li_poa_mid_max),1,0)</f>
        <v/>
      </c>
    </row>
    <row r="119">
      <c r="A119" s="5">
        <f>Raw_Data_LI!A119</f>
        <v/>
      </c>
      <c r="B119" s="18">
        <f>Raw_Data_LI!C119</f>
        <v/>
      </c>
      <c r="C119" s="17">
        <f>Raw_Data_LI!D119</f>
        <v/>
      </c>
      <c r="D119" s="42">
        <f>Raw_Data_LI!D119/Raw_Data_LI!C119</f>
        <v/>
      </c>
      <c r="E119" s="5">
        <f>IF(AND(B119&gt;=cfg_li_poa_low_min,B119&lt;=cfg_li_poa_low_max),1,0)</f>
        <v/>
      </c>
      <c r="F119" s="5">
        <f>IF(AND(B119&gt;=cfg_li_poa_mid_min,B119&lt;=cfg_li_poa_mid_max),1,0)</f>
        <v/>
      </c>
    </row>
    <row r="120">
      <c r="A120" s="5">
        <f>Raw_Data_LI!A120</f>
        <v/>
      </c>
      <c r="B120" s="18">
        <f>Raw_Data_LI!C120</f>
        <v/>
      </c>
      <c r="C120" s="17">
        <f>Raw_Data_LI!D120</f>
        <v/>
      </c>
      <c r="D120" s="42">
        <f>Raw_Data_LI!D120/Raw_Data_LI!C120</f>
        <v/>
      </c>
      <c r="E120" s="5">
        <f>IF(AND(B120&gt;=cfg_li_poa_low_min,B120&lt;=cfg_li_poa_low_max),1,0)</f>
        <v/>
      </c>
      <c r="F120" s="5">
        <f>IF(AND(B120&gt;=cfg_li_poa_mid_min,B120&lt;=cfg_li_poa_mid_max),1,0)</f>
        <v/>
      </c>
    </row>
    <row r="121">
      <c r="A121" s="5">
        <f>Raw_Data_LI!A121</f>
        <v/>
      </c>
      <c r="B121" s="18">
        <f>Raw_Data_LI!C121</f>
        <v/>
      </c>
      <c r="C121" s="17">
        <f>Raw_Data_LI!D121</f>
        <v/>
      </c>
      <c r="D121" s="42">
        <f>Raw_Data_LI!D121/Raw_Data_LI!C121</f>
        <v/>
      </c>
      <c r="E121" s="5">
        <f>IF(AND(B121&gt;=cfg_li_poa_low_min,B121&lt;=cfg_li_poa_low_max),1,0)</f>
        <v/>
      </c>
      <c r="F121" s="5">
        <f>IF(AND(B121&gt;=cfg_li_poa_mid_min,B121&lt;=cfg_li_poa_mid_max),1,0)</f>
        <v/>
      </c>
    </row>
    <row r="122">
      <c r="A122" s="5">
        <f>Raw_Data_LI!A122</f>
        <v/>
      </c>
      <c r="B122" s="18">
        <f>Raw_Data_LI!C122</f>
        <v/>
      </c>
      <c r="C122" s="17">
        <f>Raw_Data_LI!D122</f>
        <v/>
      </c>
      <c r="D122" s="42">
        <f>Raw_Data_LI!D122/Raw_Data_LI!C122</f>
        <v/>
      </c>
      <c r="E122" s="5">
        <f>IF(AND(B122&gt;=cfg_li_poa_low_min,B122&lt;=cfg_li_poa_low_max),1,0)</f>
        <v/>
      </c>
      <c r="F122" s="5">
        <f>IF(AND(B122&gt;=cfg_li_poa_mid_min,B122&lt;=cfg_li_poa_mid_max),1,0)</f>
        <v/>
      </c>
    </row>
    <row r="123">
      <c r="A123" s="5">
        <f>Raw_Data_LI!A123</f>
        <v/>
      </c>
      <c r="B123" s="18">
        <f>Raw_Data_LI!C123</f>
        <v/>
      </c>
      <c r="C123" s="17">
        <f>Raw_Data_LI!D123</f>
        <v/>
      </c>
      <c r="D123" s="42">
        <f>Raw_Data_LI!D123/Raw_Data_LI!C123</f>
        <v/>
      </c>
      <c r="E123" s="5">
        <f>IF(AND(B123&gt;=cfg_li_poa_low_min,B123&lt;=cfg_li_poa_low_max),1,0)</f>
        <v/>
      </c>
      <c r="F123" s="5">
        <f>IF(AND(B123&gt;=cfg_li_poa_mid_min,B123&lt;=cfg_li_poa_mid_max),1,0)</f>
        <v/>
      </c>
    </row>
    <row r="124">
      <c r="A124" s="5">
        <f>Raw_Data_LI!A124</f>
        <v/>
      </c>
      <c r="B124" s="18">
        <f>Raw_Data_LI!C124</f>
        <v/>
      </c>
      <c r="C124" s="17">
        <f>Raw_Data_LI!D124</f>
        <v/>
      </c>
      <c r="D124" s="42">
        <f>Raw_Data_LI!D124/Raw_Data_LI!C124</f>
        <v/>
      </c>
      <c r="E124" s="5">
        <f>IF(AND(B124&gt;=cfg_li_poa_low_min,B124&lt;=cfg_li_poa_low_max),1,0)</f>
        <v/>
      </c>
      <c r="F124" s="5">
        <f>IF(AND(B124&gt;=cfg_li_poa_mid_min,B124&lt;=cfg_li_poa_mid_max),1,0)</f>
        <v/>
      </c>
    </row>
    <row r="125">
      <c r="A125" s="5">
        <f>Raw_Data_LI!A125</f>
        <v/>
      </c>
      <c r="B125" s="18">
        <f>Raw_Data_LI!C125</f>
        <v/>
      </c>
      <c r="C125" s="17">
        <f>Raw_Data_LI!D125</f>
        <v/>
      </c>
      <c r="D125" s="42">
        <f>Raw_Data_LI!D125/Raw_Data_LI!C125</f>
        <v/>
      </c>
      <c r="E125" s="5">
        <f>IF(AND(B125&gt;=cfg_li_poa_low_min,B125&lt;=cfg_li_poa_low_max),1,0)</f>
        <v/>
      </c>
      <c r="F125" s="5">
        <f>IF(AND(B125&gt;=cfg_li_poa_mid_min,B125&lt;=cfg_li_poa_mid_max),1,0)</f>
        <v/>
      </c>
    </row>
    <row r="126">
      <c r="A126" s="5">
        <f>Raw_Data_LI!A126</f>
        <v/>
      </c>
      <c r="B126" s="18">
        <f>Raw_Data_LI!C126</f>
        <v/>
      </c>
      <c r="C126" s="17">
        <f>Raw_Data_LI!D126</f>
        <v/>
      </c>
      <c r="D126" s="42">
        <f>Raw_Data_LI!D126/Raw_Data_LI!C126</f>
        <v/>
      </c>
      <c r="E126" s="5">
        <f>IF(AND(B126&gt;=cfg_li_poa_low_min,B126&lt;=cfg_li_poa_low_max),1,0)</f>
        <v/>
      </c>
      <c r="F126" s="5">
        <f>IF(AND(B126&gt;=cfg_li_poa_mid_min,B126&lt;=cfg_li_poa_mid_max),1,0)</f>
        <v/>
      </c>
    </row>
    <row r="127">
      <c r="A127" s="5">
        <f>Raw_Data_LI!A127</f>
        <v/>
      </c>
      <c r="B127" s="18">
        <f>Raw_Data_LI!C127</f>
        <v/>
      </c>
      <c r="C127" s="17">
        <f>Raw_Data_LI!D127</f>
        <v/>
      </c>
      <c r="D127" s="42">
        <f>Raw_Data_LI!D127/Raw_Data_LI!C127</f>
        <v/>
      </c>
      <c r="E127" s="5">
        <f>IF(AND(B127&gt;=cfg_li_poa_low_min,B127&lt;=cfg_li_poa_low_max),1,0)</f>
        <v/>
      </c>
      <c r="F127" s="5">
        <f>IF(AND(B127&gt;=cfg_li_poa_mid_min,B127&lt;=cfg_li_poa_mid_max),1,0)</f>
        <v/>
      </c>
    </row>
    <row r="128">
      <c r="A128" s="5">
        <f>Raw_Data_LI!A128</f>
        <v/>
      </c>
      <c r="B128" s="18">
        <f>Raw_Data_LI!C128</f>
        <v/>
      </c>
      <c r="C128" s="17">
        <f>Raw_Data_LI!D128</f>
        <v/>
      </c>
      <c r="D128" s="42">
        <f>Raw_Data_LI!D128/Raw_Data_LI!C128</f>
        <v/>
      </c>
      <c r="E128" s="5">
        <f>IF(AND(B128&gt;=cfg_li_poa_low_min,B128&lt;=cfg_li_poa_low_max),1,0)</f>
        <v/>
      </c>
      <c r="F128" s="5">
        <f>IF(AND(B128&gt;=cfg_li_poa_mid_min,B128&lt;=cfg_li_poa_mid_max),1,0)</f>
        <v/>
      </c>
    </row>
    <row r="129">
      <c r="A129" s="5">
        <f>Raw_Data_LI!A129</f>
        <v/>
      </c>
      <c r="B129" s="18">
        <f>Raw_Data_LI!C129</f>
        <v/>
      </c>
      <c r="C129" s="17">
        <f>Raw_Data_LI!D129</f>
        <v/>
      </c>
      <c r="D129" s="42">
        <f>Raw_Data_LI!D129/Raw_Data_LI!C129</f>
        <v/>
      </c>
      <c r="E129" s="5">
        <f>IF(AND(B129&gt;=cfg_li_poa_low_min,B129&lt;=cfg_li_poa_low_max),1,0)</f>
        <v/>
      </c>
      <c r="F129" s="5">
        <f>IF(AND(B129&gt;=cfg_li_poa_mid_min,B129&lt;=cfg_li_poa_mid_max),1,0)</f>
        <v/>
      </c>
    </row>
    <row r="130">
      <c r="A130" s="5">
        <f>Raw_Data_LI!A130</f>
        <v/>
      </c>
      <c r="B130" s="18">
        <f>Raw_Data_LI!C130</f>
        <v/>
      </c>
      <c r="C130" s="17">
        <f>Raw_Data_LI!D130</f>
        <v/>
      </c>
      <c r="D130" s="42">
        <f>Raw_Data_LI!D130/Raw_Data_LI!C130</f>
        <v/>
      </c>
      <c r="E130" s="5">
        <f>IF(AND(B130&gt;=cfg_li_poa_low_min,B130&lt;=cfg_li_poa_low_max),1,0)</f>
        <v/>
      </c>
      <c r="F130" s="5">
        <f>IF(AND(B130&gt;=cfg_li_poa_mid_min,B130&lt;=cfg_li_poa_mid_max),1,0)</f>
        <v/>
      </c>
    </row>
    <row r="131">
      <c r="A131" s="5">
        <f>Raw_Data_LI!A131</f>
        <v/>
      </c>
      <c r="B131" s="18">
        <f>Raw_Data_LI!C131</f>
        <v/>
      </c>
      <c r="C131" s="17">
        <f>Raw_Data_LI!D131</f>
        <v/>
      </c>
      <c r="D131" s="42">
        <f>Raw_Data_LI!D131/Raw_Data_LI!C131</f>
        <v/>
      </c>
      <c r="E131" s="5">
        <f>IF(AND(B131&gt;=cfg_li_poa_low_min,B131&lt;=cfg_li_poa_low_max),1,0)</f>
        <v/>
      </c>
      <c r="F131" s="5">
        <f>IF(AND(B131&gt;=cfg_li_poa_mid_min,B131&lt;=cfg_li_poa_mid_max),1,0)</f>
        <v/>
      </c>
    </row>
    <row r="132">
      <c r="A132" s="5">
        <f>Raw_Data_LI!A132</f>
        <v/>
      </c>
      <c r="B132" s="18">
        <f>Raw_Data_LI!C132</f>
        <v/>
      </c>
      <c r="C132" s="17">
        <f>Raw_Data_LI!D132</f>
        <v/>
      </c>
      <c r="D132" s="42">
        <f>Raw_Data_LI!D132/Raw_Data_LI!C132</f>
        <v/>
      </c>
      <c r="E132" s="5">
        <f>IF(AND(B132&gt;=cfg_li_poa_low_min,B132&lt;=cfg_li_poa_low_max),1,0)</f>
        <v/>
      </c>
      <c r="F132" s="5">
        <f>IF(AND(B132&gt;=cfg_li_poa_mid_min,B132&lt;=cfg_li_poa_mid_max),1,0)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A6"/>
  <sheetViews>
    <sheetView workbookViewId="0">
      <selection activeCell="A1" sqref="A1"/>
    </sheetView>
  </sheetViews>
  <sheetFormatPr baseColWidth="8" defaultRowHeight="15"/>
  <cols>
    <col width="13" customWidth="1" min="1" max="1"/>
    <col width="26" customWidth="1" min="9" max="9"/>
    <col width="50" customWidth="1" min="13" max="13"/>
  </cols>
  <sheetData>
    <row r="1">
      <c r="A1" s="23" t="inlineStr">
        <is>
          <t>M2a_LowIrradiance — regresi OLS dua band (SUMPRODUCT) + klasifikasi</t>
        </is>
      </c>
    </row>
    <row r="2">
      <c r="A2" s="24" t="inlineStr">
        <is>
          <t>Per inverter: slope/intercept/r2 band low &amp; mid via SUMPRODUCT(mask·…) — identik OLS linear_regression_slope ≡ Excel SLOPE/INTERCEPT/RSQ.</t>
        </is>
      </c>
    </row>
    <row r="3">
      <c r="A3" s="24" t="inlineStr">
        <is>
          <t>classify: slope_low&lt;0 &amp; slope_mid≥0 → low_irradiance_underperform; slope_low&lt;0 &amp; slope_mid&lt;0 → general_underperform. severity dari |slope_low|·r2_low. Kolom P–AA = sum antara SUMPRODUCT.</t>
        </is>
      </c>
    </row>
    <row r="4">
      <c r="A4" s="10" t="inlineStr">
        <is>
          <t>inverter_id</t>
        </is>
      </c>
      <c r="B4" s="10" t="inlineStr">
        <is>
          <t>slope_low</t>
        </is>
      </c>
      <c r="C4" s="10" t="inlineStr">
        <is>
          <t>intercept_low</t>
        </is>
      </c>
      <c r="D4" s="10" t="inlineStr">
        <is>
          <t>r2_low</t>
        </is>
      </c>
      <c r="E4" s="10" t="inlineStr">
        <is>
          <t>n_low</t>
        </is>
      </c>
      <c r="F4" s="10" t="inlineStr">
        <is>
          <t>slope_mid</t>
        </is>
      </c>
      <c r="G4" s="10" t="inlineStr">
        <is>
          <t>r2_mid</t>
        </is>
      </c>
      <c r="H4" s="10" t="inlineStr">
        <is>
          <t>n_mid</t>
        </is>
      </c>
      <c r="I4" s="10" t="inlineStr">
        <is>
          <t>classification</t>
        </is>
      </c>
      <c r="J4" s="10" t="inlineStr">
        <is>
          <t>severity</t>
        </is>
      </c>
      <c r="K4" s="10" t="inlineStr">
        <is>
          <t>emit</t>
        </is>
      </c>
      <c r="L4" s="10" t="inlineStr">
        <is>
          <t>confidence</t>
        </is>
      </c>
      <c r="M4" s="10" t="inlineStr">
        <is>
          <t>message</t>
        </is>
      </c>
      <c r="N4" s="10" t="inlineStr">
        <is>
          <t>score</t>
        </is>
      </c>
      <c r="P4" s="8" t="inlineStr">
        <is>
          <t>n_lo</t>
        </is>
      </c>
      <c r="Q4" s="8" t="inlineStr">
        <is>
          <t>Sx_lo</t>
        </is>
      </c>
      <c r="R4" s="8" t="inlineStr">
        <is>
          <t>Sy_lo</t>
        </is>
      </c>
      <c r="S4" s="8" t="inlineStr">
        <is>
          <t>Sxx_lo</t>
        </is>
      </c>
      <c r="T4" s="8" t="inlineStr">
        <is>
          <t>Sxy_lo</t>
        </is>
      </c>
      <c r="U4" s="8" t="inlineStr">
        <is>
          <t>Syy_lo</t>
        </is>
      </c>
      <c r="V4" s="8" t="inlineStr">
        <is>
          <t>n_mi</t>
        </is>
      </c>
      <c r="W4" s="8" t="inlineStr">
        <is>
          <t>Sx_mi</t>
        </is>
      </c>
      <c r="X4" s="8" t="inlineStr">
        <is>
          <t>Sy_mi</t>
        </is>
      </c>
      <c r="Y4" s="8" t="inlineStr">
        <is>
          <t>Sxx_mi</t>
        </is>
      </c>
      <c r="Z4" s="8" t="inlineStr">
        <is>
          <t>Sxy_mi</t>
        </is>
      </c>
      <c r="AA4" s="8" t="inlineStr">
        <is>
          <t>Syy_mi</t>
        </is>
      </c>
    </row>
    <row r="5">
      <c r="A5" s="5" t="n"/>
      <c r="B5" s="37">
        <f>(T5-Q5*R5/P5)/(S5-Q5*Q5/P5)</f>
        <v/>
      </c>
      <c r="C5" s="31">
        <f>R5/P5-B5*Q5/P5</f>
        <v/>
      </c>
      <c r="D5" s="31">
        <f>(T5-Q5*R5/P5)^2/((S5-Q5*Q5/P5)*(U5-R5*R5/P5))</f>
        <v/>
      </c>
      <c r="E5" s="5">
        <f>P5</f>
        <v/>
      </c>
      <c r="F5" s="37">
        <f>(Z5-W5*X5/V5)/(Y5-W5*W5/V5)</f>
        <v/>
      </c>
      <c r="G5" s="31">
        <f>(Z5-W5*X5/V5)^2/((Y5-W5*W5/V5)*(AA5-X5*X5/V5))</f>
        <v/>
      </c>
      <c r="H5" s="5">
        <f>V5</f>
        <v/>
      </c>
      <c r="I5" s="5">
        <f>IF(E5&lt;cfg_li_min_low_samples,"insufficient_data",IF(AND(B5&lt;cfg_li_slope_threshold,F5&gt;=cfg_li_slope_threshold),"low_irradiance_underperform",IF(AND(B5&lt;cfg_li_slope_threshold,F5&lt;cfg_li_slope_threshold),"general_underperform","normal")))</f>
        <v/>
      </c>
      <c r="J5" s="5">
        <f>IF(B5&gt;=cfg_li_slope_threshold,"INFO",IF(N5&gt;=0.0008,"CRITICAL",IF(N5&gt;=0.0004,"HIGH",IF(N5&gt;=0.0001,"MEDIUM","INFO"))))</f>
        <v/>
      </c>
      <c r="K5" s="5">
        <f>IF(AND(I5&lt;&gt;"normal",I5&lt;&gt;"insufficient_data",D5&gt;=cfg_li_r2_min),1,0)</f>
        <v/>
      </c>
      <c r="L5" s="18">
        <f>50+D5*50</f>
        <v/>
      </c>
      <c r="M5" s="5">
        <f>IF(K5=1,"Low-irradiance underperformance ("&amp;I5&amp;"): slope_low="&amp;TEXT(B5,"0.000000")&amp;" (r2="&amp;TEXT(D5,"0.000")&amp;", n="&amp;E5&amp;"); slope_mid="&amp;TEXT(F5,"0.000000"),"")</f>
        <v/>
      </c>
      <c r="N5" s="37">
        <f>ABS(B5-cfg_li_slope_threshold)*MAX(0,MIN(1,D5))</f>
        <v/>
      </c>
      <c r="O5" s="5" t="n"/>
      <c r="P5" s="5">
        <f>SUMPRODUCT((Helpers_LI!$A$5:$A$132=$A5)*Helpers_LI!$E$5:$E$132)</f>
        <v/>
      </c>
      <c r="Q5" s="5">
        <f>SUMPRODUCT((Helpers_LI!$A$5:$A$132=$A5)*Helpers_LI!$E$5:$E$132*Helpers_LI!$B$5:$B$132)</f>
        <v/>
      </c>
      <c r="R5" s="5">
        <f>SUMPRODUCT((Helpers_LI!$A$5:$A$132=$A5)*Helpers_LI!$E$5:$E$132*Helpers_LI!$D$5:$D$132)</f>
        <v/>
      </c>
      <c r="S5" s="5">
        <f>SUMPRODUCT((Helpers_LI!$A$5:$A$132=$A5)*Helpers_LI!$E$5:$E$132*Helpers_LI!$B$5:$B$132*Helpers_LI!$B$5:$B$132)</f>
        <v/>
      </c>
      <c r="T5" s="5">
        <f>SUMPRODUCT((Helpers_LI!$A$5:$A$132=$A5)*Helpers_LI!$E$5:$E$132*Helpers_LI!$B$5:$B$132*Helpers_LI!$D$5:$D$132)</f>
        <v/>
      </c>
      <c r="U5" s="5">
        <f>SUMPRODUCT((Helpers_LI!$A$5:$A$132=$A5)*Helpers_LI!$E$5:$E$132*Helpers_LI!$D$5:$D$132*Helpers_LI!$D$5:$D$132)</f>
        <v/>
      </c>
      <c r="V5" s="5">
        <f>SUMPRODUCT((Helpers_LI!$A$5:$A$132=$A5)*Helpers_LI!$F$5:$F$132)</f>
        <v/>
      </c>
      <c r="W5" s="5">
        <f>SUMPRODUCT((Helpers_LI!$A$5:$A$132=$A5)*Helpers_LI!$F$5:$F$132*Helpers_LI!$B$5:$B$132)</f>
        <v/>
      </c>
      <c r="X5" s="5">
        <f>SUMPRODUCT((Helpers_LI!$A$5:$A$132=$A5)*Helpers_LI!$F$5:$F$132*Helpers_LI!$D$5:$D$132)</f>
        <v/>
      </c>
      <c r="Y5" s="5">
        <f>SUMPRODUCT((Helpers_LI!$A$5:$A$132=$A5)*Helpers_LI!$F$5:$F$132*Helpers_LI!$B$5:$B$132*Helpers_LI!$B$5:$B$132)</f>
        <v/>
      </c>
      <c r="Z5" s="5">
        <f>SUMPRODUCT((Helpers_LI!$A$5:$A$132=$A5)*Helpers_LI!$F$5:$F$132*Helpers_LI!$B$5:$B$132*Helpers_LI!$D$5:$D$132)</f>
        <v/>
      </c>
      <c r="AA5" s="5">
        <f>SUMPRODUCT((Helpers_LI!$A$5:$A$132=$A5)*Helpers_LI!$F$5:$F$132*Helpers_LI!$D$5:$D$132*Helpers_LI!$D$5:$D$132)</f>
        <v/>
      </c>
    </row>
    <row r="6">
      <c r="A6" s="5" t="n"/>
      <c r="B6" s="37">
        <f>(T6-Q6*R6/P6)/(S6-Q6*Q6/P6)</f>
        <v/>
      </c>
      <c r="C6" s="31">
        <f>R6/P6-B6*Q6/P6</f>
        <v/>
      </c>
      <c r="D6" s="31">
        <f>(T6-Q6*R6/P6)^2/((S6-Q6*Q6/P6)*(U6-R6*R6/P6))</f>
        <v/>
      </c>
      <c r="E6" s="5">
        <f>P6</f>
        <v/>
      </c>
      <c r="F6" s="37">
        <f>(Z6-W6*X6/V6)/(Y6-W6*W6/V6)</f>
        <v/>
      </c>
      <c r="G6" s="31">
        <f>(Z6-W6*X6/V6)^2/((Y6-W6*W6/V6)*(AA6-X6*X6/V6))</f>
        <v/>
      </c>
      <c r="H6" s="5">
        <f>V6</f>
        <v/>
      </c>
      <c r="I6" s="5">
        <f>IF(E6&lt;cfg_li_min_low_samples,"insufficient_data",IF(AND(B6&lt;cfg_li_slope_threshold,F6&gt;=cfg_li_slope_threshold),"low_irradiance_underperform",IF(AND(B6&lt;cfg_li_slope_threshold,F6&lt;cfg_li_slope_threshold),"general_underperform","normal")))</f>
        <v/>
      </c>
      <c r="J6" s="5">
        <f>IF(B6&gt;=cfg_li_slope_threshold,"INFO",IF(N6&gt;=0.0008,"CRITICAL",IF(N6&gt;=0.0004,"HIGH",IF(N6&gt;=0.0001,"MEDIUM","INFO"))))</f>
        <v/>
      </c>
      <c r="K6" s="5">
        <f>IF(AND(I6&lt;&gt;"normal",I6&lt;&gt;"insufficient_data",D6&gt;=cfg_li_r2_min),1,0)</f>
        <v/>
      </c>
      <c r="L6" s="18">
        <f>50+D6*50</f>
        <v/>
      </c>
      <c r="M6" s="5">
        <f>IF(K6=1,"Low-irradiance underperformance ("&amp;I6&amp;"): slope_low="&amp;TEXT(B6,"0.000000")&amp;" (r2="&amp;TEXT(D6,"0.000")&amp;", n="&amp;E6&amp;"); slope_mid="&amp;TEXT(F6,"0.000000"),"")</f>
        <v/>
      </c>
      <c r="N6" s="37">
        <f>ABS(B6-cfg_li_slope_threshold)*MAX(0,MIN(1,D6))</f>
        <v/>
      </c>
      <c r="O6" s="5" t="n"/>
      <c r="P6" s="5">
        <f>SUMPRODUCT((Helpers_LI!$A$5:$A$132=$A6)*Helpers_LI!$E$5:$E$132)</f>
        <v/>
      </c>
      <c r="Q6" s="5">
        <f>SUMPRODUCT((Helpers_LI!$A$5:$A$132=$A6)*Helpers_LI!$E$5:$E$132*Helpers_LI!$B$5:$B$132)</f>
        <v/>
      </c>
      <c r="R6" s="5">
        <f>SUMPRODUCT((Helpers_LI!$A$5:$A$132=$A6)*Helpers_LI!$E$5:$E$132*Helpers_LI!$D$5:$D$132)</f>
        <v/>
      </c>
      <c r="S6" s="5">
        <f>SUMPRODUCT((Helpers_LI!$A$5:$A$132=$A6)*Helpers_LI!$E$5:$E$132*Helpers_LI!$B$5:$B$132*Helpers_LI!$B$5:$B$132)</f>
        <v/>
      </c>
      <c r="T6" s="5">
        <f>SUMPRODUCT((Helpers_LI!$A$5:$A$132=$A6)*Helpers_LI!$E$5:$E$132*Helpers_LI!$B$5:$B$132*Helpers_LI!$D$5:$D$132)</f>
        <v/>
      </c>
      <c r="U6" s="5">
        <f>SUMPRODUCT((Helpers_LI!$A$5:$A$132=$A6)*Helpers_LI!$E$5:$E$132*Helpers_LI!$D$5:$D$132*Helpers_LI!$D$5:$D$132)</f>
        <v/>
      </c>
      <c r="V6" s="5">
        <f>SUMPRODUCT((Helpers_LI!$A$5:$A$132=$A6)*Helpers_LI!$F$5:$F$132)</f>
        <v/>
      </c>
      <c r="W6" s="5">
        <f>SUMPRODUCT((Helpers_LI!$A$5:$A$132=$A6)*Helpers_LI!$F$5:$F$132*Helpers_LI!$B$5:$B$132)</f>
        <v/>
      </c>
      <c r="X6" s="5">
        <f>SUMPRODUCT((Helpers_LI!$A$5:$A$132=$A6)*Helpers_LI!$F$5:$F$132*Helpers_LI!$D$5:$D$132)</f>
        <v/>
      </c>
      <c r="Y6" s="5">
        <f>SUMPRODUCT((Helpers_LI!$A$5:$A$132=$A6)*Helpers_LI!$F$5:$F$132*Helpers_LI!$B$5:$B$132*Helpers_LI!$B$5:$B$132)</f>
        <v/>
      </c>
      <c r="Z6" s="5">
        <f>SUMPRODUCT((Helpers_LI!$A$5:$A$132=$A6)*Helpers_LI!$F$5:$F$132*Helpers_LI!$B$5:$B$132*Helpers_LI!$D$5:$D$132)</f>
        <v/>
      </c>
      <c r="AA6" s="5">
        <f>SUMPRODUCT((Helpers_LI!$A$5:$A$132=$A6)*Helpers_LI!$F$5:$F$132*Helpers_LI!$D$5:$D$132*Helpers_LI!$D$5:$D$132)</f>
        <v/>
      </c>
    </row>
  </sheetData>
  <conditionalFormatting sqref="J5:J6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7">
      <formula>"MEDIUM"</formula>
    </cfRule>
    <cfRule type="cellIs" priority="4" operator="equal" dxfId="8">
      <formula>"INFO"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23" t="inlineStr">
        <is>
          <t>LI_Summary — hitung per klasifikasi (mirror LowIrradianceSummary)</t>
        </is>
      </c>
    </row>
    <row r="2">
      <c r="A2" s="24" t="inlineStr">
        <is>
          <t>Aggregat klasifikasi inverter. slope_threshold &amp; r2_min dari Config.</t>
        </is>
      </c>
    </row>
    <row r="4">
      <c r="A4" s="10" t="inlineStr">
        <is>
          <t>classification</t>
        </is>
      </c>
      <c r="B4" s="10" t="inlineStr">
        <is>
          <t>count</t>
        </is>
      </c>
    </row>
    <row r="5">
      <c r="A5" s="5" t="inlineStr">
        <is>
          <t>low_irradiance_underperform</t>
        </is>
      </c>
      <c r="B5" s="5">
        <f>COUNTIF(M2a_LowIrradiance!$I$5:$I$6,"low_irradiance_underperform")</f>
        <v/>
      </c>
    </row>
    <row r="6">
      <c r="A6" s="5" t="inlineStr">
        <is>
          <t>general_underperform</t>
        </is>
      </c>
      <c r="B6" s="5">
        <f>COUNTIF(M2a_LowIrradiance!$I$5:$I$6,"general_underperform")</f>
        <v/>
      </c>
    </row>
    <row r="7">
      <c r="A7" s="5" t="inlineStr">
        <is>
          <t>normal</t>
        </is>
      </c>
      <c r="B7" s="5">
        <f>COUNTIF(M2a_LowIrradiance!$I$5:$I$6,"normal")</f>
        <v/>
      </c>
    </row>
    <row r="8">
      <c r="A8" s="5" t="inlineStr">
        <is>
          <t>insufficient_data</t>
        </is>
      </c>
      <c r="B8" s="5">
        <f>COUNTIF(M2a_LowIrradiance!$I$5:$I$6,"insufficient_data")</f>
        <v/>
      </c>
    </row>
    <row r="10">
      <c r="A10" s="5" t="inlineStr">
        <is>
          <t>n_emit</t>
        </is>
      </c>
      <c r="B10" s="5">
        <f>SUM(M2a_LowIrradiance!K5:K6)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3" max="3"/>
  </cols>
  <sheetData>
    <row r="1">
      <c r="A1" s="23" t="inlineStr">
        <is>
          <t>Raw_Data_SH — daya per-PV (kW) + POA per timestamp (WB05-INV01)</t>
        </is>
      </c>
    </row>
    <row r="2">
      <c r="A2" s="24" t="inlineStr">
        <is>
          <t>1 inverter, 6 PV, 8 jam (08:00–15:00) × 6 timestamp/jam = 48 baris. Jam 8/9/10 di-shade (di-highlight): daya turun seragam → CV rendah + PR rendah.</t>
        </is>
      </c>
    </row>
    <row r="3">
      <c r="A3" s="24" t="inlineStr">
        <is>
          <t>Daya per-PV = Σ source PV{n} Power(kW) (atau V·I/1000). Ganti dengan data Huawei aktual (paste over).</t>
        </is>
      </c>
    </row>
    <row r="4">
      <c r="A4" s="10" t="inlineStr">
        <is>
          <t>inverter_id</t>
        </is>
      </c>
      <c r="B4" s="10" t="inlineStr">
        <is>
          <t>hour</t>
        </is>
      </c>
      <c r="C4" s="10" t="inlineStr">
        <is>
          <t>Start Time</t>
        </is>
      </c>
      <c r="D4" s="10" t="inlineStr">
        <is>
          <t>POA (W/m²)</t>
        </is>
      </c>
      <c r="E4" s="10" t="inlineStr">
        <is>
          <t>PV1 Power(kW)</t>
        </is>
      </c>
      <c r="F4" s="10" t="inlineStr">
        <is>
          <t>PV2 Power(kW)</t>
        </is>
      </c>
      <c r="G4" s="10" t="inlineStr">
        <is>
          <t>PV3 Power(kW)</t>
        </is>
      </c>
      <c r="H4" s="10" t="inlineStr">
        <is>
          <t>PV4 Power(kW)</t>
        </is>
      </c>
      <c r="I4" s="10" t="inlineStr">
        <is>
          <t>PV5 Power(kW)</t>
        </is>
      </c>
      <c r="J4" s="10" t="inlineStr">
        <is>
          <t>PV6 Power(kW)</t>
        </is>
      </c>
    </row>
    <row r="5">
      <c r="A5" s="5" t="inlineStr">
        <is>
          <t>WB05-INV01</t>
        </is>
      </c>
      <c r="B5" s="5" t="n">
        <v>8</v>
      </c>
      <c r="C5" s="40" t="n">
        <v>46156.33333333334</v>
      </c>
      <c r="D5" s="18" t="n">
        <v>339.5</v>
      </c>
      <c r="E5" s="43" t="n">
        <v>0.5658333333333333</v>
      </c>
      <c r="F5" s="43" t="n">
        <v>0.5771499999999999</v>
      </c>
      <c r="G5" s="43" t="n">
        <v>0.5545166666666667</v>
      </c>
      <c r="H5" s="43" t="n">
        <v>0.5714916666666666</v>
      </c>
      <c r="I5" s="43" t="n">
        <v>0.560175</v>
      </c>
      <c r="J5" s="43" t="n">
        <v>0.5658333333333333</v>
      </c>
    </row>
    <row r="6">
      <c r="A6" s="5" t="inlineStr">
        <is>
          <t>WB05-INV01</t>
        </is>
      </c>
      <c r="B6" s="5" t="n">
        <v>8</v>
      </c>
      <c r="C6" s="40" t="n">
        <v>46156.34027777778</v>
      </c>
      <c r="D6" s="18" t="n">
        <v>346.5</v>
      </c>
      <c r="E6" s="43" t="n">
        <v>0.5775</v>
      </c>
      <c r="F6" s="43" t="n">
        <v>0.58905</v>
      </c>
      <c r="G6" s="43" t="n">
        <v>0.56595</v>
      </c>
      <c r="H6" s="43" t="n">
        <v>0.583275</v>
      </c>
      <c r="I6" s="43" t="n">
        <v>0.5717249999999999</v>
      </c>
      <c r="J6" s="43" t="n">
        <v>0.5775</v>
      </c>
    </row>
    <row r="7">
      <c r="A7" s="5" t="inlineStr">
        <is>
          <t>WB05-INV01</t>
        </is>
      </c>
      <c r="B7" s="5" t="n">
        <v>8</v>
      </c>
      <c r="C7" s="40" t="n">
        <v>46156.34722222222</v>
      </c>
      <c r="D7" s="18" t="n">
        <v>350</v>
      </c>
      <c r="E7" s="43" t="n">
        <v>0.5833333333333334</v>
      </c>
      <c r="F7" s="43" t="n">
        <v>0.5950000000000001</v>
      </c>
      <c r="G7" s="43" t="n">
        <v>0.5716666666666667</v>
      </c>
      <c r="H7" s="43" t="n">
        <v>0.5891666666666667</v>
      </c>
      <c r="I7" s="43" t="n">
        <v>0.5775</v>
      </c>
      <c r="J7" s="43" t="n">
        <v>0.5833333333333334</v>
      </c>
    </row>
    <row r="8">
      <c r="A8" s="5" t="inlineStr">
        <is>
          <t>WB05-INV01</t>
        </is>
      </c>
      <c r="B8" s="5" t="n">
        <v>8</v>
      </c>
      <c r="C8" s="40" t="n">
        <v>46156.35416666666</v>
      </c>
      <c r="D8" s="18" t="n">
        <v>353.5</v>
      </c>
      <c r="E8" s="43" t="n">
        <v>0.5891666666666667</v>
      </c>
      <c r="F8" s="43" t="n">
        <v>0.60095</v>
      </c>
      <c r="G8" s="43" t="n">
        <v>0.5773833333333334</v>
      </c>
      <c r="H8" s="43" t="n">
        <v>0.5950583333333334</v>
      </c>
      <c r="I8" s="43" t="n">
        <v>0.583275</v>
      </c>
      <c r="J8" s="43" t="n">
        <v>0.5891666666666667</v>
      </c>
    </row>
    <row r="9">
      <c r="A9" s="5" t="inlineStr">
        <is>
          <t>WB05-INV01</t>
        </is>
      </c>
      <c r="B9" s="5" t="n">
        <v>8</v>
      </c>
      <c r="C9" s="40" t="n">
        <v>46156.36111111111</v>
      </c>
      <c r="D9" s="18" t="n">
        <v>350</v>
      </c>
      <c r="E9" s="43" t="n">
        <v>0.5833333333333334</v>
      </c>
      <c r="F9" s="43" t="n">
        <v>0.5950000000000001</v>
      </c>
      <c r="G9" s="43" t="n">
        <v>0.5716666666666667</v>
      </c>
      <c r="H9" s="43" t="n">
        <v>0.5891666666666667</v>
      </c>
      <c r="I9" s="43" t="n">
        <v>0.5775</v>
      </c>
      <c r="J9" s="43" t="n">
        <v>0.5833333333333334</v>
      </c>
    </row>
    <row r="10">
      <c r="A10" s="5" t="inlineStr">
        <is>
          <t>WB05-INV01</t>
        </is>
      </c>
      <c r="B10" s="5" t="n">
        <v>8</v>
      </c>
      <c r="C10" s="40" t="n">
        <v>46156.36805555555</v>
      </c>
      <c r="D10" s="18" t="n">
        <v>360.5</v>
      </c>
      <c r="E10" s="43" t="n">
        <v>0.6008333333333333</v>
      </c>
      <c r="F10" s="43" t="n">
        <v>0.61285</v>
      </c>
      <c r="G10" s="43" t="n">
        <v>0.5888166666666667</v>
      </c>
      <c r="H10" s="43" t="n">
        <v>0.6068416666666666</v>
      </c>
      <c r="I10" s="43" t="n">
        <v>0.594825</v>
      </c>
      <c r="J10" s="43" t="n">
        <v>0.6008333333333333</v>
      </c>
    </row>
    <row r="11">
      <c r="A11" s="5" t="inlineStr">
        <is>
          <t>WB05-INV01</t>
        </is>
      </c>
      <c r="B11" s="5" t="n">
        <v>9</v>
      </c>
      <c r="C11" s="40" t="n">
        <v>46156.375</v>
      </c>
      <c r="D11" s="18" t="n">
        <v>533.5</v>
      </c>
      <c r="E11" s="43" t="n">
        <v>0.8891666666666667</v>
      </c>
      <c r="F11" s="43" t="n">
        <v>0.90695</v>
      </c>
      <c r="G11" s="43" t="n">
        <v>0.8713833333333333</v>
      </c>
      <c r="H11" s="43" t="n">
        <v>0.8980583333333333</v>
      </c>
      <c r="I11" s="43" t="n">
        <v>0.880275</v>
      </c>
      <c r="J11" s="43" t="n">
        <v>0.8891666666666667</v>
      </c>
    </row>
    <row r="12">
      <c r="A12" s="5" t="inlineStr">
        <is>
          <t>WB05-INV01</t>
        </is>
      </c>
      <c r="B12" s="5" t="n">
        <v>9</v>
      </c>
      <c r="C12" s="40" t="n">
        <v>46156.38194444445</v>
      </c>
      <c r="D12" s="18" t="n">
        <v>544.5</v>
      </c>
      <c r="E12" s="43" t="n">
        <v>0.9075000000000001</v>
      </c>
      <c r="F12" s="43" t="n">
        <v>0.9256500000000001</v>
      </c>
      <c r="G12" s="43" t="n">
        <v>0.88935</v>
      </c>
      <c r="H12" s="43" t="n">
        <v>0.916575</v>
      </c>
      <c r="I12" s="43" t="n">
        <v>0.898425</v>
      </c>
      <c r="J12" s="43" t="n">
        <v>0.9075000000000001</v>
      </c>
    </row>
    <row r="13">
      <c r="A13" s="5" t="inlineStr">
        <is>
          <t>WB05-INV01</t>
        </is>
      </c>
      <c r="B13" s="5" t="n">
        <v>9</v>
      </c>
      <c r="C13" s="40" t="n">
        <v>46156.38888888889</v>
      </c>
      <c r="D13" s="18" t="n">
        <v>550</v>
      </c>
      <c r="E13" s="43" t="n">
        <v>0.9166666666666666</v>
      </c>
      <c r="F13" s="43" t="n">
        <v>0.9350000000000001</v>
      </c>
      <c r="G13" s="43" t="n">
        <v>0.8983333333333333</v>
      </c>
      <c r="H13" s="43" t="n">
        <v>0.9258333333333333</v>
      </c>
      <c r="I13" s="43" t="n">
        <v>0.9075000000000001</v>
      </c>
      <c r="J13" s="43" t="n">
        <v>0.9166666666666666</v>
      </c>
    </row>
    <row r="14">
      <c r="A14" s="5" t="inlineStr">
        <is>
          <t>WB05-INV01</t>
        </is>
      </c>
      <c r="B14" s="5" t="n">
        <v>9</v>
      </c>
      <c r="C14" s="40" t="n">
        <v>46156.39583333334</v>
      </c>
      <c r="D14" s="18" t="n">
        <v>555.5</v>
      </c>
      <c r="E14" s="43" t="n">
        <v>0.9258333333333333</v>
      </c>
      <c r="F14" s="43" t="n">
        <v>0.94435</v>
      </c>
      <c r="G14" s="43" t="n">
        <v>0.9073166666666665</v>
      </c>
      <c r="H14" s="43" t="n">
        <v>0.9350916666666667</v>
      </c>
      <c r="I14" s="43" t="n">
        <v>0.9165749999999999</v>
      </c>
      <c r="J14" s="43" t="n">
        <v>0.9258333333333333</v>
      </c>
    </row>
    <row r="15">
      <c r="A15" s="5" t="inlineStr">
        <is>
          <t>WB05-INV01</t>
        </is>
      </c>
      <c r="B15" s="5" t="n">
        <v>9</v>
      </c>
      <c r="C15" s="40" t="n">
        <v>46156.40277777778</v>
      </c>
      <c r="D15" s="18" t="n">
        <v>550</v>
      </c>
      <c r="E15" s="43" t="n">
        <v>0.9166666666666666</v>
      </c>
      <c r="F15" s="43" t="n">
        <v>0.9350000000000001</v>
      </c>
      <c r="G15" s="43" t="n">
        <v>0.8983333333333333</v>
      </c>
      <c r="H15" s="43" t="n">
        <v>0.9258333333333333</v>
      </c>
      <c r="I15" s="43" t="n">
        <v>0.9075000000000001</v>
      </c>
      <c r="J15" s="43" t="n">
        <v>0.9166666666666666</v>
      </c>
    </row>
    <row r="16">
      <c r="A16" s="5" t="inlineStr">
        <is>
          <t>WB05-INV01</t>
        </is>
      </c>
      <c r="B16" s="5" t="n">
        <v>9</v>
      </c>
      <c r="C16" s="40" t="n">
        <v>46156.40972222222</v>
      </c>
      <c r="D16" s="18" t="n">
        <v>566.5</v>
      </c>
      <c r="E16" s="43" t="n">
        <v>0.9441666666666667</v>
      </c>
      <c r="F16" s="43" t="n">
        <v>0.96305</v>
      </c>
      <c r="G16" s="43" t="n">
        <v>0.9252833333333333</v>
      </c>
      <c r="H16" s="43" t="n">
        <v>0.9536083333333334</v>
      </c>
      <c r="I16" s="43" t="n">
        <v>0.9347249999999999</v>
      </c>
      <c r="J16" s="43" t="n">
        <v>0.9441666666666667</v>
      </c>
    </row>
    <row r="17">
      <c r="A17" s="5" t="inlineStr">
        <is>
          <t>WB05-INV01</t>
        </is>
      </c>
      <c r="B17" s="5" t="n">
        <v>10</v>
      </c>
      <c r="C17" s="40" t="n">
        <v>46156.41666666666</v>
      </c>
      <c r="D17" s="18" t="n">
        <v>698.4</v>
      </c>
      <c r="E17" s="43" t="n">
        <v>1.164</v>
      </c>
      <c r="F17" s="43" t="n">
        <v>1.18728</v>
      </c>
      <c r="G17" s="43" t="n">
        <v>1.14072</v>
      </c>
      <c r="H17" s="43" t="n">
        <v>1.17564</v>
      </c>
      <c r="I17" s="43" t="n">
        <v>1.15236</v>
      </c>
      <c r="J17" s="43" t="n">
        <v>1.164</v>
      </c>
    </row>
    <row r="18">
      <c r="A18" s="5" t="inlineStr">
        <is>
          <t>WB05-INV01</t>
        </is>
      </c>
      <c r="B18" s="5" t="n">
        <v>10</v>
      </c>
      <c r="C18" s="40" t="n">
        <v>46156.42361111111</v>
      </c>
      <c r="D18" s="18" t="n">
        <v>712.8</v>
      </c>
      <c r="E18" s="43" t="n">
        <v>1.188</v>
      </c>
      <c r="F18" s="43" t="n">
        <v>1.21176</v>
      </c>
      <c r="G18" s="43" t="n">
        <v>1.16424</v>
      </c>
      <c r="H18" s="43" t="n">
        <v>1.19988</v>
      </c>
      <c r="I18" s="43" t="n">
        <v>1.17612</v>
      </c>
      <c r="J18" s="43" t="n">
        <v>1.188</v>
      </c>
    </row>
    <row r="19">
      <c r="A19" s="5" t="inlineStr">
        <is>
          <t>WB05-INV01</t>
        </is>
      </c>
      <c r="B19" s="5" t="n">
        <v>10</v>
      </c>
      <c r="C19" s="40" t="n">
        <v>46156.43055555555</v>
      </c>
      <c r="D19" s="18" t="n">
        <v>720</v>
      </c>
      <c r="E19" s="43" t="n">
        <v>1.2</v>
      </c>
      <c r="F19" s="43" t="n">
        <v>1.224</v>
      </c>
      <c r="G19" s="43" t="n">
        <v>1.176</v>
      </c>
      <c r="H19" s="43" t="n">
        <v>1.212</v>
      </c>
      <c r="I19" s="43" t="n">
        <v>1.188</v>
      </c>
      <c r="J19" s="43" t="n">
        <v>1.2</v>
      </c>
    </row>
    <row r="20">
      <c r="A20" s="5" t="inlineStr">
        <is>
          <t>WB05-INV01</t>
        </is>
      </c>
      <c r="B20" s="5" t="n">
        <v>10</v>
      </c>
      <c r="C20" s="40" t="n">
        <v>46156.4375</v>
      </c>
      <c r="D20" s="18" t="n">
        <v>727.2</v>
      </c>
      <c r="E20" s="43" t="n">
        <v>1.212</v>
      </c>
      <c r="F20" s="43" t="n">
        <v>1.23624</v>
      </c>
      <c r="G20" s="43" t="n">
        <v>1.18776</v>
      </c>
      <c r="H20" s="43" t="n">
        <v>1.22412</v>
      </c>
      <c r="I20" s="43" t="n">
        <v>1.19988</v>
      </c>
      <c r="J20" s="43" t="n">
        <v>1.212</v>
      </c>
    </row>
    <row r="21">
      <c r="A21" s="5" t="inlineStr">
        <is>
          <t>WB05-INV01</t>
        </is>
      </c>
      <c r="B21" s="5" t="n">
        <v>10</v>
      </c>
      <c r="C21" s="40" t="n">
        <v>46156.44444444445</v>
      </c>
      <c r="D21" s="18" t="n">
        <v>720</v>
      </c>
      <c r="E21" s="43" t="n">
        <v>1.2</v>
      </c>
      <c r="F21" s="43" t="n">
        <v>1.224</v>
      </c>
      <c r="G21" s="43" t="n">
        <v>1.176</v>
      </c>
      <c r="H21" s="43" t="n">
        <v>1.212</v>
      </c>
      <c r="I21" s="43" t="n">
        <v>1.188</v>
      </c>
      <c r="J21" s="43" t="n">
        <v>1.2</v>
      </c>
    </row>
    <row r="22">
      <c r="A22" s="5" t="inlineStr">
        <is>
          <t>WB05-INV01</t>
        </is>
      </c>
      <c r="B22" s="5" t="n">
        <v>10</v>
      </c>
      <c r="C22" s="40" t="n">
        <v>46156.45138888889</v>
      </c>
      <c r="D22" s="18" t="n">
        <v>741.6</v>
      </c>
      <c r="E22" s="43" t="n">
        <v>1.236</v>
      </c>
      <c r="F22" s="43" t="n">
        <v>1.26072</v>
      </c>
      <c r="G22" s="43" t="n">
        <v>1.21128</v>
      </c>
      <c r="H22" s="43" t="n">
        <v>1.24836</v>
      </c>
      <c r="I22" s="43" t="n">
        <v>1.22364</v>
      </c>
      <c r="J22" s="43" t="n">
        <v>1.236</v>
      </c>
    </row>
    <row r="23">
      <c r="A23" s="5" t="inlineStr">
        <is>
          <t>WB05-INV01</t>
        </is>
      </c>
      <c r="B23" s="5" t="n">
        <v>11</v>
      </c>
      <c r="C23" s="40" t="n">
        <v>46156.45833333334</v>
      </c>
      <c r="D23" s="18" t="n">
        <v>824.5</v>
      </c>
      <c r="E23" s="31" t="n">
        <v>2.748333333333333</v>
      </c>
      <c r="F23" s="31" t="n">
        <v>3.023166666666667</v>
      </c>
      <c r="G23" s="31" t="n">
        <v>2.4735</v>
      </c>
      <c r="H23" s="31" t="n">
        <v>2.88575</v>
      </c>
      <c r="I23" s="31" t="n">
        <v>2.610916666666666</v>
      </c>
      <c r="J23" s="31" t="n">
        <v>2.748333333333333</v>
      </c>
    </row>
    <row r="24">
      <c r="A24" s="5" t="inlineStr">
        <is>
          <t>WB05-INV01</t>
        </is>
      </c>
      <c r="B24" s="5" t="n">
        <v>11</v>
      </c>
      <c r="C24" s="40" t="n">
        <v>46156.46527777778</v>
      </c>
      <c r="D24" s="18" t="n">
        <v>841.5</v>
      </c>
      <c r="E24" s="31" t="n">
        <v>2.805</v>
      </c>
      <c r="F24" s="31" t="n">
        <v>3.0855</v>
      </c>
      <c r="G24" s="31" t="n">
        <v>2.5245</v>
      </c>
      <c r="H24" s="31" t="n">
        <v>2.94525</v>
      </c>
      <c r="I24" s="31" t="n">
        <v>2.66475</v>
      </c>
      <c r="J24" s="31" t="n">
        <v>2.805</v>
      </c>
    </row>
    <row r="25">
      <c r="A25" s="5" t="inlineStr">
        <is>
          <t>WB05-INV01</t>
        </is>
      </c>
      <c r="B25" s="5" t="n">
        <v>11</v>
      </c>
      <c r="C25" s="40" t="n">
        <v>46156.47222222222</v>
      </c>
      <c r="D25" s="18" t="n">
        <v>850</v>
      </c>
      <c r="E25" s="31" t="n">
        <v>2.833333333333333</v>
      </c>
      <c r="F25" s="31" t="n">
        <v>3.116666666666667</v>
      </c>
      <c r="G25" s="31" t="n">
        <v>2.55</v>
      </c>
      <c r="H25" s="31" t="n">
        <v>2.975</v>
      </c>
      <c r="I25" s="31" t="n">
        <v>2.691666666666666</v>
      </c>
      <c r="J25" s="31" t="n">
        <v>2.833333333333333</v>
      </c>
    </row>
    <row r="26">
      <c r="A26" s="5" t="inlineStr">
        <is>
          <t>WB05-INV01</t>
        </is>
      </c>
      <c r="B26" s="5" t="n">
        <v>11</v>
      </c>
      <c r="C26" s="40" t="n">
        <v>46156.47916666666</v>
      </c>
      <c r="D26" s="18" t="n">
        <v>858.5</v>
      </c>
      <c r="E26" s="31" t="n">
        <v>2.861666666666667</v>
      </c>
      <c r="F26" s="31" t="n">
        <v>3.147833333333334</v>
      </c>
      <c r="G26" s="31" t="n">
        <v>2.5755</v>
      </c>
      <c r="H26" s="31" t="n">
        <v>3.00475</v>
      </c>
      <c r="I26" s="31" t="n">
        <v>2.718583333333334</v>
      </c>
      <c r="J26" s="31" t="n">
        <v>2.861666666666667</v>
      </c>
    </row>
    <row r="27">
      <c r="A27" s="5" t="inlineStr">
        <is>
          <t>WB05-INV01</t>
        </is>
      </c>
      <c r="B27" s="5" t="n">
        <v>11</v>
      </c>
      <c r="C27" s="40" t="n">
        <v>46156.48611111111</v>
      </c>
      <c r="D27" s="18" t="n">
        <v>850</v>
      </c>
      <c r="E27" s="31" t="n">
        <v>2.833333333333333</v>
      </c>
      <c r="F27" s="31" t="n">
        <v>3.116666666666667</v>
      </c>
      <c r="G27" s="31" t="n">
        <v>2.55</v>
      </c>
      <c r="H27" s="31" t="n">
        <v>2.975</v>
      </c>
      <c r="I27" s="31" t="n">
        <v>2.691666666666666</v>
      </c>
      <c r="J27" s="31" t="n">
        <v>2.833333333333333</v>
      </c>
    </row>
    <row r="28">
      <c r="A28" s="5" t="inlineStr">
        <is>
          <t>WB05-INV01</t>
        </is>
      </c>
      <c r="B28" s="5" t="n">
        <v>11</v>
      </c>
      <c r="C28" s="40" t="n">
        <v>46156.49305555555</v>
      </c>
      <c r="D28" s="18" t="n">
        <v>875.5</v>
      </c>
      <c r="E28" s="31" t="n">
        <v>2.918333333333333</v>
      </c>
      <c r="F28" s="31" t="n">
        <v>3.210166666666667</v>
      </c>
      <c r="G28" s="31" t="n">
        <v>2.626500000000001</v>
      </c>
      <c r="H28" s="31" t="n">
        <v>3.064250000000001</v>
      </c>
      <c r="I28" s="31" t="n">
        <v>2.772416666666667</v>
      </c>
      <c r="J28" s="31" t="n">
        <v>2.918333333333333</v>
      </c>
    </row>
    <row r="29">
      <c r="A29" s="5" t="inlineStr">
        <is>
          <t>WB05-INV01</t>
        </is>
      </c>
      <c r="B29" s="5" t="n">
        <v>12</v>
      </c>
      <c r="C29" s="40" t="n">
        <v>46156.5</v>
      </c>
      <c r="D29" s="18" t="n">
        <v>873</v>
      </c>
      <c r="E29" s="31" t="n">
        <v>2.91</v>
      </c>
      <c r="F29" s="31" t="n">
        <v>3.201000000000001</v>
      </c>
      <c r="G29" s="31" t="n">
        <v>2.619</v>
      </c>
      <c r="H29" s="31" t="n">
        <v>3.0555</v>
      </c>
      <c r="I29" s="31" t="n">
        <v>2.7645</v>
      </c>
      <c r="J29" s="31" t="n">
        <v>2.91</v>
      </c>
    </row>
    <row r="30">
      <c r="A30" s="5" t="inlineStr">
        <is>
          <t>WB05-INV01</t>
        </is>
      </c>
      <c r="B30" s="5" t="n">
        <v>12</v>
      </c>
      <c r="C30" s="40" t="n">
        <v>46156.50694444445</v>
      </c>
      <c r="D30" s="18" t="n">
        <v>891</v>
      </c>
      <c r="E30" s="31" t="n">
        <v>2.97</v>
      </c>
      <c r="F30" s="31" t="n">
        <v>3.267</v>
      </c>
      <c r="G30" s="31" t="n">
        <v>2.673</v>
      </c>
      <c r="H30" s="31" t="n">
        <v>3.1185</v>
      </c>
      <c r="I30" s="31" t="n">
        <v>2.8215</v>
      </c>
      <c r="J30" s="31" t="n">
        <v>2.97</v>
      </c>
    </row>
    <row r="31">
      <c r="A31" s="5" t="inlineStr">
        <is>
          <t>WB05-INV01</t>
        </is>
      </c>
      <c r="B31" s="5" t="n">
        <v>12</v>
      </c>
      <c r="C31" s="40" t="n">
        <v>46156.51388888889</v>
      </c>
      <c r="D31" s="18" t="n">
        <v>900</v>
      </c>
      <c r="E31" s="31" t="n">
        <v>3</v>
      </c>
      <c r="F31" s="31" t="n">
        <v>3.3</v>
      </c>
      <c r="G31" s="31" t="n">
        <v>2.7</v>
      </c>
      <c r="H31" s="31" t="n">
        <v>3.15</v>
      </c>
      <c r="I31" s="31" t="n">
        <v>2.85</v>
      </c>
      <c r="J31" s="31" t="n">
        <v>3</v>
      </c>
    </row>
    <row r="32">
      <c r="A32" s="5" t="inlineStr">
        <is>
          <t>WB05-INV01</t>
        </is>
      </c>
      <c r="B32" s="5" t="n">
        <v>12</v>
      </c>
      <c r="C32" s="40" t="n">
        <v>46156.52083333334</v>
      </c>
      <c r="D32" s="18" t="n">
        <v>909</v>
      </c>
      <c r="E32" s="31" t="n">
        <v>3.03</v>
      </c>
      <c r="F32" s="31" t="n">
        <v>3.333</v>
      </c>
      <c r="G32" s="31" t="n">
        <v>2.727</v>
      </c>
      <c r="H32" s="31" t="n">
        <v>3.1815</v>
      </c>
      <c r="I32" s="31" t="n">
        <v>2.878499999999999</v>
      </c>
      <c r="J32" s="31" t="n">
        <v>3.03</v>
      </c>
    </row>
    <row r="33">
      <c r="A33" s="5" t="inlineStr">
        <is>
          <t>WB05-INV01</t>
        </is>
      </c>
      <c r="B33" s="5" t="n">
        <v>12</v>
      </c>
      <c r="C33" s="40" t="n">
        <v>46156.52777777778</v>
      </c>
      <c r="D33" s="18" t="n">
        <v>900</v>
      </c>
      <c r="E33" s="31" t="n">
        <v>3</v>
      </c>
      <c r="F33" s="31" t="n">
        <v>3.3</v>
      </c>
      <c r="G33" s="31" t="n">
        <v>2.7</v>
      </c>
      <c r="H33" s="31" t="n">
        <v>3.15</v>
      </c>
      <c r="I33" s="31" t="n">
        <v>2.85</v>
      </c>
      <c r="J33" s="31" t="n">
        <v>3</v>
      </c>
    </row>
    <row r="34">
      <c r="A34" s="5" t="inlineStr">
        <is>
          <t>WB05-INV01</t>
        </is>
      </c>
      <c r="B34" s="5" t="n">
        <v>12</v>
      </c>
      <c r="C34" s="40" t="n">
        <v>46156.53472222222</v>
      </c>
      <c r="D34" s="18" t="n">
        <v>927</v>
      </c>
      <c r="E34" s="31" t="n">
        <v>3.09</v>
      </c>
      <c r="F34" s="31" t="n">
        <v>3.399</v>
      </c>
      <c r="G34" s="31" t="n">
        <v>2.781</v>
      </c>
      <c r="H34" s="31" t="n">
        <v>3.2445</v>
      </c>
      <c r="I34" s="31" t="n">
        <v>2.9355</v>
      </c>
      <c r="J34" s="31" t="n">
        <v>3.09</v>
      </c>
    </row>
    <row r="35">
      <c r="A35" s="5" t="inlineStr">
        <is>
          <t>WB05-INV01</t>
        </is>
      </c>
      <c r="B35" s="5" t="n">
        <v>13</v>
      </c>
      <c r="C35" s="40" t="n">
        <v>46156.54166666666</v>
      </c>
      <c r="D35" s="18" t="n">
        <v>795.4</v>
      </c>
      <c r="E35" s="31" t="n">
        <v>2.651333333333333</v>
      </c>
      <c r="F35" s="31" t="n">
        <v>2.916466666666667</v>
      </c>
      <c r="G35" s="31" t="n">
        <v>2.3862</v>
      </c>
      <c r="H35" s="31" t="n">
        <v>2.7839</v>
      </c>
      <c r="I35" s="31" t="n">
        <v>2.518766666666666</v>
      </c>
      <c r="J35" s="31" t="n">
        <v>2.651333333333333</v>
      </c>
    </row>
    <row r="36">
      <c r="A36" s="5" t="inlineStr">
        <is>
          <t>WB05-INV01</t>
        </is>
      </c>
      <c r="B36" s="5" t="n">
        <v>13</v>
      </c>
      <c r="C36" s="40" t="n">
        <v>46156.54861111111</v>
      </c>
      <c r="D36" s="18" t="n">
        <v>811.8</v>
      </c>
      <c r="E36" s="31" t="n">
        <v>2.706</v>
      </c>
      <c r="F36" s="31" t="n">
        <v>2.976599999999999</v>
      </c>
      <c r="G36" s="31" t="n">
        <v>2.4354</v>
      </c>
      <c r="H36" s="31" t="n">
        <v>2.8413</v>
      </c>
      <c r="I36" s="31" t="n">
        <v>2.5707</v>
      </c>
      <c r="J36" s="31" t="n">
        <v>2.706</v>
      </c>
    </row>
    <row r="37">
      <c r="A37" s="5" t="inlineStr">
        <is>
          <t>WB05-INV01</t>
        </is>
      </c>
      <c r="B37" s="5" t="n">
        <v>13</v>
      </c>
      <c r="C37" s="40" t="n">
        <v>46156.55555555555</v>
      </c>
      <c r="D37" s="18" t="n">
        <v>820</v>
      </c>
      <c r="E37" s="31" t="n">
        <v>2.733333333333333</v>
      </c>
      <c r="F37" s="31" t="n">
        <v>3.006666666666666</v>
      </c>
      <c r="G37" s="31" t="n">
        <v>2.46</v>
      </c>
      <c r="H37" s="31" t="n">
        <v>2.87</v>
      </c>
      <c r="I37" s="31" t="n">
        <v>2.596666666666666</v>
      </c>
      <c r="J37" s="31" t="n">
        <v>2.733333333333333</v>
      </c>
    </row>
    <row r="38">
      <c r="A38" s="5" t="inlineStr">
        <is>
          <t>WB05-INV01</t>
        </is>
      </c>
      <c r="B38" s="5" t="n">
        <v>13</v>
      </c>
      <c r="C38" s="40" t="n">
        <v>46156.5625</v>
      </c>
      <c r="D38" s="18" t="n">
        <v>828.2</v>
      </c>
      <c r="E38" s="31" t="n">
        <v>2.760666666666667</v>
      </c>
      <c r="F38" s="31" t="n">
        <v>3.036733333333334</v>
      </c>
      <c r="G38" s="31" t="n">
        <v>2.4846</v>
      </c>
      <c r="H38" s="31" t="n">
        <v>2.8987</v>
      </c>
      <c r="I38" s="31" t="n">
        <v>2.622633333333333</v>
      </c>
      <c r="J38" s="31" t="n">
        <v>2.760666666666667</v>
      </c>
    </row>
    <row r="39">
      <c r="A39" s="5" t="inlineStr">
        <is>
          <t>WB05-INV01</t>
        </is>
      </c>
      <c r="B39" s="5" t="n">
        <v>13</v>
      </c>
      <c r="C39" s="40" t="n">
        <v>46156.56944444445</v>
      </c>
      <c r="D39" s="18" t="n">
        <v>820</v>
      </c>
      <c r="E39" s="31" t="n">
        <v>2.733333333333333</v>
      </c>
      <c r="F39" s="31" t="n">
        <v>3.006666666666666</v>
      </c>
      <c r="G39" s="31" t="n">
        <v>2.46</v>
      </c>
      <c r="H39" s="31" t="n">
        <v>2.87</v>
      </c>
      <c r="I39" s="31" t="n">
        <v>2.596666666666666</v>
      </c>
      <c r="J39" s="31" t="n">
        <v>2.733333333333333</v>
      </c>
    </row>
    <row r="40">
      <c r="A40" s="5" t="inlineStr">
        <is>
          <t>WB05-INV01</t>
        </is>
      </c>
      <c r="B40" s="5" t="n">
        <v>13</v>
      </c>
      <c r="C40" s="40" t="n">
        <v>46156.57638888889</v>
      </c>
      <c r="D40" s="18" t="n">
        <v>844.6</v>
      </c>
      <c r="E40" s="31" t="n">
        <v>2.815333333333333</v>
      </c>
      <c r="F40" s="31" t="n">
        <v>3.096866666666667</v>
      </c>
      <c r="G40" s="31" t="n">
        <v>2.5338</v>
      </c>
      <c r="H40" s="31" t="n">
        <v>2.9561</v>
      </c>
      <c r="I40" s="31" t="n">
        <v>2.674566666666667</v>
      </c>
      <c r="J40" s="31" t="n">
        <v>2.815333333333333</v>
      </c>
    </row>
    <row r="41">
      <c r="A41" s="5" t="inlineStr">
        <is>
          <t>WB05-INV01</t>
        </is>
      </c>
      <c r="B41" s="5" t="n">
        <v>14</v>
      </c>
      <c r="C41" s="40" t="n">
        <v>46156.58333333334</v>
      </c>
      <c r="D41" s="18" t="n">
        <v>630.5</v>
      </c>
      <c r="E41" s="31" t="n">
        <v>2.101666666666667</v>
      </c>
      <c r="F41" s="31" t="n">
        <v>2.311833333333333</v>
      </c>
      <c r="G41" s="31" t="n">
        <v>1.8915</v>
      </c>
      <c r="H41" s="31" t="n">
        <v>2.20675</v>
      </c>
      <c r="I41" s="31" t="n">
        <v>1.996583333333333</v>
      </c>
      <c r="J41" s="31" t="n">
        <v>2.101666666666667</v>
      </c>
    </row>
    <row r="42">
      <c r="A42" s="5" t="inlineStr">
        <is>
          <t>WB05-INV01</t>
        </is>
      </c>
      <c r="B42" s="5" t="n">
        <v>14</v>
      </c>
      <c r="C42" s="40" t="n">
        <v>46156.59027777778</v>
      </c>
      <c r="D42" s="18" t="n">
        <v>643.5</v>
      </c>
      <c r="E42" s="31" t="n">
        <v>2.145</v>
      </c>
      <c r="F42" s="31" t="n">
        <v>2.3595</v>
      </c>
      <c r="G42" s="31" t="n">
        <v>1.9305</v>
      </c>
      <c r="H42" s="31" t="n">
        <v>2.25225</v>
      </c>
      <c r="I42" s="31" t="n">
        <v>2.03775</v>
      </c>
      <c r="J42" s="31" t="n">
        <v>2.145</v>
      </c>
    </row>
    <row r="43">
      <c r="A43" s="5" t="inlineStr">
        <is>
          <t>WB05-INV01</t>
        </is>
      </c>
      <c r="B43" s="5" t="n">
        <v>14</v>
      </c>
      <c r="C43" s="40" t="n">
        <v>46156.59722222222</v>
      </c>
      <c r="D43" s="18" t="n">
        <v>650</v>
      </c>
      <c r="E43" s="31" t="n">
        <v>2.166666666666667</v>
      </c>
      <c r="F43" s="31" t="n">
        <v>2.383333333333333</v>
      </c>
      <c r="G43" s="31" t="n">
        <v>1.95</v>
      </c>
      <c r="H43" s="31" t="n">
        <v>2.275</v>
      </c>
      <c r="I43" s="31" t="n">
        <v>2.058333333333333</v>
      </c>
      <c r="J43" s="31" t="n">
        <v>2.166666666666667</v>
      </c>
    </row>
    <row r="44">
      <c r="A44" s="5" t="inlineStr">
        <is>
          <t>WB05-INV01</t>
        </is>
      </c>
      <c r="B44" s="5" t="n">
        <v>14</v>
      </c>
      <c r="C44" s="40" t="n">
        <v>46156.60416666666</v>
      </c>
      <c r="D44" s="18" t="n">
        <v>656.5</v>
      </c>
      <c r="E44" s="31" t="n">
        <v>2.188333333333333</v>
      </c>
      <c r="F44" s="31" t="n">
        <v>2.407166666666667</v>
      </c>
      <c r="G44" s="31" t="n">
        <v>1.9695</v>
      </c>
      <c r="H44" s="31" t="n">
        <v>2.29775</v>
      </c>
      <c r="I44" s="31" t="n">
        <v>2.078916666666667</v>
      </c>
      <c r="J44" s="31" t="n">
        <v>2.188333333333333</v>
      </c>
    </row>
    <row r="45">
      <c r="A45" s="5" t="inlineStr">
        <is>
          <t>WB05-INV01</t>
        </is>
      </c>
      <c r="B45" s="5" t="n">
        <v>14</v>
      </c>
      <c r="C45" s="40" t="n">
        <v>46156.61111111111</v>
      </c>
      <c r="D45" s="18" t="n">
        <v>650</v>
      </c>
      <c r="E45" s="31" t="n">
        <v>2.166666666666667</v>
      </c>
      <c r="F45" s="31" t="n">
        <v>2.383333333333333</v>
      </c>
      <c r="G45" s="31" t="n">
        <v>1.95</v>
      </c>
      <c r="H45" s="31" t="n">
        <v>2.275</v>
      </c>
      <c r="I45" s="31" t="n">
        <v>2.058333333333333</v>
      </c>
      <c r="J45" s="31" t="n">
        <v>2.166666666666667</v>
      </c>
    </row>
    <row r="46">
      <c r="A46" s="5" t="inlineStr">
        <is>
          <t>WB05-INV01</t>
        </is>
      </c>
      <c r="B46" s="5" t="n">
        <v>14</v>
      </c>
      <c r="C46" s="40" t="n">
        <v>46156.61805555555</v>
      </c>
      <c r="D46" s="18" t="n">
        <v>669.5</v>
      </c>
      <c r="E46" s="31" t="n">
        <v>2.231666666666667</v>
      </c>
      <c r="F46" s="31" t="n">
        <v>2.454833333333334</v>
      </c>
      <c r="G46" s="31" t="n">
        <v>2.0085</v>
      </c>
      <c r="H46" s="31" t="n">
        <v>2.34325</v>
      </c>
      <c r="I46" s="31" t="n">
        <v>2.120083333333333</v>
      </c>
      <c r="J46" s="31" t="n">
        <v>2.231666666666667</v>
      </c>
    </row>
    <row r="47">
      <c r="A47" s="5" t="inlineStr">
        <is>
          <t>WB05-INV01</t>
        </is>
      </c>
      <c r="B47" s="5" t="n">
        <v>15</v>
      </c>
      <c r="C47" s="40" t="n">
        <v>46156.625</v>
      </c>
      <c r="D47" s="18" t="n">
        <v>436.5</v>
      </c>
      <c r="E47" s="31" t="n">
        <v>1.455</v>
      </c>
      <c r="F47" s="31" t="n">
        <v>1.6005</v>
      </c>
      <c r="G47" s="31" t="n">
        <v>1.3095</v>
      </c>
      <c r="H47" s="31" t="n">
        <v>1.52775</v>
      </c>
      <c r="I47" s="31" t="n">
        <v>1.38225</v>
      </c>
      <c r="J47" s="31" t="n">
        <v>1.455</v>
      </c>
    </row>
    <row r="48">
      <c r="A48" s="5" t="inlineStr">
        <is>
          <t>WB05-INV01</t>
        </is>
      </c>
      <c r="B48" s="5" t="n">
        <v>15</v>
      </c>
      <c r="C48" s="40" t="n">
        <v>46156.63194444445</v>
      </c>
      <c r="D48" s="18" t="n">
        <v>445.5</v>
      </c>
      <c r="E48" s="31" t="n">
        <v>1.485</v>
      </c>
      <c r="F48" s="31" t="n">
        <v>1.6335</v>
      </c>
      <c r="G48" s="31" t="n">
        <v>1.3365</v>
      </c>
      <c r="H48" s="31" t="n">
        <v>1.55925</v>
      </c>
      <c r="I48" s="31" t="n">
        <v>1.41075</v>
      </c>
      <c r="J48" s="31" t="n">
        <v>1.485</v>
      </c>
    </row>
    <row r="49">
      <c r="A49" s="5" t="inlineStr">
        <is>
          <t>WB05-INV01</t>
        </is>
      </c>
      <c r="B49" s="5" t="n">
        <v>15</v>
      </c>
      <c r="C49" s="40" t="n">
        <v>46156.63888888889</v>
      </c>
      <c r="D49" s="18" t="n">
        <v>450</v>
      </c>
      <c r="E49" s="31" t="n">
        <v>1.5</v>
      </c>
      <c r="F49" s="31" t="n">
        <v>1.65</v>
      </c>
      <c r="G49" s="31" t="n">
        <v>1.35</v>
      </c>
      <c r="H49" s="31" t="n">
        <v>1.575</v>
      </c>
      <c r="I49" s="31" t="n">
        <v>1.425</v>
      </c>
      <c r="J49" s="31" t="n">
        <v>1.5</v>
      </c>
    </row>
    <row r="50">
      <c r="A50" s="5" t="inlineStr">
        <is>
          <t>WB05-INV01</t>
        </is>
      </c>
      <c r="B50" s="5" t="n">
        <v>15</v>
      </c>
      <c r="C50" s="40" t="n">
        <v>46156.64583333334</v>
      </c>
      <c r="D50" s="18" t="n">
        <v>454.5</v>
      </c>
      <c r="E50" s="31" t="n">
        <v>1.515</v>
      </c>
      <c r="F50" s="31" t="n">
        <v>1.6665</v>
      </c>
      <c r="G50" s="31" t="n">
        <v>1.3635</v>
      </c>
      <c r="H50" s="31" t="n">
        <v>1.59075</v>
      </c>
      <c r="I50" s="31" t="n">
        <v>1.43925</v>
      </c>
      <c r="J50" s="31" t="n">
        <v>1.515</v>
      </c>
    </row>
    <row r="51">
      <c r="A51" s="5" t="inlineStr">
        <is>
          <t>WB05-INV01</t>
        </is>
      </c>
      <c r="B51" s="5" t="n">
        <v>15</v>
      </c>
      <c r="C51" s="40" t="n">
        <v>46156.65277777778</v>
      </c>
      <c r="D51" s="18" t="n">
        <v>450</v>
      </c>
      <c r="E51" s="31" t="n">
        <v>1.5</v>
      </c>
      <c r="F51" s="31" t="n">
        <v>1.65</v>
      </c>
      <c r="G51" s="31" t="n">
        <v>1.35</v>
      </c>
      <c r="H51" s="31" t="n">
        <v>1.575</v>
      </c>
      <c r="I51" s="31" t="n">
        <v>1.425</v>
      </c>
      <c r="J51" s="31" t="n">
        <v>1.5</v>
      </c>
    </row>
    <row r="52">
      <c r="A52" s="5" t="inlineStr">
        <is>
          <t>WB05-INV01</t>
        </is>
      </c>
      <c r="B52" s="5" t="n">
        <v>15</v>
      </c>
      <c r="C52" s="40" t="n">
        <v>46156.65972222222</v>
      </c>
      <c r="D52" s="18" t="n">
        <v>463.5</v>
      </c>
      <c r="E52" s="31" t="n">
        <v>1.545</v>
      </c>
      <c r="F52" s="31" t="n">
        <v>1.6995</v>
      </c>
      <c r="G52" s="31" t="n">
        <v>1.3905</v>
      </c>
      <c r="H52" s="31" t="n">
        <v>1.62225</v>
      </c>
      <c r="I52" s="31" t="n">
        <v>1.46775</v>
      </c>
      <c r="J52" s="31" t="n">
        <v>1.545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11" customWidth="1" min="2" max="2"/>
  </cols>
  <sheetData>
    <row r="1">
      <c r="A1" s="23" t="inlineStr">
        <is>
          <t>Helpers_SH — per timestamp: inv_total + CV antar PV</t>
        </is>
      </c>
    </row>
    <row r="2">
      <c r="A2" s="24" t="inlineStr">
        <is>
          <t>inv_total = Σ daya PV. CV_ts = STDEVP(daya PV)/AVERAGE(daya PV) — variasi antar string (uniform shading → CV kecil).</t>
        </is>
      </c>
    </row>
    <row r="3">
      <c r="A3" s="24" t="inlineStr">
        <is>
          <t>Production pakai hanya daya finite &amp; &gt;0 (di sini semua positif). cv_hour = MEDIAN(CV_ts) dihitung di SH_Hourly.</t>
        </is>
      </c>
    </row>
    <row r="4">
      <c r="A4" s="10" t="inlineStr">
        <is>
          <t>hour</t>
        </is>
      </c>
      <c r="B4" s="10" t="inlineStr">
        <is>
          <t>Start Time</t>
        </is>
      </c>
      <c r="C4" s="10" t="inlineStr">
        <is>
          <t>POA</t>
        </is>
      </c>
      <c r="D4" s="10" t="inlineStr">
        <is>
          <t>inv_total (kW)</t>
        </is>
      </c>
      <c r="E4" s="10" t="inlineStr">
        <is>
          <t>CV_ts</t>
        </is>
      </c>
    </row>
    <row r="5">
      <c r="A5" s="5">
        <f>Raw_Data_SH!B5</f>
        <v/>
      </c>
      <c r="B5" s="40">
        <f>Raw_Data_SH!C5</f>
        <v/>
      </c>
      <c r="C5" s="18">
        <f>Raw_Data_SH!D5</f>
        <v/>
      </c>
      <c r="D5" s="17">
        <f>SUM(Raw_Data_SH!E5:J5)</f>
        <v/>
      </c>
      <c r="E5" s="42">
        <f>STDEVP(Raw_Data_SH!E5:J5)/AVERAGE(Raw_Data_SH!E5:J5)</f>
        <v/>
      </c>
    </row>
    <row r="6">
      <c r="A6" s="5">
        <f>Raw_Data_SH!B6</f>
        <v/>
      </c>
      <c r="B6" s="40">
        <f>Raw_Data_SH!C6</f>
        <v/>
      </c>
      <c r="C6" s="18">
        <f>Raw_Data_SH!D6</f>
        <v/>
      </c>
      <c r="D6" s="17">
        <f>SUM(Raw_Data_SH!E6:J6)</f>
        <v/>
      </c>
      <c r="E6" s="42">
        <f>STDEVP(Raw_Data_SH!E6:J6)/AVERAGE(Raw_Data_SH!E6:J6)</f>
        <v/>
      </c>
    </row>
    <row r="7">
      <c r="A7" s="5">
        <f>Raw_Data_SH!B7</f>
        <v/>
      </c>
      <c r="B7" s="40">
        <f>Raw_Data_SH!C7</f>
        <v/>
      </c>
      <c r="C7" s="18">
        <f>Raw_Data_SH!D7</f>
        <v/>
      </c>
      <c r="D7" s="17">
        <f>SUM(Raw_Data_SH!E7:J7)</f>
        <v/>
      </c>
      <c r="E7" s="42">
        <f>STDEVP(Raw_Data_SH!E7:J7)/AVERAGE(Raw_Data_SH!E7:J7)</f>
        <v/>
      </c>
    </row>
    <row r="8">
      <c r="A8" s="5">
        <f>Raw_Data_SH!B8</f>
        <v/>
      </c>
      <c r="B8" s="40">
        <f>Raw_Data_SH!C8</f>
        <v/>
      </c>
      <c r="C8" s="18">
        <f>Raw_Data_SH!D8</f>
        <v/>
      </c>
      <c r="D8" s="17">
        <f>SUM(Raw_Data_SH!E8:J8)</f>
        <v/>
      </c>
      <c r="E8" s="42">
        <f>STDEVP(Raw_Data_SH!E8:J8)/AVERAGE(Raw_Data_SH!E8:J8)</f>
        <v/>
      </c>
    </row>
    <row r="9">
      <c r="A9" s="5">
        <f>Raw_Data_SH!B9</f>
        <v/>
      </c>
      <c r="B9" s="40">
        <f>Raw_Data_SH!C9</f>
        <v/>
      </c>
      <c r="C9" s="18">
        <f>Raw_Data_SH!D9</f>
        <v/>
      </c>
      <c r="D9" s="17">
        <f>SUM(Raw_Data_SH!E9:J9)</f>
        <v/>
      </c>
      <c r="E9" s="42">
        <f>STDEVP(Raw_Data_SH!E9:J9)/AVERAGE(Raw_Data_SH!E9:J9)</f>
        <v/>
      </c>
    </row>
    <row r="10">
      <c r="A10" s="5">
        <f>Raw_Data_SH!B10</f>
        <v/>
      </c>
      <c r="B10" s="40">
        <f>Raw_Data_SH!C10</f>
        <v/>
      </c>
      <c r="C10" s="18">
        <f>Raw_Data_SH!D10</f>
        <v/>
      </c>
      <c r="D10" s="17">
        <f>SUM(Raw_Data_SH!E10:J10)</f>
        <v/>
      </c>
      <c r="E10" s="42">
        <f>STDEVP(Raw_Data_SH!E10:J10)/AVERAGE(Raw_Data_SH!E10:J10)</f>
        <v/>
      </c>
    </row>
    <row r="11">
      <c r="A11" s="5">
        <f>Raw_Data_SH!B11</f>
        <v/>
      </c>
      <c r="B11" s="40">
        <f>Raw_Data_SH!C11</f>
        <v/>
      </c>
      <c r="C11" s="18">
        <f>Raw_Data_SH!D11</f>
        <v/>
      </c>
      <c r="D11" s="17">
        <f>SUM(Raw_Data_SH!E11:J11)</f>
        <v/>
      </c>
      <c r="E11" s="42">
        <f>STDEVP(Raw_Data_SH!E11:J11)/AVERAGE(Raw_Data_SH!E11:J11)</f>
        <v/>
      </c>
    </row>
    <row r="12">
      <c r="A12" s="5">
        <f>Raw_Data_SH!B12</f>
        <v/>
      </c>
      <c r="B12" s="40">
        <f>Raw_Data_SH!C12</f>
        <v/>
      </c>
      <c r="C12" s="18">
        <f>Raw_Data_SH!D12</f>
        <v/>
      </c>
      <c r="D12" s="17">
        <f>SUM(Raw_Data_SH!E12:J12)</f>
        <v/>
      </c>
      <c r="E12" s="42">
        <f>STDEVP(Raw_Data_SH!E12:J12)/AVERAGE(Raw_Data_SH!E12:J12)</f>
        <v/>
      </c>
    </row>
    <row r="13">
      <c r="A13" s="5">
        <f>Raw_Data_SH!B13</f>
        <v/>
      </c>
      <c r="B13" s="40">
        <f>Raw_Data_SH!C13</f>
        <v/>
      </c>
      <c r="C13" s="18">
        <f>Raw_Data_SH!D13</f>
        <v/>
      </c>
      <c r="D13" s="17">
        <f>SUM(Raw_Data_SH!E13:J13)</f>
        <v/>
      </c>
      <c r="E13" s="42">
        <f>STDEVP(Raw_Data_SH!E13:J13)/AVERAGE(Raw_Data_SH!E13:J13)</f>
        <v/>
      </c>
    </row>
    <row r="14">
      <c r="A14" s="5">
        <f>Raw_Data_SH!B14</f>
        <v/>
      </c>
      <c r="B14" s="40">
        <f>Raw_Data_SH!C14</f>
        <v/>
      </c>
      <c r="C14" s="18">
        <f>Raw_Data_SH!D14</f>
        <v/>
      </c>
      <c r="D14" s="17">
        <f>SUM(Raw_Data_SH!E14:J14)</f>
        <v/>
      </c>
      <c r="E14" s="42">
        <f>STDEVP(Raw_Data_SH!E14:J14)/AVERAGE(Raw_Data_SH!E14:J14)</f>
        <v/>
      </c>
    </row>
    <row r="15">
      <c r="A15" s="5">
        <f>Raw_Data_SH!B15</f>
        <v/>
      </c>
      <c r="B15" s="40">
        <f>Raw_Data_SH!C15</f>
        <v/>
      </c>
      <c r="C15" s="18">
        <f>Raw_Data_SH!D15</f>
        <v/>
      </c>
      <c r="D15" s="17">
        <f>SUM(Raw_Data_SH!E15:J15)</f>
        <v/>
      </c>
      <c r="E15" s="42">
        <f>STDEVP(Raw_Data_SH!E15:J15)/AVERAGE(Raw_Data_SH!E15:J15)</f>
        <v/>
      </c>
    </row>
    <row r="16">
      <c r="A16" s="5">
        <f>Raw_Data_SH!B16</f>
        <v/>
      </c>
      <c r="B16" s="40">
        <f>Raw_Data_SH!C16</f>
        <v/>
      </c>
      <c r="C16" s="18">
        <f>Raw_Data_SH!D16</f>
        <v/>
      </c>
      <c r="D16" s="17">
        <f>SUM(Raw_Data_SH!E16:J16)</f>
        <v/>
      </c>
      <c r="E16" s="42">
        <f>STDEVP(Raw_Data_SH!E16:J16)/AVERAGE(Raw_Data_SH!E16:J16)</f>
        <v/>
      </c>
    </row>
    <row r="17">
      <c r="A17" s="5">
        <f>Raw_Data_SH!B17</f>
        <v/>
      </c>
      <c r="B17" s="40">
        <f>Raw_Data_SH!C17</f>
        <v/>
      </c>
      <c r="C17" s="18">
        <f>Raw_Data_SH!D17</f>
        <v/>
      </c>
      <c r="D17" s="17">
        <f>SUM(Raw_Data_SH!E17:J17)</f>
        <v/>
      </c>
      <c r="E17" s="42">
        <f>STDEVP(Raw_Data_SH!E17:J17)/AVERAGE(Raw_Data_SH!E17:J17)</f>
        <v/>
      </c>
    </row>
    <row r="18">
      <c r="A18" s="5">
        <f>Raw_Data_SH!B18</f>
        <v/>
      </c>
      <c r="B18" s="40">
        <f>Raw_Data_SH!C18</f>
        <v/>
      </c>
      <c r="C18" s="18">
        <f>Raw_Data_SH!D18</f>
        <v/>
      </c>
      <c r="D18" s="17">
        <f>SUM(Raw_Data_SH!E18:J18)</f>
        <v/>
      </c>
      <c r="E18" s="42">
        <f>STDEVP(Raw_Data_SH!E18:J18)/AVERAGE(Raw_Data_SH!E18:J18)</f>
        <v/>
      </c>
    </row>
    <row r="19">
      <c r="A19" s="5">
        <f>Raw_Data_SH!B19</f>
        <v/>
      </c>
      <c r="B19" s="40">
        <f>Raw_Data_SH!C19</f>
        <v/>
      </c>
      <c r="C19" s="18">
        <f>Raw_Data_SH!D19</f>
        <v/>
      </c>
      <c r="D19" s="17">
        <f>SUM(Raw_Data_SH!E19:J19)</f>
        <v/>
      </c>
      <c r="E19" s="42">
        <f>STDEVP(Raw_Data_SH!E19:J19)/AVERAGE(Raw_Data_SH!E19:J19)</f>
        <v/>
      </c>
    </row>
    <row r="20">
      <c r="A20" s="5">
        <f>Raw_Data_SH!B20</f>
        <v/>
      </c>
      <c r="B20" s="40">
        <f>Raw_Data_SH!C20</f>
        <v/>
      </c>
      <c r="C20" s="18">
        <f>Raw_Data_SH!D20</f>
        <v/>
      </c>
      <c r="D20" s="17">
        <f>SUM(Raw_Data_SH!E20:J20)</f>
        <v/>
      </c>
      <c r="E20" s="42">
        <f>STDEVP(Raw_Data_SH!E20:J20)/AVERAGE(Raw_Data_SH!E20:J20)</f>
        <v/>
      </c>
    </row>
    <row r="21">
      <c r="A21" s="5">
        <f>Raw_Data_SH!B21</f>
        <v/>
      </c>
      <c r="B21" s="40">
        <f>Raw_Data_SH!C21</f>
        <v/>
      </c>
      <c r="C21" s="18">
        <f>Raw_Data_SH!D21</f>
        <v/>
      </c>
      <c r="D21" s="17">
        <f>SUM(Raw_Data_SH!E21:J21)</f>
        <v/>
      </c>
      <c r="E21" s="42">
        <f>STDEVP(Raw_Data_SH!E21:J21)/AVERAGE(Raw_Data_SH!E21:J21)</f>
        <v/>
      </c>
    </row>
    <row r="22">
      <c r="A22" s="5">
        <f>Raw_Data_SH!B22</f>
        <v/>
      </c>
      <c r="B22" s="40">
        <f>Raw_Data_SH!C22</f>
        <v/>
      </c>
      <c r="C22" s="18">
        <f>Raw_Data_SH!D22</f>
        <v/>
      </c>
      <c r="D22" s="17">
        <f>SUM(Raw_Data_SH!E22:J22)</f>
        <v/>
      </c>
      <c r="E22" s="42">
        <f>STDEVP(Raw_Data_SH!E22:J22)/AVERAGE(Raw_Data_SH!E22:J22)</f>
        <v/>
      </c>
    </row>
    <row r="23">
      <c r="A23" s="5">
        <f>Raw_Data_SH!B23</f>
        <v/>
      </c>
      <c r="B23" s="40">
        <f>Raw_Data_SH!C23</f>
        <v/>
      </c>
      <c r="C23" s="18">
        <f>Raw_Data_SH!D23</f>
        <v/>
      </c>
      <c r="D23" s="17">
        <f>SUM(Raw_Data_SH!E23:J23)</f>
        <v/>
      </c>
      <c r="E23" s="42">
        <f>STDEVP(Raw_Data_SH!E23:J23)/AVERAGE(Raw_Data_SH!E23:J23)</f>
        <v/>
      </c>
    </row>
    <row r="24">
      <c r="A24" s="5">
        <f>Raw_Data_SH!B24</f>
        <v/>
      </c>
      <c r="B24" s="40">
        <f>Raw_Data_SH!C24</f>
        <v/>
      </c>
      <c r="C24" s="18">
        <f>Raw_Data_SH!D24</f>
        <v/>
      </c>
      <c r="D24" s="17">
        <f>SUM(Raw_Data_SH!E24:J24)</f>
        <v/>
      </c>
      <c r="E24" s="42">
        <f>STDEVP(Raw_Data_SH!E24:J24)/AVERAGE(Raw_Data_SH!E24:J24)</f>
        <v/>
      </c>
    </row>
    <row r="25">
      <c r="A25" s="5">
        <f>Raw_Data_SH!B25</f>
        <v/>
      </c>
      <c r="B25" s="40">
        <f>Raw_Data_SH!C25</f>
        <v/>
      </c>
      <c r="C25" s="18">
        <f>Raw_Data_SH!D25</f>
        <v/>
      </c>
      <c r="D25" s="17">
        <f>SUM(Raw_Data_SH!E25:J25)</f>
        <v/>
      </c>
      <c r="E25" s="42">
        <f>STDEVP(Raw_Data_SH!E25:J25)/AVERAGE(Raw_Data_SH!E25:J25)</f>
        <v/>
      </c>
    </row>
    <row r="26">
      <c r="A26" s="5">
        <f>Raw_Data_SH!B26</f>
        <v/>
      </c>
      <c r="B26" s="40">
        <f>Raw_Data_SH!C26</f>
        <v/>
      </c>
      <c r="C26" s="18">
        <f>Raw_Data_SH!D26</f>
        <v/>
      </c>
      <c r="D26" s="17">
        <f>SUM(Raw_Data_SH!E26:J26)</f>
        <v/>
      </c>
      <c r="E26" s="42">
        <f>STDEVP(Raw_Data_SH!E26:J26)/AVERAGE(Raw_Data_SH!E26:J26)</f>
        <v/>
      </c>
    </row>
    <row r="27">
      <c r="A27" s="5">
        <f>Raw_Data_SH!B27</f>
        <v/>
      </c>
      <c r="B27" s="40">
        <f>Raw_Data_SH!C27</f>
        <v/>
      </c>
      <c r="C27" s="18">
        <f>Raw_Data_SH!D27</f>
        <v/>
      </c>
      <c r="D27" s="17">
        <f>SUM(Raw_Data_SH!E27:J27)</f>
        <v/>
      </c>
      <c r="E27" s="42">
        <f>STDEVP(Raw_Data_SH!E27:J27)/AVERAGE(Raw_Data_SH!E27:J27)</f>
        <v/>
      </c>
    </row>
    <row r="28">
      <c r="A28" s="5">
        <f>Raw_Data_SH!B28</f>
        <v/>
      </c>
      <c r="B28" s="40">
        <f>Raw_Data_SH!C28</f>
        <v/>
      </c>
      <c r="C28" s="18">
        <f>Raw_Data_SH!D28</f>
        <v/>
      </c>
      <c r="D28" s="17">
        <f>SUM(Raw_Data_SH!E28:J28)</f>
        <v/>
      </c>
      <c r="E28" s="42">
        <f>STDEVP(Raw_Data_SH!E28:J28)/AVERAGE(Raw_Data_SH!E28:J28)</f>
        <v/>
      </c>
    </row>
    <row r="29">
      <c r="A29" s="5">
        <f>Raw_Data_SH!B29</f>
        <v/>
      </c>
      <c r="B29" s="40">
        <f>Raw_Data_SH!C29</f>
        <v/>
      </c>
      <c r="C29" s="18">
        <f>Raw_Data_SH!D29</f>
        <v/>
      </c>
      <c r="D29" s="17">
        <f>SUM(Raw_Data_SH!E29:J29)</f>
        <v/>
      </c>
      <c r="E29" s="42">
        <f>STDEVP(Raw_Data_SH!E29:J29)/AVERAGE(Raw_Data_SH!E29:J29)</f>
        <v/>
      </c>
    </row>
    <row r="30">
      <c r="A30" s="5">
        <f>Raw_Data_SH!B30</f>
        <v/>
      </c>
      <c r="B30" s="40">
        <f>Raw_Data_SH!C30</f>
        <v/>
      </c>
      <c r="C30" s="18">
        <f>Raw_Data_SH!D30</f>
        <v/>
      </c>
      <c r="D30" s="17">
        <f>SUM(Raw_Data_SH!E30:J30)</f>
        <v/>
      </c>
      <c r="E30" s="42">
        <f>STDEVP(Raw_Data_SH!E30:J30)/AVERAGE(Raw_Data_SH!E30:J30)</f>
        <v/>
      </c>
    </row>
    <row r="31">
      <c r="A31" s="5">
        <f>Raw_Data_SH!B31</f>
        <v/>
      </c>
      <c r="B31" s="40">
        <f>Raw_Data_SH!C31</f>
        <v/>
      </c>
      <c r="C31" s="18">
        <f>Raw_Data_SH!D31</f>
        <v/>
      </c>
      <c r="D31" s="17">
        <f>SUM(Raw_Data_SH!E31:J31)</f>
        <v/>
      </c>
      <c r="E31" s="42">
        <f>STDEVP(Raw_Data_SH!E31:J31)/AVERAGE(Raw_Data_SH!E31:J31)</f>
        <v/>
      </c>
    </row>
    <row r="32">
      <c r="A32" s="5">
        <f>Raw_Data_SH!B32</f>
        <v/>
      </c>
      <c r="B32" s="40">
        <f>Raw_Data_SH!C32</f>
        <v/>
      </c>
      <c r="C32" s="18">
        <f>Raw_Data_SH!D32</f>
        <v/>
      </c>
      <c r="D32" s="17">
        <f>SUM(Raw_Data_SH!E32:J32)</f>
        <v/>
      </c>
      <c r="E32" s="42">
        <f>STDEVP(Raw_Data_SH!E32:J32)/AVERAGE(Raw_Data_SH!E32:J32)</f>
        <v/>
      </c>
    </row>
    <row r="33">
      <c r="A33" s="5">
        <f>Raw_Data_SH!B33</f>
        <v/>
      </c>
      <c r="B33" s="40">
        <f>Raw_Data_SH!C33</f>
        <v/>
      </c>
      <c r="C33" s="18">
        <f>Raw_Data_SH!D33</f>
        <v/>
      </c>
      <c r="D33" s="17">
        <f>SUM(Raw_Data_SH!E33:J33)</f>
        <v/>
      </c>
      <c r="E33" s="42">
        <f>STDEVP(Raw_Data_SH!E33:J33)/AVERAGE(Raw_Data_SH!E33:J33)</f>
        <v/>
      </c>
    </row>
    <row r="34">
      <c r="A34" s="5">
        <f>Raw_Data_SH!B34</f>
        <v/>
      </c>
      <c r="B34" s="40">
        <f>Raw_Data_SH!C34</f>
        <v/>
      </c>
      <c r="C34" s="18">
        <f>Raw_Data_SH!D34</f>
        <v/>
      </c>
      <c r="D34" s="17">
        <f>SUM(Raw_Data_SH!E34:J34)</f>
        <v/>
      </c>
      <c r="E34" s="42">
        <f>STDEVP(Raw_Data_SH!E34:J34)/AVERAGE(Raw_Data_SH!E34:J34)</f>
        <v/>
      </c>
    </row>
    <row r="35">
      <c r="A35" s="5">
        <f>Raw_Data_SH!B35</f>
        <v/>
      </c>
      <c r="B35" s="40">
        <f>Raw_Data_SH!C35</f>
        <v/>
      </c>
      <c r="C35" s="18">
        <f>Raw_Data_SH!D35</f>
        <v/>
      </c>
      <c r="D35" s="17">
        <f>SUM(Raw_Data_SH!E35:J35)</f>
        <v/>
      </c>
      <c r="E35" s="42">
        <f>STDEVP(Raw_Data_SH!E35:J35)/AVERAGE(Raw_Data_SH!E35:J35)</f>
        <v/>
      </c>
    </row>
    <row r="36">
      <c r="A36" s="5">
        <f>Raw_Data_SH!B36</f>
        <v/>
      </c>
      <c r="B36" s="40">
        <f>Raw_Data_SH!C36</f>
        <v/>
      </c>
      <c r="C36" s="18">
        <f>Raw_Data_SH!D36</f>
        <v/>
      </c>
      <c r="D36" s="17">
        <f>SUM(Raw_Data_SH!E36:J36)</f>
        <v/>
      </c>
      <c r="E36" s="42">
        <f>STDEVP(Raw_Data_SH!E36:J36)/AVERAGE(Raw_Data_SH!E36:J36)</f>
        <v/>
      </c>
    </row>
    <row r="37">
      <c r="A37" s="5">
        <f>Raw_Data_SH!B37</f>
        <v/>
      </c>
      <c r="B37" s="40">
        <f>Raw_Data_SH!C37</f>
        <v/>
      </c>
      <c r="C37" s="18">
        <f>Raw_Data_SH!D37</f>
        <v/>
      </c>
      <c r="D37" s="17">
        <f>SUM(Raw_Data_SH!E37:J37)</f>
        <v/>
      </c>
      <c r="E37" s="42">
        <f>STDEVP(Raw_Data_SH!E37:J37)/AVERAGE(Raw_Data_SH!E37:J37)</f>
        <v/>
      </c>
    </row>
    <row r="38">
      <c r="A38" s="5">
        <f>Raw_Data_SH!B38</f>
        <v/>
      </c>
      <c r="B38" s="40">
        <f>Raw_Data_SH!C38</f>
        <v/>
      </c>
      <c r="C38" s="18">
        <f>Raw_Data_SH!D38</f>
        <v/>
      </c>
      <c r="D38" s="17">
        <f>SUM(Raw_Data_SH!E38:J38)</f>
        <v/>
      </c>
      <c r="E38" s="42">
        <f>STDEVP(Raw_Data_SH!E38:J38)/AVERAGE(Raw_Data_SH!E38:J38)</f>
        <v/>
      </c>
    </row>
    <row r="39">
      <c r="A39" s="5">
        <f>Raw_Data_SH!B39</f>
        <v/>
      </c>
      <c r="B39" s="40">
        <f>Raw_Data_SH!C39</f>
        <v/>
      </c>
      <c r="C39" s="18">
        <f>Raw_Data_SH!D39</f>
        <v/>
      </c>
      <c r="D39" s="17">
        <f>SUM(Raw_Data_SH!E39:J39)</f>
        <v/>
      </c>
      <c r="E39" s="42">
        <f>STDEVP(Raw_Data_SH!E39:J39)/AVERAGE(Raw_Data_SH!E39:J39)</f>
        <v/>
      </c>
    </row>
    <row r="40">
      <c r="A40" s="5">
        <f>Raw_Data_SH!B40</f>
        <v/>
      </c>
      <c r="B40" s="40">
        <f>Raw_Data_SH!C40</f>
        <v/>
      </c>
      <c r="C40" s="18">
        <f>Raw_Data_SH!D40</f>
        <v/>
      </c>
      <c r="D40" s="17">
        <f>SUM(Raw_Data_SH!E40:J40)</f>
        <v/>
      </c>
      <c r="E40" s="42">
        <f>STDEVP(Raw_Data_SH!E40:J40)/AVERAGE(Raw_Data_SH!E40:J40)</f>
        <v/>
      </c>
    </row>
    <row r="41">
      <c r="A41" s="5">
        <f>Raw_Data_SH!B41</f>
        <v/>
      </c>
      <c r="B41" s="40">
        <f>Raw_Data_SH!C41</f>
        <v/>
      </c>
      <c r="C41" s="18">
        <f>Raw_Data_SH!D41</f>
        <v/>
      </c>
      <c r="D41" s="17">
        <f>SUM(Raw_Data_SH!E41:J41)</f>
        <v/>
      </c>
      <c r="E41" s="42">
        <f>STDEVP(Raw_Data_SH!E41:J41)/AVERAGE(Raw_Data_SH!E41:J41)</f>
        <v/>
      </c>
    </row>
    <row r="42">
      <c r="A42" s="5">
        <f>Raw_Data_SH!B42</f>
        <v/>
      </c>
      <c r="B42" s="40">
        <f>Raw_Data_SH!C42</f>
        <v/>
      </c>
      <c r="C42" s="18">
        <f>Raw_Data_SH!D42</f>
        <v/>
      </c>
      <c r="D42" s="17">
        <f>SUM(Raw_Data_SH!E42:J42)</f>
        <v/>
      </c>
      <c r="E42" s="42">
        <f>STDEVP(Raw_Data_SH!E42:J42)/AVERAGE(Raw_Data_SH!E42:J42)</f>
        <v/>
      </c>
    </row>
    <row r="43">
      <c r="A43" s="5">
        <f>Raw_Data_SH!B43</f>
        <v/>
      </c>
      <c r="B43" s="40">
        <f>Raw_Data_SH!C43</f>
        <v/>
      </c>
      <c r="C43" s="18">
        <f>Raw_Data_SH!D43</f>
        <v/>
      </c>
      <c r="D43" s="17">
        <f>SUM(Raw_Data_SH!E43:J43)</f>
        <v/>
      </c>
      <c r="E43" s="42">
        <f>STDEVP(Raw_Data_SH!E43:J43)/AVERAGE(Raw_Data_SH!E43:J43)</f>
        <v/>
      </c>
    </row>
    <row r="44">
      <c r="A44" s="5">
        <f>Raw_Data_SH!B44</f>
        <v/>
      </c>
      <c r="B44" s="40">
        <f>Raw_Data_SH!C44</f>
        <v/>
      </c>
      <c r="C44" s="18">
        <f>Raw_Data_SH!D44</f>
        <v/>
      </c>
      <c r="D44" s="17">
        <f>SUM(Raw_Data_SH!E44:J44)</f>
        <v/>
      </c>
      <c r="E44" s="42">
        <f>STDEVP(Raw_Data_SH!E44:J44)/AVERAGE(Raw_Data_SH!E44:J44)</f>
        <v/>
      </c>
    </row>
    <row r="45">
      <c r="A45" s="5">
        <f>Raw_Data_SH!B45</f>
        <v/>
      </c>
      <c r="B45" s="40">
        <f>Raw_Data_SH!C45</f>
        <v/>
      </c>
      <c r="C45" s="18">
        <f>Raw_Data_SH!D45</f>
        <v/>
      </c>
      <c r="D45" s="17">
        <f>SUM(Raw_Data_SH!E45:J45)</f>
        <v/>
      </c>
      <c r="E45" s="42">
        <f>STDEVP(Raw_Data_SH!E45:J45)/AVERAGE(Raw_Data_SH!E45:J45)</f>
        <v/>
      </c>
    </row>
    <row r="46">
      <c r="A46" s="5">
        <f>Raw_Data_SH!B46</f>
        <v/>
      </c>
      <c r="B46" s="40">
        <f>Raw_Data_SH!C46</f>
        <v/>
      </c>
      <c r="C46" s="18">
        <f>Raw_Data_SH!D46</f>
        <v/>
      </c>
      <c r="D46" s="17">
        <f>SUM(Raw_Data_SH!E46:J46)</f>
        <v/>
      </c>
      <c r="E46" s="42">
        <f>STDEVP(Raw_Data_SH!E46:J46)/AVERAGE(Raw_Data_SH!E46:J46)</f>
        <v/>
      </c>
    </row>
    <row r="47">
      <c r="A47" s="5">
        <f>Raw_Data_SH!B47</f>
        <v/>
      </c>
      <c r="B47" s="40">
        <f>Raw_Data_SH!C47</f>
        <v/>
      </c>
      <c r="C47" s="18">
        <f>Raw_Data_SH!D47</f>
        <v/>
      </c>
      <c r="D47" s="17">
        <f>SUM(Raw_Data_SH!E47:J47)</f>
        <v/>
      </c>
      <c r="E47" s="42">
        <f>STDEVP(Raw_Data_SH!E47:J47)/AVERAGE(Raw_Data_SH!E47:J47)</f>
        <v/>
      </c>
    </row>
    <row r="48">
      <c r="A48" s="5">
        <f>Raw_Data_SH!B48</f>
        <v/>
      </c>
      <c r="B48" s="40">
        <f>Raw_Data_SH!C48</f>
        <v/>
      </c>
      <c r="C48" s="18">
        <f>Raw_Data_SH!D48</f>
        <v/>
      </c>
      <c r="D48" s="17">
        <f>SUM(Raw_Data_SH!E48:J48)</f>
        <v/>
      </c>
      <c r="E48" s="42">
        <f>STDEVP(Raw_Data_SH!E48:J48)/AVERAGE(Raw_Data_SH!E48:J48)</f>
        <v/>
      </c>
    </row>
    <row r="49">
      <c r="A49" s="5">
        <f>Raw_Data_SH!B49</f>
        <v/>
      </c>
      <c r="B49" s="40">
        <f>Raw_Data_SH!C49</f>
        <v/>
      </c>
      <c r="C49" s="18">
        <f>Raw_Data_SH!D49</f>
        <v/>
      </c>
      <c r="D49" s="17">
        <f>SUM(Raw_Data_SH!E49:J49)</f>
        <v/>
      </c>
      <c r="E49" s="42">
        <f>STDEVP(Raw_Data_SH!E49:J49)/AVERAGE(Raw_Data_SH!E49:J49)</f>
        <v/>
      </c>
    </row>
    <row r="50">
      <c r="A50" s="5">
        <f>Raw_Data_SH!B50</f>
        <v/>
      </c>
      <c r="B50" s="40">
        <f>Raw_Data_SH!C50</f>
        <v/>
      </c>
      <c r="C50" s="18">
        <f>Raw_Data_SH!D50</f>
        <v/>
      </c>
      <c r="D50" s="17">
        <f>SUM(Raw_Data_SH!E50:J50)</f>
        <v/>
      </c>
      <c r="E50" s="42">
        <f>STDEVP(Raw_Data_SH!E50:J50)/AVERAGE(Raw_Data_SH!E50:J50)</f>
        <v/>
      </c>
    </row>
    <row r="51">
      <c r="A51" s="5">
        <f>Raw_Data_SH!B51</f>
        <v/>
      </c>
      <c r="B51" s="40">
        <f>Raw_Data_SH!C51</f>
        <v/>
      </c>
      <c r="C51" s="18">
        <f>Raw_Data_SH!D51</f>
        <v/>
      </c>
      <c r="D51" s="17">
        <f>SUM(Raw_Data_SH!E51:J51)</f>
        <v/>
      </c>
      <c r="E51" s="42">
        <f>STDEVP(Raw_Data_SH!E51:J51)/AVERAGE(Raw_Data_SH!E51:J51)</f>
        <v/>
      </c>
    </row>
    <row r="52">
      <c r="A52" s="5">
        <f>Raw_Data_SH!B52</f>
        <v/>
      </c>
      <c r="B52" s="40">
        <f>Raw_Data_SH!C52</f>
        <v/>
      </c>
      <c r="C52" s="18">
        <f>Raw_Data_SH!D52</f>
        <v/>
      </c>
      <c r="D52" s="17">
        <f>SUM(Raw_Data_SH!E52:J52)</f>
        <v/>
      </c>
      <c r="E52" s="42">
        <f>STDEVP(Raw_Data_SH!E52:J52)/AVERAGE(Raw_Data_SH!E52:J52)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SH_Hourly — agregat per jam: cv_hour, pr_proxy, suspicious</t>
        </is>
      </c>
    </row>
    <row r="2">
      <c r="A2" s="24" t="inlineStr">
        <is>
          <t>cv_hour = MEDIAN(CV_ts dlm jam). pr_proxy = AVERAGE(inv_total)/AVERAGE(POA) dlm jam. suspicious = cv_hour &lt; cv_threshold DAN pr_proxy &lt; pr_threshold (threshold di M2a_Shading).</t>
        </is>
      </c>
    </row>
    <row r="4">
      <c r="A4" s="10" t="inlineStr">
        <is>
          <t>hour</t>
        </is>
      </c>
      <c r="B4" s="10" t="inlineStr">
        <is>
          <t>AM/PM</t>
        </is>
      </c>
      <c r="C4" s="10" t="inlineStr">
        <is>
          <t>cv_hour</t>
        </is>
      </c>
      <c r="D4" s="10" t="inlineStr">
        <is>
          <t>pr_proxy</t>
        </is>
      </c>
      <c r="E4" s="10" t="inlineStr">
        <is>
          <t>mean_POA</t>
        </is>
      </c>
      <c r="F4" s="10" t="inlineStr">
        <is>
          <t>mean_inv</t>
        </is>
      </c>
      <c r="G4" s="10" t="inlineStr">
        <is>
          <t>n_samples</t>
        </is>
      </c>
      <c r="H4" s="10" t="inlineStr">
        <is>
          <t>suspicious</t>
        </is>
      </c>
    </row>
    <row r="5">
      <c r="A5" s="44" t="n">
        <v>8</v>
      </c>
      <c r="B5" s="5">
        <f>IF(A5&lt;cfg_sh_am_pm_split,"AM","PM")</f>
        <v/>
      </c>
      <c r="C5" s="42">
        <f>MEDIAN(Helpers_SH!E5:E10)</f>
        <v/>
      </c>
      <c r="D5" s="42">
        <f>AVERAGE(Helpers_SH!D5:D10)/MAX(AVERAGE(Helpers_SH!C5:C10),0.000001)</f>
        <v/>
      </c>
      <c r="E5" s="18">
        <f>AVERAGE(Helpers_SH!C5:C10)</f>
        <v/>
      </c>
      <c r="F5" s="17">
        <f>AVERAGE(Helpers_SH!D5:D10)</f>
        <v/>
      </c>
      <c r="G5" s="5">
        <f>COUNT(Helpers_SH!E5:E10)*6</f>
        <v/>
      </c>
      <c r="H5" s="5">
        <f>IF(AND(C5&lt;M2a_Shading!$B$7,D5&lt;M2a_Shading!$B$8),1,0)</f>
        <v/>
      </c>
    </row>
    <row r="6">
      <c r="A6" s="44" t="n">
        <v>9</v>
      </c>
      <c r="B6" s="5">
        <f>IF(A6&lt;cfg_sh_am_pm_split,"AM","PM")</f>
        <v/>
      </c>
      <c r="C6" s="42">
        <f>MEDIAN(Helpers_SH!E11:E16)</f>
        <v/>
      </c>
      <c r="D6" s="42">
        <f>AVERAGE(Helpers_SH!D11:D16)/MAX(AVERAGE(Helpers_SH!C11:C16),0.000001)</f>
        <v/>
      </c>
      <c r="E6" s="18">
        <f>AVERAGE(Helpers_SH!C11:C16)</f>
        <v/>
      </c>
      <c r="F6" s="17">
        <f>AVERAGE(Helpers_SH!D11:D16)</f>
        <v/>
      </c>
      <c r="G6" s="5">
        <f>COUNT(Helpers_SH!E11:E16)*6</f>
        <v/>
      </c>
      <c r="H6" s="5">
        <f>IF(AND(C6&lt;M2a_Shading!$B$7,D6&lt;M2a_Shading!$B$8),1,0)</f>
        <v/>
      </c>
    </row>
    <row r="7">
      <c r="A7" s="44" t="n">
        <v>10</v>
      </c>
      <c r="B7" s="5">
        <f>IF(A7&lt;cfg_sh_am_pm_split,"AM","PM")</f>
        <v/>
      </c>
      <c r="C7" s="42">
        <f>MEDIAN(Helpers_SH!E17:E22)</f>
        <v/>
      </c>
      <c r="D7" s="42">
        <f>AVERAGE(Helpers_SH!D17:D22)/MAX(AVERAGE(Helpers_SH!C17:C22),0.000001)</f>
        <v/>
      </c>
      <c r="E7" s="18">
        <f>AVERAGE(Helpers_SH!C17:C22)</f>
        <v/>
      </c>
      <c r="F7" s="17">
        <f>AVERAGE(Helpers_SH!D17:D22)</f>
        <v/>
      </c>
      <c r="G7" s="5">
        <f>COUNT(Helpers_SH!E17:E22)*6</f>
        <v/>
      </c>
      <c r="H7" s="5">
        <f>IF(AND(C7&lt;M2a_Shading!$B$7,D7&lt;M2a_Shading!$B$8),1,0)</f>
        <v/>
      </c>
    </row>
    <row r="8">
      <c r="A8" s="5" t="n">
        <v>11</v>
      </c>
      <c r="B8" s="5">
        <f>IF(A8&lt;cfg_sh_am_pm_split,"AM","PM")</f>
        <v/>
      </c>
      <c r="C8" s="42">
        <f>MEDIAN(Helpers_SH!E23:E28)</f>
        <v/>
      </c>
      <c r="D8" s="42">
        <f>AVERAGE(Helpers_SH!D23:D28)/MAX(AVERAGE(Helpers_SH!C23:C28),0.000001)</f>
        <v/>
      </c>
      <c r="E8" s="18">
        <f>AVERAGE(Helpers_SH!C23:C28)</f>
        <v/>
      </c>
      <c r="F8" s="17">
        <f>AVERAGE(Helpers_SH!D23:D28)</f>
        <v/>
      </c>
      <c r="G8" s="5">
        <f>COUNT(Helpers_SH!E23:E28)*6</f>
        <v/>
      </c>
      <c r="H8" s="5">
        <f>IF(AND(C8&lt;M2a_Shading!$B$7,D8&lt;M2a_Shading!$B$8),1,0)</f>
        <v/>
      </c>
    </row>
    <row r="9">
      <c r="A9" s="5" t="n">
        <v>12</v>
      </c>
      <c r="B9" s="5">
        <f>IF(A9&lt;cfg_sh_am_pm_split,"AM","PM")</f>
        <v/>
      </c>
      <c r="C9" s="42">
        <f>MEDIAN(Helpers_SH!E29:E34)</f>
        <v/>
      </c>
      <c r="D9" s="42">
        <f>AVERAGE(Helpers_SH!D29:D34)/MAX(AVERAGE(Helpers_SH!C29:C34),0.000001)</f>
        <v/>
      </c>
      <c r="E9" s="18">
        <f>AVERAGE(Helpers_SH!C29:C34)</f>
        <v/>
      </c>
      <c r="F9" s="17">
        <f>AVERAGE(Helpers_SH!D29:D34)</f>
        <v/>
      </c>
      <c r="G9" s="5">
        <f>COUNT(Helpers_SH!E29:E34)*6</f>
        <v/>
      </c>
      <c r="H9" s="5">
        <f>IF(AND(C9&lt;M2a_Shading!$B$7,D9&lt;M2a_Shading!$B$8),1,0)</f>
        <v/>
      </c>
    </row>
    <row r="10">
      <c r="A10" s="5" t="n">
        <v>13</v>
      </c>
      <c r="B10" s="5">
        <f>IF(A10&lt;cfg_sh_am_pm_split,"AM","PM")</f>
        <v/>
      </c>
      <c r="C10" s="42">
        <f>MEDIAN(Helpers_SH!E35:E40)</f>
        <v/>
      </c>
      <c r="D10" s="42">
        <f>AVERAGE(Helpers_SH!D35:D40)/MAX(AVERAGE(Helpers_SH!C35:C40),0.000001)</f>
        <v/>
      </c>
      <c r="E10" s="18">
        <f>AVERAGE(Helpers_SH!C35:C40)</f>
        <v/>
      </c>
      <c r="F10" s="17">
        <f>AVERAGE(Helpers_SH!D35:D40)</f>
        <v/>
      </c>
      <c r="G10" s="5">
        <f>COUNT(Helpers_SH!E35:E40)*6</f>
        <v/>
      </c>
      <c r="H10" s="5">
        <f>IF(AND(C10&lt;M2a_Shading!$B$7,D10&lt;M2a_Shading!$B$8),1,0)</f>
        <v/>
      </c>
    </row>
    <row r="11">
      <c r="A11" s="5" t="n">
        <v>14</v>
      </c>
      <c r="B11" s="5">
        <f>IF(A11&lt;cfg_sh_am_pm_split,"AM","PM")</f>
        <v/>
      </c>
      <c r="C11" s="42">
        <f>MEDIAN(Helpers_SH!E41:E46)</f>
        <v/>
      </c>
      <c r="D11" s="42">
        <f>AVERAGE(Helpers_SH!D41:D46)/MAX(AVERAGE(Helpers_SH!C41:C46),0.000001)</f>
        <v/>
      </c>
      <c r="E11" s="18">
        <f>AVERAGE(Helpers_SH!C41:C46)</f>
        <v/>
      </c>
      <c r="F11" s="17">
        <f>AVERAGE(Helpers_SH!D41:D46)</f>
        <v/>
      </c>
      <c r="G11" s="5">
        <f>COUNT(Helpers_SH!E41:E46)*6</f>
        <v/>
      </c>
      <c r="H11" s="5">
        <f>IF(AND(C11&lt;M2a_Shading!$B$7,D11&lt;M2a_Shading!$B$8),1,0)</f>
        <v/>
      </c>
    </row>
    <row r="12">
      <c r="A12" s="5" t="n">
        <v>15</v>
      </c>
      <c r="B12" s="5">
        <f>IF(A12&lt;cfg_sh_am_pm_split,"AM","PM")</f>
        <v/>
      </c>
      <c r="C12" s="42">
        <f>MEDIAN(Helpers_SH!E47:E52)</f>
        <v/>
      </c>
      <c r="D12" s="42">
        <f>AVERAGE(Helpers_SH!D47:D52)/MAX(AVERAGE(Helpers_SH!C47:C52),0.000001)</f>
        <v/>
      </c>
      <c r="E12" s="18">
        <f>AVERAGE(Helpers_SH!C47:C52)</f>
        <v/>
      </c>
      <c r="F12" s="17">
        <f>AVERAGE(Helpers_SH!D47:D52)</f>
        <v/>
      </c>
      <c r="G12" s="5">
        <f>COUNT(Helpers_SH!E47:E52)*6</f>
        <v/>
      </c>
      <c r="H12" s="5">
        <f>IF(AND(C12&lt;M2a_Shading!$B$7,D12&lt;M2a_Shading!$B$8),1,0)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</cols>
  <sheetData>
    <row r="1">
      <c r="A1" s="23" t="inlineStr">
        <is>
          <t>M2a_Shading — keputusan per inverter (median ref + asimetri diurnal)</t>
        </is>
      </c>
    </row>
    <row r="2">
      <c r="A2" s="24" t="inlineStr">
        <is>
          <t>cv_median/pr_median = MEDIAN cv_hour/pr_proxy lintas jam. threshold = mult·median. asimetri AM/PM membedakan terrain shadow (asimetris) vs soiling/awan (uniform). severity = frac·0.7 + asim·0.3.</t>
        </is>
      </c>
    </row>
    <row r="3">
      <c r="A3" s="24" t="inlineStr">
        <is>
          <t>IKN: lat −0.99, panel hadap utara → performa AM≈PM saat normal; suspicious terkonsentrasi AM/PM = sinyal shading terrain.</t>
        </is>
      </c>
    </row>
    <row r="4">
      <c r="A4" s="10" t="inlineStr">
        <is>
          <t>metric</t>
        </is>
      </c>
      <c r="B4" s="10" t="inlineStr">
        <is>
          <t>value</t>
        </is>
      </c>
    </row>
    <row r="5">
      <c r="A5" s="5" t="inlineStr">
        <is>
          <t>cv_median</t>
        </is>
      </c>
      <c r="B5" s="42">
        <f>MEDIAN(SH_Hourly!C5:C12)</f>
        <v/>
      </c>
    </row>
    <row r="6">
      <c r="A6" s="5" t="inlineStr">
        <is>
          <t>pr_median</t>
        </is>
      </c>
      <c r="B6" s="42">
        <f>MEDIAN(SH_Hourly!D5:D12)</f>
        <v/>
      </c>
    </row>
    <row r="7">
      <c r="A7" s="5" t="inlineStr">
        <is>
          <t>cv_threshold</t>
        </is>
      </c>
      <c r="B7" s="42">
        <f>cfg_sh_cv_mult*B5</f>
        <v/>
      </c>
    </row>
    <row r="8">
      <c r="A8" s="5" t="inlineStr">
        <is>
          <t>pr_threshold</t>
        </is>
      </c>
      <c r="B8" s="42">
        <f>cfg_sh_pr_mult*B6</f>
        <v/>
      </c>
    </row>
    <row r="9">
      <c r="A9" s="5" t="inlineStr">
        <is>
          <t>total_hours</t>
        </is>
      </c>
      <c r="B9" s="5">
        <f>COUNT(SH_Hourly!C5:C12)</f>
        <v/>
      </c>
    </row>
    <row r="10">
      <c r="A10" s="5" t="inlineStr">
        <is>
          <t>n_suspicious</t>
        </is>
      </c>
      <c r="B10" s="5">
        <f>SUM(SH_Hourly!H5:H12)</f>
        <v/>
      </c>
    </row>
    <row r="11">
      <c r="A11" s="5" t="inlineStr">
        <is>
          <t>n_am</t>
        </is>
      </c>
      <c r="B11" s="5">
        <f>SUMPRODUCT(SH_Hourly!H5:H12*(SH_Hourly!A5:A12&lt;cfg_sh_am_pm_split))</f>
        <v/>
      </c>
    </row>
    <row r="12">
      <c r="A12" s="5" t="inlineStr">
        <is>
          <t>n_pm</t>
        </is>
      </c>
      <c r="B12" s="5">
        <f>B10-B11</f>
        <v/>
      </c>
    </row>
    <row r="13">
      <c r="A13" s="5" t="inlineStr">
        <is>
          <t>asymmetry</t>
        </is>
      </c>
      <c r="B13" s="17">
        <f>ABS(B11-B12)/MAX(B11+B12,1)</f>
        <v/>
      </c>
    </row>
    <row r="14">
      <c r="A14" s="5" t="inlineStr">
        <is>
          <t>fault_type</t>
        </is>
      </c>
      <c r="B14" s="5">
        <f>IF(B10=0,"no_shading",IF(B13&lt;cfg_sh_asymmetry_thr,"shading_uniform",IF(B11&gt;B12,"shading_morning","shading_afternoon")))</f>
        <v/>
      </c>
    </row>
    <row r="15">
      <c r="A15" s="5" t="inlineStr">
        <is>
          <t>frac_suspicious</t>
        </is>
      </c>
      <c r="B15" s="17">
        <f>B10/B9</f>
        <v/>
      </c>
    </row>
    <row r="16">
      <c r="A16" s="5" t="inlineStr">
        <is>
          <t>score</t>
        </is>
      </c>
      <c r="B16" s="31">
        <f>B15*0.7+B13*0.3</f>
        <v/>
      </c>
    </row>
    <row r="17">
      <c r="A17" s="5" t="inlineStr">
        <is>
          <t>severity</t>
        </is>
      </c>
      <c r="B17" s="5">
        <f>IF(B10=0,"NORMAL",IF(B16&gt;=0.6,"CRITICAL",IF(B16&gt;=0.4,"HIGH",IF(B16&gt;=0.2,"MEDIUM","INFO"))))</f>
        <v/>
      </c>
    </row>
    <row r="18">
      <c r="A18" s="5" t="inlineStr">
        <is>
          <t>confidence</t>
        </is>
      </c>
      <c r="B18" s="18">
        <f>50+B13*50</f>
        <v/>
      </c>
    </row>
  </sheetData>
  <conditionalFormatting sqref="B17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7">
      <formula>"MEDIUM"</formula>
    </cfRule>
    <cfRule type="cellIs" priority="4" operator="equal" dxfId="8">
      <formula>"INFO"</formula>
    </cfRule>
    <cfRule type="cellIs" priority="5" operator="equal" dxfId="4">
      <formula>"NORMAL"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</cols>
  <sheetData>
    <row r="1">
      <c r="A1" s="23" t="inlineStr">
        <is>
          <t>Raw_Data_SO — energi &amp; insolasi harian site (12 hari demo)</t>
        </is>
      </c>
    </row>
    <row r="2">
      <c r="A2" s="24" t="inlineStr">
        <is>
          <t>energy_daily (kWh) = Σ daya inverter × Δt (Riemann). insolation_daily (kWh/m²) = Σ POA/1000 × Δt. Production butuh ≥90 hari (SRR); 12 hari di sini hanya ilustrasi metrik PR harian.</t>
        </is>
      </c>
    </row>
    <row r="3">
      <c r="A3" s="24" t="inlineStr">
        <is>
          <t>Bangun dari pv_pipeline.baseline.BaselineAccumulator (simpan data NORMAL harian). Ganti dengan data aktual.</t>
        </is>
      </c>
    </row>
    <row r="4">
      <c r="A4" s="10" t="inlineStr">
        <is>
          <t>date</t>
        </is>
      </c>
      <c r="B4" s="10" t="inlineStr">
        <is>
          <t>energy_daily (kWh)</t>
        </is>
      </c>
      <c r="C4" s="10" t="inlineStr">
        <is>
          <t>insolation_daily (kWh/m²)</t>
        </is>
      </c>
    </row>
    <row r="5">
      <c r="A5" s="58" t="n">
        <v>46054</v>
      </c>
      <c r="B5" s="46" t="n">
        <v>310000</v>
      </c>
      <c r="C5" s="15" t="n">
        <v>5.4</v>
      </c>
    </row>
    <row r="6">
      <c r="A6" s="58" t="n">
        <v>46055</v>
      </c>
      <c r="B6" s="46" t="n">
        <v>318000</v>
      </c>
      <c r="C6" s="15" t="n">
        <v>5.5</v>
      </c>
    </row>
    <row r="7">
      <c r="A7" s="58" t="n">
        <v>46056</v>
      </c>
      <c r="B7" s="46" t="n">
        <v>305000</v>
      </c>
      <c r="C7" s="15" t="n">
        <v>5.3</v>
      </c>
    </row>
    <row r="8">
      <c r="A8" s="58" t="n">
        <v>46057</v>
      </c>
      <c r="B8" s="46" t="n">
        <v>322000</v>
      </c>
      <c r="C8" s="15" t="n">
        <v>5.6</v>
      </c>
    </row>
    <row r="9">
      <c r="A9" s="58" t="n">
        <v>46058</v>
      </c>
      <c r="B9" s="46" t="n">
        <v>315000</v>
      </c>
      <c r="C9" s="15" t="n">
        <v>5.5</v>
      </c>
    </row>
    <row r="10">
      <c r="A10" s="58" t="n">
        <v>46059</v>
      </c>
      <c r="B10" s="46" t="n">
        <v>308000</v>
      </c>
      <c r="C10" s="15" t="n">
        <v>5.35</v>
      </c>
    </row>
    <row r="11">
      <c r="A11" s="58" t="n">
        <v>46060</v>
      </c>
      <c r="B11" s="46" t="n">
        <v>320000</v>
      </c>
      <c r="C11" s="15" t="n">
        <v>5.55</v>
      </c>
    </row>
    <row r="12">
      <c r="A12" s="58" t="n">
        <v>46061</v>
      </c>
      <c r="B12" s="46" t="n">
        <v>312000</v>
      </c>
      <c r="C12" s="15" t="n">
        <v>5.45</v>
      </c>
    </row>
    <row r="13">
      <c r="A13" s="58" t="n">
        <v>46062</v>
      </c>
      <c r="B13" s="46" t="n">
        <v>317000</v>
      </c>
      <c r="C13" s="15" t="n">
        <v>5.5</v>
      </c>
    </row>
    <row r="14">
      <c r="A14" s="58" t="n">
        <v>46063</v>
      </c>
      <c r="B14" s="46" t="n">
        <v>309000</v>
      </c>
      <c r="C14" s="15" t="n">
        <v>5.4</v>
      </c>
    </row>
    <row r="15">
      <c r="A15" s="58" t="n">
        <v>46064</v>
      </c>
      <c r="B15" s="46" t="n">
        <v>314000</v>
      </c>
      <c r="C15" s="15" t="n">
        <v>5.45</v>
      </c>
    </row>
    <row r="16">
      <c r="A16" s="58" t="n">
        <v>46065</v>
      </c>
      <c r="B16" s="46" t="n">
        <v>321000</v>
      </c>
      <c r="C16" s="15" t="n">
        <v>5.6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23" t="inlineStr">
        <is>
          <t>Helpers_SO — PR harian (IEC 61724-1) + avg_daily_kwh</t>
        </is>
      </c>
    </row>
    <row r="2">
      <c r="A2" s="24" t="inlineStr">
        <is>
          <t>PR_daily = energy_daily / (insolation_daily × capacity_kwp). avg_daily_kwh = AVERAGE(energy) (proxy tail-30 hari).</t>
        </is>
      </c>
    </row>
    <row r="4">
      <c r="A4" s="10" t="inlineStr">
        <is>
          <t>date</t>
        </is>
      </c>
      <c r="B4" s="10" t="inlineStr">
        <is>
          <t>energy_daily</t>
        </is>
      </c>
      <c r="C4" s="10" t="inlineStr">
        <is>
          <t>insolation_daily</t>
        </is>
      </c>
      <c r="D4" s="10" t="inlineStr">
        <is>
          <t>PR_daily</t>
        </is>
      </c>
    </row>
    <row r="5">
      <c r="A5" s="58">
        <f>Raw_Data_SO!A5</f>
        <v/>
      </c>
      <c r="B5" s="46">
        <f>Raw_Data_SO!B5</f>
        <v/>
      </c>
      <c r="C5" s="15">
        <f>Raw_Data_SO!C5</f>
        <v/>
      </c>
      <c r="D5" s="31">
        <f>Raw_Data_SO!B5/(Raw_Data_SO!C5*cfg_so_capacity_kwp)</f>
        <v/>
      </c>
    </row>
    <row r="6">
      <c r="A6" s="58">
        <f>Raw_Data_SO!A6</f>
        <v/>
      </c>
      <c r="B6" s="46">
        <f>Raw_Data_SO!B6</f>
        <v/>
      </c>
      <c r="C6" s="15">
        <f>Raw_Data_SO!C6</f>
        <v/>
      </c>
      <c r="D6" s="31">
        <f>Raw_Data_SO!B6/(Raw_Data_SO!C6*cfg_so_capacity_kwp)</f>
        <v/>
      </c>
    </row>
    <row r="7">
      <c r="A7" s="58">
        <f>Raw_Data_SO!A7</f>
        <v/>
      </c>
      <c r="B7" s="46">
        <f>Raw_Data_SO!B7</f>
        <v/>
      </c>
      <c r="C7" s="15">
        <f>Raw_Data_SO!C7</f>
        <v/>
      </c>
      <c r="D7" s="31">
        <f>Raw_Data_SO!B7/(Raw_Data_SO!C7*cfg_so_capacity_kwp)</f>
        <v/>
      </c>
    </row>
    <row r="8">
      <c r="A8" s="58">
        <f>Raw_Data_SO!A8</f>
        <v/>
      </c>
      <c r="B8" s="46">
        <f>Raw_Data_SO!B8</f>
        <v/>
      </c>
      <c r="C8" s="15">
        <f>Raw_Data_SO!C8</f>
        <v/>
      </c>
      <c r="D8" s="31">
        <f>Raw_Data_SO!B8/(Raw_Data_SO!C8*cfg_so_capacity_kwp)</f>
        <v/>
      </c>
    </row>
    <row r="9">
      <c r="A9" s="58">
        <f>Raw_Data_SO!A9</f>
        <v/>
      </c>
      <c r="B9" s="46">
        <f>Raw_Data_SO!B9</f>
        <v/>
      </c>
      <c r="C9" s="15">
        <f>Raw_Data_SO!C9</f>
        <v/>
      </c>
      <c r="D9" s="31">
        <f>Raw_Data_SO!B9/(Raw_Data_SO!C9*cfg_so_capacity_kwp)</f>
        <v/>
      </c>
    </row>
    <row r="10">
      <c r="A10" s="58">
        <f>Raw_Data_SO!A10</f>
        <v/>
      </c>
      <c r="B10" s="46">
        <f>Raw_Data_SO!B10</f>
        <v/>
      </c>
      <c r="C10" s="15">
        <f>Raw_Data_SO!C10</f>
        <v/>
      </c>
      <c r="D10" s="31">
        <f>Raw_Data_SO!B10/(Raw_Data_SO!C10*cfg_so_capacity_kwp)</f>
        <v/>
      </c>
    </row>
    <row r="11">
      <c r="A11" s="58">
        <f>Raw_Data_SO!A11</f>
        <v/>
      </c>
      <c r="B11" s="46">
        <f>Raw_Data_SO!B11</f>
        <v/>
      </c>
      <c r="C11" s="15">
        <f>Raw_Data_SO!C11</f>
        <v/>
      </c>
      <c r="D11" s="31">
        <f>Raw_Data_SO!B11/(Raw_Data_SO!C11*cfg_so_capacity_kwp)</f>
        <v/>
      </c>
    </row>
    <row r="12">
      <c r="A12" s="58">
        <f>Raw_Data_SO!A12</f>
        <v/>
      </c>
      <c r="B12" s="46">
        <f>Raw_Data_SO!B12</f>
        <v/>
      </c>
      <c r="C12" s="15">
        <f>Raw_Data_SO!C12</f>
        <v/>
      </c>
      <c r="D12" s="31">
        <f>Raw_Data_SO!B12/(Raw_Data_SO!C12*cfg_so_capacity_kwp)</f>
        <v/>
      </c>
    </row>
    <row r="13">
      <c r="A13" s="58">
        <f>Raw_Data_SO!A13</f>
        <v/>
      </c>
      <c r="B13" s="46">
        <f>Raw_Data_SO!B13</f>
        <v/>
      </c>
      <c r="C13" s="15">
        <f>Raw_Data_SO!C13</f>
        <v/>
      </c>
      <c r="D13" s="31">
        <f>Raw_Data_SO!B13/(Raw_Data_SO!C13*cfg_so_capacity_kwp)</f>
        <v/>
      </c>
    </row>
    <row r="14">
      <c r="A14" s="58">
        <f>Raw_Data_SO!A14</f>
        <v/>
      </c>
      <c r="B14" s="46">
        <f>Raw_Data_SO!B14</f>
        <v/>
      </c>
      <c r="C14" s="15">
        <f>Raw_Data_SO!C14</f>
        <v/>
      </c>
      <c r="D14" s="31">
        <f>Raw_Data_SO!B14/(Raw_Data_SO!C14*cfg_so_capacity_kwp)</f>
        <v/>
      </c>
    </row>
    <row r="15">
      <c r="A15" s="58">
        <f>Raw_Data_SO!A15</f>
        <v/>
      </c>
      <c r="B15" s="46">
        <f>Raw_Data_SO!B15</f>
        <v/>
      </c>
      <c r="C15" s="15">
        <f>Raw_Data_SO!C15</f>
        <v/>
      </c>
      <c r="D15" s="31">
        <f>Raw_Data_SO!B15/(Raw_Data_SO!C15*cfg_so_capacity_kwp)</f>
        <v/>
      </c>
    </row>
    <row r="16">
      <c r="A16" s="58">
        <f>Raw_Data_SO!A16</f>
        <v/>
      </c>
      <c r="B16" s="46">
        <f>Raw_Data_SO!B16</f>
        <v/>
      </c>
      <c r="C16" s="15">
        <f>Raw_Data_SO!C16</f>
        <v/>
      </c>
      <c r="D16" s="31">
        <f>Raw_Data_SO!B16/(Raw_Data_SO!C16*cfg_so_capacity_kwp)</f>
        <v/>
      </c>
    </row>
    <row r="18">
      <c r="A18" s="5" t="inlineStr">
        <is>
          <t>avg_daily_kwh</t>
        </is>
      </c>
      <c r="B18" s="46">
        <f>AVERAGE(B5:B16)</f>
        <v/>
      </c>
    </row>
    <row r="19">
      <c r="A19" s="5" t="inlineStr">
        <is>
          <t>PR_mean</t>
        </is>
      </c>
      <c r="B19" s="31">
        <f>AVERAGE(D5:D16)</f>
        <v/>
      </c>
    </row>
    <row r="20">
      <c r="A20" s="5" t="inlineStr">
        <is>
          <t>n_days_sample</t>
        </is>
      </c>
      <c r="B20" s="5">
        <f>COUNT(B5:B16)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3" max="3"/>
    <col width="22" customWidth="1" min="6" max="6"/>
  </cols>
  <sheetData>
    <row r="1">
      <c r="A1" s="23" t="inlineStr">
        <is>
          <t>SO_Economics — kalkulator cleaning ROI (hilir SRR; LIVE)</t>
        </is>
      </c>
    </row>
    <row r="2">
      <c r="A2" s="24" t="inlineStr">
        <is>
          <t>soiling_ratio (sr) = OUTPUT rdtools.soiling_srr() Monte-Carlo — INPUT di sini (di-highlight), TIDAK dihitung Excel.</t>
        </is>
      </c>
    </row>
    <row r="3">
      <c r="A3" s="24" t="inlineStr">
        <is>
          <t>Hilir sr SEMUA live: p_loss=1−sr; daily_loss=avg_daily_kwh·tarif·p_loss; payback=biaya/daily_loss; severity &amp; recommend.</t>
        </is>
      </c>
    </row>
    <row r="4">
      <c r="A4" s="5" t="inlineStr">
        <is>
          <t>avg_daily_kwh (dari Helpers)</t>
        </is>
      </c>
      <c r="B4" s="46">
        <f>Helpers_SO!$B$18</f>
        <v/>
      </c>
    </row>
    <row r="5">
      <c r="A5" s="5" t="inlineStr">
        <is>
          <t>n_days_assumed</t>
        </is>
      </c>
      <c r="B5" s="5" t="n">
        <v>120</v>
      </c>
    </row>
    <row r="6">
      <c r="A6" s="5" t="inlineStr">
        <is>
          <t>data_status (gate)</t>
        </is>
      </c>
      <c r="B6" s="5">
        <f>IF(B5&lt;cfg_so_min_days,"insufficient_data","ok")</f>
        <v/>
      </c>
    </row>
    <row r="7">
      <c r="A7" s="5" t="inlineStr">
        <is>
          <t>cleaning_cost_idr / tariff / payback_thr</t>
        </is>
      </c>
      <c r="B7" s="5">
        <f>cfg_so_cleaning_cost&amp;" / "&amp;cfg_so_tariff&amp;" / "&amp;cfg_so_payback_thr</f>
        <v/>
      </c>
    </row>
    <row r="9">
      <c r="A9" s="10" t="inlineStr">
        <is>
          <t>soiling_ratio (sr) [INPUT]</t>
        </is>
      </c>
      <c r="B9" s="10" t="inlineStr">
        <is>
          <t>p_loss</t>
        </is>
      </c>
      <c r="C9" s="10" t="inlineStr">
        <is>
          <t>daily_loss_idr</t>
        </is>
      </c>
      <c r="D9" s="10" t="inlineStr">
        <is>
          <t>payback_days</t>
        </is>
      </c>
      <c r="E9" s="10" t="inlineStr">
        <is>
          <t>recommend</t>
        </is>
      </c>
      <c r="F9" s="10" t="inlineStr">
        <is>
          <t>fault_type</t>
        </is>
      </c>
      <c r="G9" s="10" t="inlineStr">
        <is>
          <t>severity</t>
        </is>
      </c>
      <c r="H9" s="10" t="inlineStr">
        <is>
          <t>confidence</t>
        </is>
      </c>
    </row>
    <row r="10">
      <c r="A10" s="26" t="n">
        <v>0.85</v>
      </c>
      <c r="B10" s="31">
        <f>1-A10</f>
        <v/>
      </c>
      <c r="C10" s="46">
        <f>$B$4*cfg_so_tariff*B10</f>
        <v/>
      </c>
      <c r="D10" s="17">
        <f>IF(AND(C10&gt;0,cfg_so_cleaning_cost&gt;0),cfg_so_cleaning_cost/C10,1E+99)</f>
        <v/>
      </c>
      <c r="E10" s="5">
        <f>IF(D10&lt;cfg_so_payback_thr,"YES","no")</f>
        <v/>
      </c>
      <c r="F10" s="5">
        <f>IF(E10="YES","cleaning_recommended","soiling_detected")</f>
        <v/>
      </c>
      <c r="G10" s="5">
        <f>IF(AND(B10&gt;=0.1,D10&lt;cfg_so_payback_thr/3),"CRITICAL",IF(AND(B10&gt;=0.05,D10&lt;cfg_so_payback_thr),"HIGH",IF(AND(B10&gt;=0.02,D10&lt;2*cfg_so_payback_thr),"MEDIUM","INFO")))</f>
        <v/>
      </c>
      <c r="H10" s="18">
        <f>50+A10*50</f>
        <v/>
      </c>
    </row>
    <row r="11">
      <c r="A11" s="26" t="n">
        <v>0.92</v>
      </c>
      <c r="B11" s="31">
        <f>1-A11</f>
        <v/>
      </c>
      <c r="C11" s="46">
        <f>$B$4*cfg_so_tariff*B11</f>
        <v/>
      </c>
      <c r="D11" s="17">
        <f>IF(AND(C11&gt;0,cfg_so_cleaning_cost&gt;0),cfg_so_cleaning_cost/C11,1E+99)</f>
        <v/>
      </c>
      <c r="E11" s="5">
        <f>IF(D11&lt;cfg_so_payback_thr,"YES","no")</f>
        <v/>
      </c>
      <c r="F11" s="5">
        <f>IF(E11="YES","cleaning_recommended","soiling_detected")</f>
        <v/>
      </c>
      <c r="G11" s="5">
        <f>IF(AND(B11&gt;=0.1,D11&lt;cfg_so_payback_thr/3),"CRITICAL",IF(AND(B11&gt;=0.05,D11&lt;cfg_so_payback_thr),"HIGH",IF(AND(B11&gt;=0.02,D11&lt;2*cfg_so_payback_thr),"MEDIUM","INFO")))</f>
        <v/>
      </c>
      <c r="H11" s="18">
        <f>50+A11*50</f>
        <v/>
      </c>
    </row>
    <row r="12">
      <c r="A12" s="26" t="n">
        <v>0.97</v>
      </c>
      <c r="B12" s="31">
        <f>1-A12</f>
        <v/>
      </c>
      <c r="C12" s="46">
        <f>$B$4*cfg_so_tariff*B12</f>
        <v/>
      </c>
      <c r="D12" s="17">
        <f>IF(AND(C12&gt;0,cfg_so_cleaning_cost&gt;0),cfg_so_cleaning_cost/C12,1E+99)</f>
        <v/>
      </c>
      <c r="E12" s="5">
        <f>IF(D12&lt;cfg_so_payback_thr,"YES","no")</f>
        <v/>
      </c>
      <c r="F12" s="5">
        <f>IF(E12="YES","cleaning_recommended","soiling_detected")</f>
        <v/>
      </c>
      <c r="G12" s="5">
        <f>IF(AND(B12&gt;=0.1,D12&lt;cfg_so_payback_thr/3),"CRITICAL",IF(AND(B12&gt;=0.05,D12&lt;cfg_so_payback_thr),"HIGH",IF(AND(B12&gt;=0.02,D12&lt;2*cfg_so_payback_thr),"MEDIUM","INFO")))</f>
        <v/>
      </c>
      <c r="H12" s="18">
        <f>50+A12*50</f>
        <v/>
      </c>
    </row>
    <row r="13">
      <c r="A13" s="26" t="n">
        <v>0.995</v>
      </c>
      <c r="B13" s="31">
        <f>1-A13</f>
        <v/>
      </c>
      <c r="C13" s="46">
        <f>$B$4*cfg_so_tariff*B13</f>
        <v/>
      </c>
      <c r="D13" s="17">
        <f>IF(AND(C13&gt;0,cfg_so_cleaning_cost&gt;0),cfg_so_cleaning_cost/C13,1E+99)</f>
        <v/>
      </c>
      <c r="E13" s="5">
        <f>IF(D13&lt;cfg_so_payback_thr,"YES","no")</f>
        <v/>
      </c>
      <c r="F13" s="5">
        <f>IF(E13="YES","cleaning_recommended","soiling_detected")</f>
        <v/>
      </c>
      <c r="G13" s="5">
        <f>IF(AND(B13&gt;=0.1,D13&lt;cfg_so_payback_thr/3),"CRITICAL",IF(AND(B13&gt;=0.05,D13&lt;cfg_so_payback_thr),"HIGH",IF(AND(B13&gt;=0.02,D13&lt;2*cfg_so_payback_thr),"MEDIUM","INFO")))</f>
        <v/>
      </c>
      <c r="H13" s="18">
        <f>50+A13*50</f>
        <v/>
      </c>
    </row>
  </sheetData>
  <conditionalFormatting sqref="G10:G13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7">
      <formula>"MEDIUM"</formula>
    </cfRule>
    <cfRule type="cellIs" priority="4" operator="equal" dxfId="8">
      <formula>"INFO"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</cols>
  <sheetData>
    <row r="1">
      <c r="A1" s="23" t="inlineStr">
        <is>
          <t>SO_Summary — status &amp; caveat (mirror EconomicAnalysis)</t>
        </is>
      </c>
    </row>
    <row r="2">
      <c r="A2" s="24" t="inlineStr">
        <is>
          <t>Skeleton: dengan data &lt; min_days, run() emit 'insufficient_data' (INFO) dan SKIP SRR. Vocab fault: insufficient_data, insufficient_dependency, rdtools_error, soiling_detected, cleaning_recommended.</t>
        </is>
      </c>
    </row>
    <row r="4">
      <c r="A4" s="10" t="inlineStr">
        <is>
          <t>item</t>
        </is>
      </c>
      <c r="B4" s="10" t="inlineStr">
        <is>
          <t>value</t>
        </is>
      </c>
    </row>
    <row r="5">
      <c r="A5" s="5" t="inlineStr">
        <is>
          <t>n_days_assumed</t>
        </is>
      </c>
      <c r="B5" s="5">
        <f>SO_Economics!B5</f>
        <v/>
      </c>
    </row>
    <row r="6">
      <c r="A6" s="5" t="inlineStr">
        <is>
          <t>min_days_required</t>
        </is>
      </c>
      <c r="B6" s="5">
        <f>cfg_so_min_days</f>
        <v/>
      </c>
    </row>
    <row r="7">
      <c r="A7" s="5" t="inlineStr">
        <is>
          <t>status</t>
        </is>
      </c>
      <c r="B7" s="5">
        <f>SO_Economics!B6</f>
        <v/>
      </c>
    </row>
    <row r="8">
      <c r="A8" s="5" t="inlineStr">
        <is>
          <t>avg_daily_kwh</t>
        </is>
      </c>
      <c r="B8" s="46">
        <f>Helpers_SO!$B$18</f>
        <v/>
      </c>
    </row>
    <row r="9">
      <c r="A9" s="5" t="inlineStr">
        <is>
          <t>n_cleaning_recommended</t>
        </is>
      </c>
      <c r="B9" s="5">
        <f>COUNTIF(SO_Economics!E10:E13,"YES")</f>
        <v/>
      </c>
    </row>
    <row r="10">
      <c r="A10" s="5" t="inlineStr">
        <is>
          <t>SRR engine</t>
        </is>
      </c>
      <c r="B10" s="5">
        <f>"rdtools.soiling_srr (Monte-Carlo 1000 reps) — NOT Excel-reproducible"</f>
        <v/>
      </c>
    </row>
    <row r="11">
      <c r="A11" s="5" t="inlineStr">
        <is>
          <t>note</t>
        </is>
      </c>
      <c r="B11" s="5">
        <f>"soiling_ratio adalah INPUT (output SRR); semua ekonomi hilir = live &amp; verified"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23" t="inlineStr">
        <is>
          <t>Raw_Data_MR — arus per-string 1 inverter (2 MPPT group) + POA</t>
        </is>
      </c>
    </row>
    <row r="2">
      <c r="A2" s="24" t="inlineStr">
        <is>
          <t>Model SUN2000-330KTL-H1 (WB03-10): MPPT1=[PV1-4], MPPT2=[PV5-9] — persis config/strings.yaml.</t>
        </is>
      </c>
    </row>
    <row r="3">
      <c r="A3" s="24" t="inlineStr">
        <is>
          <t>Arus konstan per string (sun di-faktorkan keluar; ratio invarian POA). PV9 glitch 3 langkah (baris 9-11).</t>
        </is>
      </c>
    </row>
    <row r="4">
      <c r="A4" s="10" t="inlineStr">
        <is>
          <t>timestamp</t>
        </is>
      </c>
      <c r="B4" s="10" t="inlineStr">
        <is>
          <t>POA (W/m^2)</t>
        </is>
      </c>
      <c r="C4" s="10" t="inlineStr">
        <is>
          <t>PV1 input current(A)</t>
        </is>
      </c>
      <c r="D4" s="10" t="inlineStr">
        <is>
          <t>PV2 input current(A)</t>
        </is>
      </c>
      <c r="E4" s="10" t="inlineStr">
        <is>
          <t>PV3 input current(A)</t>
        </is>
      </c>
      <c r="F4" s="10" t="inlineStr">
        <is>
          <t>PV4 input current(A)</t>
        </is>
      </c>
      <c r="G4" s="10" t="inlineStr">
        <is>
          <t>PV5 input current(A)</t>
        </is>
      </c>
      <c r="H4" s="10" t="inlineStr">
        <is>
          <t>PV6 input current(A)</t>
        </is>
      </c>
      <c r="I4" s="10" t="inlineStr">
        <is>
          <t>PV7 input current(A)</t>
        </is>
      </c>
      <c r="J4" s="10" t="inlineStr">
        <is>
          <t>PV8 input current(A)</t>
        </is>
      </c>
      <c r="K4" s="10" t="inlineStr">
        <is>
          <t>PV9 input current(A)</t>
        </is>
      </c>
    </row>
    <row r="5">
      <c r="A5" s="40" t="n">
        <v>46156.5</v>
      </c>
      <c r="B5" s="5" t="n">
        <v>900</v>
      </c>
      <c r="C5" s="15" t="n">
        <v>13</v>
      </c>
      <c r="D5" s="15" t="n">
        <v>12.8</v>
      </c>
      <c r="E5" s="15" t="n">
        <v>10.3</v>
      </c>
      <c r="F5" s="15" t="n">
        <v>5.6</v>
      </c>
      <c r="G5" s="15" t="n">
        <v>13</v>
      </c>
      <c r="H5" s="15" t="n">
        <v>12.8</v>
      </c>
      <c r="I5" s="15" t="n">
        <v>12.9</v>
      </c>
      <c r="J5" s="15" t="n">
        <v>0</v>
      </c>
      <c r="K5" s="15" t="n">
        <v>12.85</v>
      </c>
    </row>
    <row r="6">
      <c r="A6" s="40" t="n">
        <v>46156.50347222222</v>
      </c>
      <c r="B6" s="5" t="n">
        <v>900</v>
      </c>
      <c r="C6" s="15" t="n">
        <v>13</v>
      </c>
      <c r="D6" s="15" t="n">
        <v>12.8</v>
      </c>
      <c r="E6" s="15" t="n">
        <v>10.3</v>
      </c>
      <c r="F6" s="15" t="n">
        <v>5.6</v>
      </c>
      <c r="G6" s="15" t="n">
        <v>13</v>
      </c>
      <c r="H6" s="15" t="n">
        <v>12.8</v>
      </c>
      <c r="I6" s="15" t="n">
        <v>12.9</v>
      </c>
      <c r="J6" s="15" t="n">
        <v>0</v>
      </c>
      <c r="K6" s="15" t="n">
        <v>12.85</v>
      </c>
    </row>
    <row r="7">
      <c r="A7" s="40" t="n">
        <v>46156.50694444445</v>
      </c>
      <c r="B7" s="5" t="n">
        <v>900</v>
      </c>
      <c r="C7" s="15" t="n">
        <v>13</v>
      </c>
      <c r="D7" s="15" t="n">
        <v>12.8</v>
      </c>
      <c r="E7" s="15" t="n">
        <v>10.3</v>
      </c>
      <c r="F7" s="15" t="n">
        <v>5.6</v>
      </c>
      <c r="G7" s="15" t="n">
        <v>13</v>
      </c>
      <c r="H7" s="15" t="n">
        <v>12.8</v>
      </c>
      <c r="I7" s="15" t="n">
        <v>12.9</v>
      </c>
      <c r="J7" s="15" t="n">
        <v>0</v>
      </c>
      <c r="K7" s="15" t="n">
        <v>12.85</v>
      </c>
    </row>
    <row r="8">
      <c r="A8" s="40" t="n">
        <v>46156.51041666666</v>
      </c>
      <c r="B8" s="5" t="n">
        <v>900</v>
      </c>
      <c r="C8" s="15" t="n">
        <v>13</v>
      </c>
      <c r="D8" s="15" t="n">
        <v>12.8</v>
      </c>
      <c r="E8" s="15" t="n">
        <v>10.3</v>
      </c>
      <c r="F8" s="15" t="n">
        <v>5.6</v>
      </c>
      <c r="G8" s="15" t="n">
        <v>13</v>
      </c>
      <c r="H8" s="15" t="n">
        <v>12.8</v>
      </c>
      <c r="I8" s="15" t="n">
        <v>12.9</v>
      </c>
      <c r="J8" s="15" t="n">
        <v>0</v>
      </c>
      <c r="K8" s="15" t="n">
        <v>12.85</v>
      </c>
    </row>
    <row r="9">
      <c r="A9" s="40" t="n">
        <v>46156.51388888889</v>
      </c>
      <c r="B9" s="5" t="n">
        <v>900</v>
      </c>
      <c r="C9" s="15" t="n">
        <v>13</v>
      </c>
      <c r="D9" s="15" t="n">
        <v>12.8</v>
      </c>
      <c r="E9" s="15" t="n">
        <v>10.3</v>
      </c>
      <c r="F9" s="15" t="n">
        <v>5.6</v>
      </c>
      <c r="G9" s="15" t="n">
        <v>13</v>
      </c>
      <c r="H9" s="15" t="n">
        <v>12.8</v>
      </c>
      <c r="I9" s="15" t="n">
        <v>12.9</v>
      </c>
      <c r="J9" s="15" t="n">
        <v>0</v>
      </c>
      <c r="K9" s="15" t="n">
        <v>3</v>
      </c>
    </row>
    <row r="10">
      <c r="A10" s="40" t="n">
        <v>46156.51736111111</v>
      </c>
      <c r="B10" s="5" t="n">
        <v>900</v>
      </c>
      <c r="C10" s="15" t="n">
        <v>13</v>
      </c>
      <c r="D10" s="15" t="n">
        <v>12.8</v>
      </c>
      <c r="E10" s="15" t="n">
        <v>10.3</v>
      </c>
      <c r="F10" s="15" t="n">
        <v>5.6</v>
      </c>
      <c r="G10" s="15" t="n">
        <v>13</v>
      </c>
      <c r="H10" s="15" t="n">
        <v>12.8</v>
      </c>
      <c r="I10" s="15" t="n">
        <v>12.9</v>
      </c>
      <c r="J10" s="15" t="n">
        <v>0</v>
      </c>
      <c r="K10" s="15" t="n">
        <v>3</v>
      </c>
    </row>
    <row r="11">
      <c r="A11" s="40" t="n">
        <v>46156.52083333334</v>
      </c>
      <c r="B11" s="5" t="n">
        <v>900</v>
      </c>
      <c r="C11" s="15" t="n">
        <v>13</v>
      </c>
      <c r="D11" s="15" t="n">
        <v>12.8</v>
      </c>
      <c r="E11" s="15" t="n">
        <v>10.3</v>
      </c>
      <c r="F11" s="15" t="n">
        <v>5.6</v>
      </c>
      <c r="G11" s="15" t="n">
        <v>13</v>
      </c>
      <c r="H11" s="15" t="n">
        <v>12.8</v>
      </c>
      <c r="I11" s="15" t="n">
        <v>12.9</v>
      </c>
      <c r="J11" s="15" t="n">
        <v>0</v>
      </c>
      <c r="K11" s="15" t="n">
        <v>3</v>
      </c>
    </row>
    <row r="12">
      <c r="A12" s="40" t="n">
        <v>46156.52430555555</v>
      </c>
      <c r="B12" s="5" t="n">
        <v>900</v>
      </c>
      <c r="C12" s="15" t="n">
        <v>13</v>
      </c>
      <c r="D12" s="15" t="n">
        <v>12.8</v>
      </c>
      <c r="E12" s="15" t="n">
        <v>10.3</v>
      </c>
      <c r="F12" s="15" t="n">
        <v>5.6</v>
      </c>
      <c r="G12" s="15" t="n">
        <v>13</v>
      </c>
      <c r="H12" s="15" t="n">
        <v>12.8</v>
      </c>
      <c r="I12" s="15" t="n">
        <v>12.9</v>
      </c>
      <c r="J12" s="15" t="n">
        <v>0</v>
      </c>
      <c r="K12" s="15" t="n">
        <v>12.85</v>
      </c>
    </row>
    <row r="13">
      <c r="A13" s="40" t="n">
        <v>46156.52777777778</v>
      </c>
      <c r="B13" s="5" t="n">
        <v>900</v>
      </c>
      <c r="C13" s="15" t="n">
        <v>13</v>
      </c>
      <c r="D13" s="15" t="n">
        <v>12.8</v>
      </c>
      <c r="E13" s="15" t="n">
        <v>10.3</v>
      </c>
      <c r="F13" s="15" t="n">
        <v>5.6</v>
      </c>
      <c r="G13" s="15" t="n">
        <v>13</v>
      </c>
      <c r="H13" s="15" t="n">
        <v>12.8</v>
      </c>
      <c r="I13" s="15" t="n">
        <v>12.9</v>
      </c>
      <c r="J13" s="15" t="n">
        <v>0</v>
      </c>
      <c r="K13" s="15" t="n">
        <v>12.85</v>
      </c>
    </row>
    <row r="14">
      <c r="A14" s="40" t="n">
        <v>46156.53125</v>
      </c>
      <c r="B14" s="5" t="n">
        <v>900</v>
      </c>
      <c r="C14" s="15" t="n">
        <v>13</v>
      </c>
      <c r="D14" s="15" t="n">
        <v>12.8</v>
      </c>
      <c r="E14" s="15" t="n">
        <v>10.3</v>
      </c>
      <c r="F14" s="15" t="n">
        <v>5.6</v>
      </c>
      <c r="G14" s="15" t="n">
        <v>13</v>
      </c>
      <c r="H14" s="15" t="n">
        <v>12.8</v>
      </c>
      <c r="I14" s="15" t="n">
        <v>12.9</v>
      </c>
      <c r="J14" s="15" t="n">
        <v>0</v>
      </c>
      <c r="K14" s="15" t="n">
        <v>12.85</v>
      </c>
    </row>
    <row r="15">
      <c r="A15" s="40" t="n">
        <v>46156.53472222222</v>
      </c>
      <c r="B15" s="5" t="n">
        <v>900</v>
      </c>
      <c r="C15" s="15" t="n">
        <v>13</v>
      </c>
      <c r="D15" s="15" t="n">
        <v>12.8</v>
      </c>
      <c r="E15" s="15" t="n">
        <v>10.3</v>
      </c>
      <c r="F15" s="15" t="n">
        <v>5.6</v>
      </c>
      <c r="G15" s="15" t="n">
        <v>13</v>
      </c>
      <c r="H15" s="15" t="n">
        <v>12.8</v>
      </c>
      <c r="I15" s="15" t="n">
        <v>12.9</v>
      </c>
      <c r="J15" s="15" t="n">
        <v>0</v>
      </c>
      <c r="K15" s="15" t="n">
        <v>12.85</v>
      </c>
    </row>
    <row r="16">
      <c r="A16" s="40" t="n">
        <v>46156.53819444445</v>
      </c>
      <c r="B16" s="5" t="n">
        <v>900</v>
      </c>
      <c r="C16" s="15" t="n">
        <v>13</v>
      </c>
      <c r="D16" s="15" t="n">
        <v>12.8</v>
      </c>
      <c r="E16" s="15" t="n">
        <v>10.3</v>
      </c>
      <c r="F16" s="15" t="n">
        <v>5.6</v>
      </c>
      <c r="G16" s="15" t="n">
        <v>13</v>
      </c>
      <c r="H16" s="15" t="n">
        <v>12.8</v>
      </c>
      <c r="I16" s="15" t="n">
        <v>12.9</v>
      </c>
      <c r="J16" s="15" t="n">
        <v>0</v>
      </c>
      <c r="K16" s="15" t="n">
        <v>12.85</v>
      </c>
    </row>
    <row r="17">
      <c r="A17" s="40" t="n">
        <v>46156.54166666666</v>
      </c>
      <c r="B17" s="5" t="n">
        <v>900</v>
      </c>
      <c r="C17" s="15" t="n">
        <v>13</v>
      </c>
      <c r="D17" s="15" t="n">
        <v>12.8</v>
      </c>
      <c r="E17" s="15" t="n">
        <v>10.3</v>
      </c>
      <c r="F17" s="15" t="n">
        <v>5.6</v>
      </c>
      <c r="G17" s="15" t="n">
        <v>13</v>
      </c>
      <c r="H17" s="15" t="n">
        <v>12.8</v>
      </c>
      <c r="I17" s="15" t="n">
        <v>12.9</v>
      </c>
      <c r="J17" s="15" t="n">
        <v>0</v>
      </c>
      <c r="K17" s="15" t="n">
        <v>12.85</v>
      </c>
    </row>
    <row r="18">
      <c r="A18" s="40" t="n">
        <v>46156.54513888889</v>
      </c>
      <c r="B18" s="5" t="n">
        <v>900</v>
      </c>
      <c r="C18" s="15" t="n">
        <v>13</v>
      </c>
      <c r="D18" s="15" t="n">
        <v>12.8</v>
      </c>
      <c r="E18" s="15" t="n">
        <v>10.3</v>
      </c>
      <c r="F18" s="15" t="n">
        <v>5.6</v>
      </c>
      <c r="G18" s="15" t="n">
        <v>13</v>
      </c>
      <c r="H18" s="15" t="n">
        <v>12.8</v>
      </c>
      <c r="I18" s="15" t="n">
        <v>12.9</v>
      </c>
      <c r="J18" s="15" t="n">
        <v>0</v>
      </c>
      <c r="K18" s="15" t="n">
        <v>12.85</v>
      </c>
    </row>
    <row r="19">
      <c r="A19" s="40" t="n">
        <v>46156.54861111111</v>
      </c>
      <c r="B19" s="5" t="n">
        <v>900</v>
      </c>
      <c r="C19" s="15" t="n">
        <v>13</v>
      </c>
      <c r="D19" s="15" t="n">
        <v>12.8</v>
      </c>
      <c r="E19" s="15" t="n">
        <v>10.3</v>
      </c>
      <c r="F19" s="15" t="n">
        <v>5.6</v>
      </c>
      <c r="G19" s="15" t="n">
        <v>13</v>
      </c>
      <c r="H19" s="15" t="n">
        <v>12.8</v>
      </c>
      <c r="I19" s="15" t="n">
        <v>12.9</v>
      </c>
      <c r="J19" s="15" t="n">
        <v>0</v>
      </c>
      <c r="K19" s="15" t="n">
        <v>12.85</v>
      </c>
    </row>
    <row r="20">
      <c r="A20" s="40" t="n">
        <v>46156.55208333334</v>
      </c>
      <c r="B20" s="5" t="n">
        <v>900</v>
      </c>
      <c r="C20" s="15" t="n">
        <v>13</v>
      </c>
      <c r="D20" s="15" t="n">
        <v>12.8</v>
      </c>
      <c r="E20" s="15" t="n">
        <v>10.3</v>
      </c>
      <c r="F20" s="15" t="n">
        <v>5.6</v>
      </c>
      <c r="G20" s="15" t="n">
        <v>13</v>
      </c>
      <c r="H20" s="15" t="n">
        <v>12.8</v>
      </c>
      <c r="I20" s="15" t="n">
        <v>12.9</v>
      </c>
      <c r="J20" s="15" t="n">
        <v>0</v>
      </c>
      <c r="K20" s="15" t="n">
        <v>12.85</v>
      </c>
    </row>
    <row r="21">
      <c r="A21" s="40" t="n">
        <v>46156.55555555555</v>
      </c>
      <c r="B21" s="5" t="n">
        <v>900</v>
      </c>
      <c r="C21" s="15" t="n">
        <v>13</v>
      </c>
      <c r="D21" s="15" t="n">
        <v>12.8</v>
      </c>
      <c r="E21" s="15" t="n">
        <v>10.3</v>
      </c>
      <c r="F21" s="15" t="n">
        <v>5.6</v>
      </c>
      <c r="G21" s="15" t="n">
        <v>13</v>
      </c>
      <c r="H21" s="15" t="n">
        <v>12.8</v>
      </c>
      <c r="I21" s="15" t="n">
        <v>12.9</v>
      </c>
      <c r="J21" s="15" t="n">
        <v>0</v>
      </c>
      <c r="K21" s="15" t="n">
        <v>12.85</v>
      </c>
    </row>
    <row r="22">
      <c r="A22" s="40" t="n">
        <v>46156.55902777778</v>
      </c>
      <c r="B22" s="5" t="n">
        <v>900</v>
      </c>
      <c r="C22" s="15" t="n">
        <v>13</v>
      </c>
      <c r="D22" s="15" t="n">
        <v>12.8</v>
      </c>
      <c r="E22" s="15" t="n">
        <v>10.3</v>
      </c>
      <c r="F22" s="15" t="n">
        <v>5.6</v>
      </c>
      <c r="G22" s="15" t="n">
        <v>13</v>
      </c>
      <c r="H22" s="15" t="n">
        <v>12.8</v>
      </c>
      <c r="I22" s="15" t="n">
        <v>12.9</v>
      </c>
      <c r="J22" s="15" t="n">
        <v>0</v>
      </c>
      <c r="K22" s="15" t="n">
        <v>12.85</v>
      </c>
    </row>
    <row r="23">
      <c r="A23" s="40" t="n">
        <v>46156.5625</v>
      </c>
      <c r="B23" s="5" t="n">
        <v>900</v>
      </c>
      <c r="C23" s="15" t="n">
        <v>13</v>
      </c>
      <c r="D23" s="15" t="n">
        <v>12.8</v>
      </c>
      <c r="E23" s="15" t="n">
        <v>10.3</v>
      </c>
      <c r="F23" s="15" t="n">
        <v>5.6</v>
      </c>
      <c r="G23" s="15" t="n">
        <v>13</v>
      </c>
      <c r="H23" s="15" t="n">
        <v>12.8</v>
      </c>
      <c r="I23" s="15" t="n">
        <v>12.9</v>
      </c>
      <c r="J23" s="15" t="n">
        <v>0</v>
      </c>
      <c r="K23" s="15" t="n">
        <v>12.85</v>
      </c>
    </row>
    <row r="24">
      <c r="A24" s="40" t="n">
        <v>46156.56597222222</v>
      </c>
      <c r="B24" s="5" t="n">
        <v>900</v>
      </c>
      <c r="C24" s="15" t="n">
        <v>13</v>
      </c>
      <c r="D24" s="15" t="n">
        <v>12.8</v>
      </c>
      <c r="E24" s="15" t="n">
        <v>10.3</v>
      </c>
      <c r="F24" s="15" t="n">
        <v>5.6</v>
      </c>
      <c r="G24" s="15" t="n">
        <v>13</v>
      </c>
      <c r="H24" s="15" t="n">
        <v>12.8</v>
      </c>
      <c r="I24" s="15" t="n">
        <v>12.9</v>
      </c>
      <c r="J24" s="15" t="n">
        <v>0</v>
      </c>
      <c r="K24" s="15" t="n">
        <v>12.85</v>
      </c>
    </row>
    <row r="25">
      <c r="A25" s="40" t="n">
        <v>46156.56944444445</v>
      </c>
      <c r="B25" s="5" t="n">
        <v>900</v>
      </c>
      <c r="C25" s="15" t="n">
        <v>13</v>
      </c>
      <c r="D25" s="15" t="n">
        <v>12.8</v>
      </c>
      <c r="E25" s="15" t="n">
        <v>10.3</v>
      </c>
      <c r="F25" s="15" t="n">
        <v>5.6</v>
      </c>
      <c r="G25" s="15" t="n">
        <v>13</v>
      </c>
      <c r="H25" s="15" t="n">
        <v>12.8</v>
      </c>
      <c r="I25" s="15" t="n">
        <v>12.9</v>
      </c>
      <c r="J25" s="15" t="n">
        <v>0</v>
      </c>
      <c r="K25" s="15" t="n">
        <v>12.85</v>
      </c>
    </row>
    <row r="26">
      <c r="A26" s="40" t="n">
        <v>46156.57291666666</v>
      </c>
      <c r="B26" s="5" t="n">
        <v>900</v>
      </c>
      <c r="C26" s="15" t="n">
        <v>13</v>
      </c>
      <c r="D26" s="15" t="n">
        <v>12.8</v>
      </c>
      <c r="E26" s="15" t="n">
        <v>10.3</v>
      </c>
      <c r="F26" s="15" t="n">
        <v>5.6</v>
      </c>
      <c r="G26" s="15" t="n">
        <v>13</v>
      </c>
      <c r="H26" s="15" t="n">
        <v>12.8</v>
      </c>
      <c r="I26" s="15" t="n">
        <v>12.9</v>
      </c>
      <c r="J26" s="15" t="n">
        <v>0</v>
      </c>
      <c r="K26" s="15" t="n">
        <v>12.85</v>
      </c>
    </row>
    <row r="27">
      <c r="A27" s="40" t="n">
        <v>46156.57638888889</v>
      </c>
      <c r="B27" s="5" t="n">
        <v>900</v>
      </c>
      <c r="C27" s="15" t="n">
        <v>13</v>
      </c>
      <c r="D27" s="15" t="n">
        <v>12.8</v>
      </c>
      <c r="E27" s="15" t="n">
        <v>10.3</v>
      </c>
      <c r="F27" s="15" t="n">
        <v>5.6</v>
      </c>
      <c r="G27" s="15" t="n">
        <v>13</v>
      </c>
      <c r="H27" s="15" t="n">
        <v>12.8</v>
      </c>
      <c r="I27" s="15" t="n">
        <v>12.9</v>
      </c>
      <c r="J27" s="15" t="n">
        <v>0</v>
      </c>
      <c r="K27" s="15" t="n">
        <v>12.85</v>
      </c>
    </row>
    <row r="28">
      <c r="A28" s="40" t="n">
        <v>46156.57986111111</v>
      </c>
      <c r="B28" s="5" t="n">
        <v>900</v>
      </c>
      <c r="C28" s="15" t="n">
        <v>13</v>
      </c>
      <c r="D28" s="15" t="n">
        <v>12.8</v>
      </c>
      <c r="E28" s="15" t="n">
        <v>10.3</v>
      </c>
      <c r="F28" s="15" t="n">
        <v>5.6</v>
      </c>
      <c r="G28" s="15" t="n">
        <v>13</v>
      </c>
      <c r="H28" s="15" t="n">
        <v>12.8</v>
      </c>
      <c r="I28" s="15" t="n">
        <v>12.9</v>
      </c>
      <c r="J28" s="15" t="n">
        <v>0</v>
      </c>
      <c r="K28" s="15" t="n">
        <v>12.85</v>
      </c>
    </row>
    <row r="29">
      <c r="A29" s="40" t="n">
        <v>46156.75694444445</v>
      </c>
      <c r="B29" s="5" t="n">
        <v>120</v>
      </c>
      <c r="C29" s="15" t="n">
        <v>13</v>
      </c>
      <c r="D29" s="15" t="n">
        <v>12.8</v>
      </c>
      <c r="E29" s="15" t="n">
        <v>10.3</v>
      </c>
      <c r="F29" s="15" t="n">
        <v>5.6</v>
      </c>
      <c r="G29" s="15" t="n">
        <v>13</v>
      </c>
      <c r="H29" s="15" t="n">
        <v>12.8</v>
      </c>
      <c r="I29" s="15" t="n">
        <v>12.9</v>
      </c>
      <c r="J29" s="15" t="n">
        <v>0</v>
      </c>
      <c r="K29" s="15" t="n">
        <v>12.85</v>
      </c>
    </row>
    <row r="30">
      <c r="A30" s="40" t="n">
        <v>46156.76388888889</v>
      </c>
      <c r="B30" s="5" t="n">
        <v>120</v>
      </c>
      <c r="C30" s="15" t="n">
        <v>13</v>
      </c>
      <c r="D30" s="15" t="n">
        <v>12.8</v>
      </c>
      <c r="E30" s="15" t="n">
        <v>10.3</v>
      </c>
      <c r="F30" s="15" t="n">
        <v>5.6</v>
      </c>
      <c r="G30" s="15" t="n">
        <v>13</v>
      </c>
      <c r="H30" s="15" t="n">
        <v>12.8</v>
      </c>
      <c r="I30" s="15" t="n">
        <v>12.9</v>
      </c>
      <c r="J30" s="15" t="n">
        <v>0</v>
      </c>
      <c r="K30" s="15" t="n">
        <v>12.85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M3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</cols>
  <sheetData>
    <row r="1">
      <c r="A1" s="23" t="inlineStr">
        <is>
          <t>Helpers_MR — daylight + median partner se-MPPT + ratio + qualifying + running-consec</t>
        </is>
      </c>
    </row>
    <row r="2">
      <c r="A2" s="24" t="inlineStr">
        <is>
          <t>daylight = (POA&gt;cfg_mr_poa_threshold) &amp; (POA&gt;cfg_mr_poa_floor)  [sub-gate POA saja; ephemeris di luar sheet].</t>
        </is>
      </c>
    </row>
    <row r="3">
      <c r="A3" s="24" t="inlineStr">
        <is>
          <t>median partner = MEDIAN(cell partner se-MPPT)  -&gt; meniru median(axis=1) atas sibling (mppt_ratio.py baris 274-276).</t>
        </is>
      </c>
    </row>
    <row r="4">
      <c r="A4" s="10" t="inlineStr">
        <is>
          <t>timestamp</t>
        </is>
      </c>
      <c r="B4" s="10" t="inlineStr">
        <is>
          <t>POA</t>
        </is>
      </c>
      <c r="C4" s="10" t="inlineStr">
        <is>
          <t>daylight</t>
        </is>
      </c>
      <c r="D4" s="10" t="inlineStr">
        <is>
          <t>med_partner_PV1</t>
        </is>
      </c>
      <c r="E4" s="10" t="inlineStr">
        <is>
          <t>med_partner_PV2</t>
        </is>
      </c>
      <c r="F4" s="10" t="inlineStr">
        <is>
          <t>med_partner_PV3</t>
        </is>
      </c>
      <c r="G4" s="10" t="inlineStr">
        <is>
          <t>med_partner_PV4</t>
        </is>
      </c>
      <c r="H4" s="10" t="inlineStr">
        <is>
          <t>med_partner_PV5</t>
        </is>
      </c>
      <c r="I4" s="10" t="inlineStr">
        <is>
          <t>med_partner_PV6</t>
        </is>
      </c>
      <c r="J4" s="10" t="inlineStr">
        <is>
          <t>med_partner_PV7</t>
        </is>
      </c>
      <c r="K4" s="10" t="inlineStr">
        <is>
          <t>med_partner_PV8</t>
        </is>
      </c>
      <c r="L4" s="10" t="inlineStr">
        <is>
          <t>med_partner_PV9</t>
        </is>
      </c>
      <c r="M4" s="10" t="inlineStr">
        <is>
          <t>ratio_PV1</t>
        </is>
      </c>
      <c r="N4" s="10" t="inlineStr">
        <is>
          <t>ratio_PV2</t>
        </is>
      </c>
      <c r="O4" s="10" t="inlineStr">
        <is>
          <t>ratio_PV3</t>
        </is>
      </c>
      <c r="P4" s="10" t="inlineStr">
        <is>
          <t>ratio_PV4</t>
        </is>
      </c>
      <c r="Q4" s="10" t="inlineStr">
        <is>
          <t>ratio_PV5</t>
        </is>
      </c>
      <c r="R4" s="10" t="inlineStr">
        <is>
          <t>ratio_PV6</t>
        </is>
      </c>
      <c r="S4" s="10" t="inlineStr">
        <is>
          <t>ratio_PV7</t>
        </is>
      </c>
      <c r="T4" s="10" t="inlineStr">
        <is>
          <t>ratio_PV8</t>
        </is>
      </c>
      <c r="U4" s="10" t="inlineStr">
        <is>
          <t>ratio_PV9</t>
        </is>
      </c>
      <c r="V4" s="10" t="inlineStr">
        <is>
          <t>qual_PV1</t>
        </is>
      </c>
      <c r="W4" s="10" t="inlineStr">
        <is>
          <t>qual_PV2</t>
        </is>
      </c>
      <c r="X4" s="10" t="inlineStr">
        <is>
          <t>qual_PV3</t>
        </is>
      </c>
      <c r="Y4" s="10" t="inlineStr">
        <is>
          <t>qual_PV4</t>
        </is>
      </c>
      <c r="Z4" s="10" t="inlineStr">
        <is>
          <t>qual_PV5</t>
        </is>
      </c>
      <c r="AA4" s="10" t="inlineStr">
        <is>
          <t>qual_PV6</t>
        </is>
      </c>
      <c r="AB4" s="10" t="inlineStr">
        <is>
          <t>qual_PV7</t>
        </is>
      </c>
      <c r="AC4" s="10" t="inlineStr">
        <is>
          <t>qual_PV8</t>
        </is>
      </c>
      <c r="AD4" s="10" t="inlineStr">
        <is>
          <t>qual_PV9</t>
        </is>
      </c>
      <c r="AE4" s="10" t="inlineStr">
        <is>
          <t>consec_PV1</t>
        </is>
      </c>
      <c r="AF4" s="10" t="inlineStr">
        <is>
          <t>consec_PV2</t>
        </is>
      </c>
      <c r="AG4" s="10" t="inlineStr">
        <is>
          <t>consec_PV3</t>
        </is>
      </c>
      <c r="AH4" s="10" t="inlineStr">
        <is>
          <t>consec_PV4</t>
        </is>
      </c>
      <c r="AI4" s="10" t="inlineStr">
        <is>
          <t>consec_PV5</t>
        </is>
      </c>
      <c r="AJ4" s="10" t="inlineStr">
        <is>
          <t>consec_PV6</t>
        </is>
      </c>
      <c r="AK4" s="10" t="inlineStr">
        <is>
          <t>consec_PV7</t>
        </is>
      </c>
      <c r="AL4" s="10" t="inlineStr">
        <is>
          <t>consec_PV8</t>
        </is>
      </c>
      <c r="AM4" s="10" t="inlineStr">
        <is>
          <t>consec_PV9</t>
        </is>
      </c>
    </row>
    <row r="5">
      <c r="A5" s="40">
        <f>Raw_Data_MR!A5</f>
        <v/>
      </c>
      <c r="B5" s="5">
        <f>Raw_Data_MR!B5</f>
        <v/>
      </c>
      <c r="C5" s="5">
        <f>IF(AND(B5&gt;cfg_mr_poa_threshold_wm2,B5&gt;cfg_mr_poa_floor_wm2),1,0)</f>
        <v/>
      </c>
      <c r="D5" s="17">
        <f>MEDIAN(Raw_Data_MR!D5,Raw_Data_MR!E5,Raw_Data_MR!F5)</f>
        <v/>
      </c>
      <c r="E5" s="17">
        <f>MEDIAN(Raw_Data_MR!C5,Raw_Data_MR!E5,Raw_Data_MR!F5)</f>
        <v/>
      </c>
      <c r="F5" s="17">
        <f>MEDIAN(Raw_Data_MR!C5,Raw_Data_MR!D5,Raw_Data_MR!F5)</f>
        <v/>
      </c>
      <c r="G5" s="17">
        <f>MEDIAN(Raw_Data_MR!C5,Raw_Data_MR!D5,Raw_Data_MR!E5)</f>
        <v/>
      </c>
      <c r="H5" s="17">
        <f>MEDIAN(Raw_Data_MR!H5,Raw_Data_MR!I5,Raw_Data_MR!J5,Raw_Data_MR!K5)</f>
        <v/>
      </c>
      <c r="I5" s="17">
        <f>MEDIAN(Raw_Data_MR!G5,Raw_Data_MR!I5,Raw_Data_MR!J5,Raw_Data_MR!K5)</f>
        <v/>
      </c>
      <c r="J5" s="17">
        <f>MEDIAN(Raw_Data_MR!G5,Raw_Data_MR!H5,Raw_Data_MR!J5,Raw_Data_MR!K5)</f>
        <v/>
      </c>
      <c r="K5" s="17">
        <f>MEDIAN(Raw_Data_MR!G5,Raw_Data_MR!H5,Raw_Data_MR!I5,Raw_Data_MR!K5)</f>
        <v/>
      </c>
      <c r="L5" s="17">
        <f>MEDIAN(Raw_Data_MR!G5,Raw_Data_MR!H5,Raw_Data_MR!I5,Raw_Data_MR!J5)</f>
        <v/>
      </c>
      <c r="M5" s="31">
        <f>Raw_Data_MR!C5/MAX(D5,cfg_mr_partner_clip)</f>
        <v/>
      </c>
      <c r="N5" s="31">
        <f>Raw_Data_MR!D5/MAX(E5,cfg_mr_partner_clip)</f>
        <v/>
      </c>
      <c r="O5" s="31">
        <f>Raw_Data_MR!E5/MAX(F5,cfg_mr_partner_clip)</f>
        <v/>
      </c>
      <c r="P5" s="31">
        <f>Raw_Data_MR!F5/MAX(G5,cfg_mr_partner_clip)</f>
        <v/>
      </c>
      <c r="Q5" s="31">
        <f>Raw_Data_MR!G5/MAX(H5,cfg_mr_partner_clip)</f>
        <v/>
      </c>
      <c r="R5" s="31">
        <f>Raw_Data_MR!H5/MAX(I5,cfg_mr_partner_clip)</f>
        <v/>
      </c>
      <c r="S5" s="31">
        <f>Raw_Data_MR!I5/MAX(J5,cfg_mr_partner_clip)</f>
        <v/>
      </c>
      <c r="T5" s="31">
        <f>Raw_Data_MR!J5/MAX(K5,cfg_mr_partner_clip)</f>
        <v/>
      </c>
      <c r="U5" s="31">
        <f>Raw_Data_MR!K5/MAX(L5,cfg_mr_partner_clip)</f>
        <v/>
      </c>
      <c r="V5" s="5">
        <f>IF(AND(M5&lt;cfg_mr_ratio_threshold,$C5=1),1,0)</f>
        <v/>
      </c>
      <c r="W5" s="5">
        <f>IF(AND(N5&lt;cfg_mr_ratio_threshold,$C5=1),1,0)</f>
        <v/>
      </c>
      <c r="X5" s="5">
        <f>IF(AND(O5&lt;cfg_mr_ratio_threshold,$C5=1),1,0)</f>
        <v/>
      </c>
      <c r="Y5" s="5">
        <f>IF(AND(P5&lt;cfg_mr_ratio_threshold,$C5=1),1,0)</f>
        <v/>
      </c>
      <c r="Z5" s="5">
        <f>IF(AND(Q5&lt;cfg_mr_ratio_threshold,$C5=1),1,0)</f>
        <v/>
      </c>
      <c r="AA5" s="5">
        <f>IF(AND(R5&lt;cfg_mr_ratio_threshold,$C5=1),1,0)</f>
        <v/>
      </c>
      <c r="AB5" s="5">
        <f>IF(AND(S5&lt;cfg_mr_ratio_threshold,$C5=1),1,0)</f>
        <v/>
      </c>
      <c r="AC5" s="5">
        <f>IF(AND(T5&lt;cfg_mr_ratio_threshold,$C5=1),1,0)</f>
        <v/>
      </c>
      <c r="AD5" s="5">
        <f>IF(AND(U5&lt;cfg_mr_ratio_threshold,$C5=1),1,0)</f>
        <v/>
      </c>
      <c r="AE5" s="5">
        <f>V5</f>
        <v/>
      </c>
      <c r="AF5" s="5">
        <f>W5</f>
        <v/>
      </c>
      <c r="AG5" s="5">
        <f>X5</f>
        <v/>
      </c>
      <c r="AH5" s="5">
        <f>Y5</f>
        <v/>
      </c>
      <c r="AI5" s="5">
        <f>Z5</f>
        <v/>
      </c>
      <c r="AJ5" s="5">
        <f>AA5</f>
        <v/>
      </c>
      <c r="AK5" s="5">
        <f>AB5</f>
        <v/>
      </c>
      <c r="AL5" s="5">
        <f>AC5</f>
        <v/>
      </c>
      <c r="AM5" s="5">
        <f>AD5</f>
        <v/>
      </c>
    </row>
    <row r="6">
      <c r="A6" s="40">
        <f>Raw_Data_MR!A6</f>
        <v/>
      </c>
      <c r="B6" s="5">
        <f>Raw_Data_MR!B6</f>
        <v/>
      </c>
      <c r="C6" s="5">
        <f>IF(AND(B6&gt;cfg_mr_poa_threshold_wm2,B6&gt;cfg_mr_poa_floor_wm2),1,0)</f>
        <v/>
      </c>
      <c r="D6" s="17">
        <f>MEDIAN(Raw_Data_MR!D6,Raw_Data_MR!E6,Raw_Data_MR!F6)</f>
        <v/>
      </c>
      <c r="E6" s="17">
        <f>MEDIAN(Raw_Data_MR!C6,Raw_Data_MR!E6,Raw_Data_MR!F6)</f>
        <v/>
      </c>
      <c r="F6" s="17">
        <f>MEDIAN(Raw_Data_MR!C6,Raw_Data_MR!D6,Raw_Data_MR!F6)</f>
        <v/>
      </c>
      <c r="G6" s="17">
        <f>MEDIAN(Raw_Data_MR!C6,Raw_Data_MR!D6,Raw_Data_MR!E6)</f>
        <v/>
      </c>
      <c r="H6" s="17">
        <f>MEDIAN(Raw_Data_MR!H6,Raw_Data_MR!I6,Raw_Data_MR!J6,Raw_Data_MR!K6)</f>
        <v/>
      </c>
      <c r="I6" s="17">
        <f>MEDIAN(Raw_Data_MR!G6,Raw_Data_MR!I6,Raw_Data_MR!J6,Raw_Data_MR!K6)</f>
        <v/>
      </c>
      <c r="J6" s="17">
        <f>MEDIAN(Raw_Data_MR!G6,Raw_Data_MR!H6,Raw_Data_MR!J6,Raw_Data_MR!K6)</f>
        <v/>
      </c>
      <c r="K6" s="17">
        <f>MEDIAN(Raw_Data_MR!G6,Raw_Data_MR!H6,Raw_Data_MR!I6,Raw_Data_MR!K6)</f>
        <v/>
      </c>
      <c r="L6" s="17">
        <f>MEDIAN(Raw_Data_MR!G6,Raw_Data_MR!H6,Raw_Data_MR!I6,Raw_Data_MR!J6)</f>
        <v/>
      </c>
      <c r="M6" s="31">
        <f>Raw_Data_MR!C6/MAX(D6,cfg_mr_partner_clip)</f>
        <v/>
      </c>
      <c r="N6" s="31">
        <f>Raw_Data_MR!D6/MAX(E6,cfg_mr_partner_clip)</f>
        <v/>
      </c>
      <c r="O6" s="31">
        <f>Raw_Data_MR!E6/MAX(F6,cfg_mr_partner_clip)</f>
        <v/>
      </c>
      <c r="P6" s="31">
        <f>Raw_Data_MR!F6/MAX(G6,cfg_mr_partner_clip)</f>
        <v/>
      </c>
      <c r="Q6" s="31">
        <f>Raw_Data_MR!G6/MAX(H6,cfg_mr_partner_clip)</f>
        <v/>
      </c>
      <c r="R6" s="31">
        <f>Raw_Data_MR!H6/MAX(I6,cfg_mr_partner_clip)</f>
        <v/>
      </c>
      <c r="S6" s="31">
        <f>Raw_Data_MR!I6/MAX(J6,cfg_mr_partner_clip)</f>
        <v/>
      </c>
      <c r="T6" s="31">
        <f>Raw_Data_MR!J6/MAX(K6,cfg_mr_partner_clip)</f>
        <v/>
      </c>
      <c r="U6" s="31">
        <f>Raw_Data_MR!K6/MAX(L6,cfg_mr_partner_clip)</f>
        <v/>
      </c>
      <c r="V6" s="5">
        <f>IF(AND(M6&lt;cfg_mr_ratio_threshold,$C6=1),1,0)</f>
        <v/>
      </c>
      <c r="W6" s="5">
        <f>IF(AND(N6&lt;cfg_mr_ratio_threshold,$C6=1),1,0)</f>
        <v/>
      </c>
      <c r="X6" s="5">
        <f>IF(AND(O6&lt;cfg_mr_ratio_threshold,$C6=1),1,0)</f>
        <v/>
      </c>
      <c r="Y6" s="5">
        <f>IF(AND(P6&lt;cfg_mr_ratio_threshold,$C6=1),1,0)</f>
        <v/>
      </c>
      <c r="Z6" s="5">
        <f>IF(AND(Q6&lt;cfg_mr_ratio_threshold,$C6=1),1,0)</f>
        <v/>
      </c>
      <c r="AA6" s="5">
        <f>IF(AND(R6&lt;cfg_mr_ratio_threshold,$C6=1),1,0)</f>
        <v/>
      </c>
      <c r="AB6" s="5">
        <f>IF(AND(S6&lt;cfg_mr_ratio_threshold,$C6=1),1,0)</f>
        <v/>
      </c>
      <c r="AC6" s="5">
        <f>IF(AND(T6&lt;cfg_mr_ratio_threshold,$C6=1),1,0)</f>
        <v/>
      </c>
      <c r="AD6" s="5">
        <f>IF(AND(U6&lt;cfg_mr_ratio_threshold,$C6=1),1,0)</f>
        <v/>
      </c>
      <c r="AE6" s="5">
        <f>IF(V6=1,AE5+1,0)</f>
        <v/>
      </c>
      <c r="AF6" s="5">
        <f>IF(W6=1,AF5+1,0)</f>
        <v/>
      </c>
      <c r="AG6" s="5">
        <f>IF(X6=1,AG5+1,0)</f>
        <v/>
      </c>
      <c r="AH6" s="5">
        <f>IF(Y6=1,AH5+1,0)</f>
        <v/>
      </c>
      <c r="AI6" s="5">
        <f>IF(Z6=1,AI5+1,0)</f>
        <v/>
      </c>
      <c r="AJ6" s="5">
        <f>IF(AA6=1,AJ5+1,0)</f>
        <v/>
      </c>
      <c r="AK6" s="5">
        <f>IF(AB6=1,AK5+1,0)</f>
        <v/>
      </c>
      <c r="AL6" s="5">
        <f>IF(AC6=1,AL5+1,0)</f>
        <v/>
      </c>
      <c r="AM6" s="5">
        <f>IF(AD6=1,AM5+1,0)</f>
        <v/>
      </c>
    </row>
    <row r="7">
      <c r="A7" s="40">
        <f>Raw_Data_MR!A7</f>
        <v/>
      </c>
      <c r="B7" s="5">
        <f>Raw_Data_MR!B7</f>
        <v/>
      </c>
      <c r="C7" s="5">
        <f>IF(AND(B7&gt;cfg_mr_poa_threshold_wm2,B7&gt;cfg_mr_poa_floor_wm2),1,0)</f>
        <v/>
      </c>
      <c r="D7" s="17">
        <f>MEDIAN(Raw_Data_MR!D7,Raw_Data_MR!E7,Raw_Data_MR!F7)</f>
        <v/>
      </c>
      <c r="E7" s="17">
        <f>MEDIAN(Raw_Data_MR!C7,Raw_Data_MR!E7,Raw_Data_MR!F7)</f>
        <v/>
      </c>
      <c r="F7" s="17">
        <f>MEDIAN(Raw_Data_MR!C7,Raw_Data_MR!D7,Raw_Data_MR!F7)</f>
        <v/>
      </c>
      <c r="G7" s="17">
        <f>MEDIAN(Raw_Data_MR!C7,Raw_Data_MR!D7,Raw_Data_MR!E7)</f>
        <v/>
      </c>
      <c r="H7" s="17">
        <f>MEDIAN(Raw_Data_MR!H7,Raw_Data_MR!I7,Raw_Data_MR!J7,Raw_Data_MR!K7)</f>
        <v/>
      </c>
      <c r="I7" s="17">
        <f>MEDIAN(Raw_Data_MR!G7,Raw_Data_MR!I7,Raw_Data_MR!J7,Raw_Data_MR!K7)</f>
        <v/>
      </c>
      <c r="J7" s="17">
        <f>MEDIAN(Raw_Data_MR!G7,Raw_Data_MR!H7,Raw_Data_MR!J7,Raw_Data_MR!K7)</f>
        <v/>
      </c>
      <c r="K7" s="17">
        <f>MEDIAN(Raw_Data_MR!G7,Raw_Data_MR!H7,Raw_Data_MR!I7,Raw_Data_MR!K7)</f>
        <v/>
      </c>
      <c r="L7" s="17">
        <f>MEDIAN(Raw_Data_MR!G7,Raw_Data_MR!H7,Raw_Data_MR!I7,Raw_Data_MR!J7)</f>
        <v/>
      </c>
      <c r="M7" s="31">
        <f>Raw_Data_MR!C7/MAX(D7,cfg_mr_partner_clip)</f>
        <v/>
      </c>
      <c r="N7" s="31">
        <f>Raw_Data_MR!D7/MAX(E7,cfg_mr_partner_clip)</f>
        <v/>
      </c>
      <c r="O7" s="31">
        <f>Raw_Data_MR!E7/MAX(F7,cfg_mr_partner_clip)</f>
        <v/>
      </c>
      <c r="P7" s="31">
        <f>Raw_Data_MR!F7/MAX(G7,cfg_mr_partner_clip)</f>
        <v/>
      </c>
      <c r="Q7" s="31">
        <f>Raw_Data_MR!G7/MAX(H7,cfg_mr_partner_clip)</f>
        <v/>
      </c>
      <c r="R7" s="31">
        <f>Raw_Data_MR!H7/MAX(I7,cfg_mr_partner_clip)</f>
        <v/>
      </c>
      <c r="S7" s="31">
        <f>Raw_Data_MR!I7/MAX(J7,cfg_mr_partner_clip)</f>
        <v/>
      </c>
      <c r="T7" s="31">
        <f>Raw_Data_MR!J7/MAX(K7,cfg_mr_partner_clip)</f>
        <v/>
      </c>
      <c r="U7" s="31">
        <f>Raw_Data_MR!K7/MAX(L7,cfg_mr_partner_clip)</f>
        <v/>
      </c>
      <c r="V7" s="5">
        <f>IF(AND(M7&lt;cfg_mr_ratio_threshold,$C7=1),1,0)</f>
        <v/>
      </c>
      <c r="W7" s="5">
        <f>IF(AND(N7&lt;cfg_mr_ratio_threshold,$C7=1),1,0)</f>
        <v/>
      </c>
      <c r="X7" s="5">
        <f>IF(AND(O7&lt;cfg_mr_ratio_threshold,$C7=1),1,0)</f>
        <v/>
      </c>
      <c r="Y7" s="5">
        <f>IF(AND(P7&lt;cfg_mr_ratio_threshold,$C7=1),1,0)</f>
        <v/>
      </c>
      <c r="Z7" s="5">
        <f>IF(AND(Q7&lt;cfg_mr_ratio_threshold,$C7=1),1,0)</f>
        <v/>
      </c>
      <c r="AA7" s="5">
        <f>IF(AND(R7&lt;cfg_mr_ratio_threshold,$C7=1),1,0)</f>
        <v/>
      </c>
      <c r="AB7" s="5">
        <f>IF(AND(S7&lt;cfg_mr_ratio_threshold,$C7=1),1,0)</f>
        <v/>
      </c>
      <c r="AC7" s="5">
        <f>IF(AND(T7&lt;cfg_mr_ratio_threshold,$C7=1),1,0)</f>
        <v/>
      </c>
      <c r="AD7" s="5">
        <f>IF(AND(U7&lt;cfg_mr_ratio_threshold,$C7=1),1,0)</f>
        <v/>
      </c>
      <c r="AE7" s="5">
        <f>IF(V7=1,AE6+1,0)</f>
        <v/>
      </c>
      <c r="AF7" s="5">
        <f>IF(W7=1,AF6+1,0)</f>
        <v/>
      </c>
      <c r="AG7" s="5">
        <f>IF(X7=1,AG6+1,0)</f>
        <v/>
      </c>
      <c r="AH7" s="5">
        <f>IF(Y7=1,AH6+1,0)</f>
        <v/>
      </c>
      <c r="AI7" s="5">
        <f>IF(Z7=1,AI6+1,0)</f>
        <v/>
      </c>
      <c r="AJ7" s="5">
        <f>IF(AA7=1,AJ6+1,0)</f>
        <v/>
      </c>
      <c r="AK7" s="5">
        <f>IF(AB7=1,AK6+1,0)</f>
        <v/>
      </c>
      <c r="AL7" s="5">
        <f>IF(AC7=1,AL6+1,0)</f>
        <v/>
      </c>
      <c r="AM7" s="5">
        <f>IF(AD7=1,AM6+1,0)</f>
        <v/>
      </c>
    </row>
    <row r="8">
      <c r="A8" s="40">
        <f>Raw_Data_MR!A8</f>
        <v/>
      </c>
      <c r="B8" s="5">
        <f>Raw_Data_MR!B8</f>
        <v/>
      </c>
      <c r="C8" s="5">
        <f>IF(AND(B8&gt;cfg_mr_poa_threshold_wm2,B8&gt;cfg_mr_poa_floor_wm2),1,0)</f>
        <v/>
      </c>
      <c r="D8" s="17">
        <f>MEDIAN(Raw_Data_MR!D8,Raw_Data_MR!E8,Raw_Data_MR!F8)</f>
        <v/>
      </c>
      <c r="E8" s="17">
        <f>MEDIAN(Raw_Data_MR!C8,Raw_Data_MR!E8,Raw_Data_MR!F8)</f>
        <v/>
      </c>
      <c r="F8" s="17">
        <f>MEDIAN(Raw_Data_MR!C8,Raw_Data_MR!D8,Raw_Data_MR!F8)</f>
        <v/>
      </c>
      <c r="G8" s="17">
        <f>MEDIAN(Raw_Data_MR!C8,Raw_Data_MR!D8,Raw_Data_MR!E8)</f>
        <v/>
      </c>
      <c r="H8" s="17">
        <f>MEDIAN(Raw_Data_MR!H8,Raw_Data_MR!I8,Raw_Data_MR!J8,Raw_Data_MR!K8)</f>
        <v/>
      </c>
      <c r="I8" s="17">
        <f>MEDIAN(Raw_Data_MR!G8,Raw_Data_MR!I8,Raw_Data_MR!J8,Raw_Data_MR!K8)</f>
        <v/>
      </c>
      <c r="J8" s="17">
        <f>MEDIAN(Raw_Data_MR!G8,Raw_Data_MR!H8,Raw_Data_MR!J8,Raw_Data_MR!K8)</f>
        <v/>
      </c>
      <c r="K8" s="17">
        <f>MEDIAN(Raw_Data_MR!G8,Raw_Data_MR!H8,Raw_Data_MR!I8,Raw_Data_MR!K8)</f>
        <v/>
      </c>
      <c r="L8" s="17">
        <f>MEDIAN(Raw_Data_MR!G8,Raw_Data_MR!H8,Raw_Data_MR!I8,Raw_Data_MR!J8)</f>
        <v/>
      </c>
      <c r="M8" s="31">
        <f>Raw_Data_MR!C8/MAX(D8,cfg_mr_partner_clip)</f>
        <v/>
      </c>
      <c r="N8" s="31">
        <f>Raw_Data_MR!D8/MAX(E8,cfg_mr_partner_clip)</f>
        <v/>
      </c>
      <c r="O8" s="31">
        <f>Raw_Data_MR!E8/MAX(F8,cfg_mr_partner_clip)</f>
        <v/>
      </c>
      <c r="P8" s="31">
        <f>Raw_Data_MR!F8/MAX(G8,cfg_mr_partner_clip)</f>
        <v/>
      </c>
      <c r="Q8" s="31">
        <f>Raw_Data_MR!G8/MAX(H8,cfg_mr_partner_clip)</f>
        <v/>
      </c>
      <c r="R8" s="31">
        <f>Raw_Data_MR!H8/MAX(I8,cfg_mr_partner_clip)</f>
        <v/>
      </c>
      <c r="S8" s="31">
        <f>Raw_Data_MR!I8/MAX(J8,cfg_mr_partner_clip)</f>
        <v/>
      </c>
      <c r="T8" s="31">
        <f>Raw_Data_MR!J8/MAX(K8,cfg_mr_partner_clip)</f>
        <v/>
      </c>
      <c r="U8" s="31">
        <f>Raw_Data_MR!K8/MAX(L8,cfg_mr_partner_clip)</f>
        <v/>
      </c>
      <c r="V8" s="5">
        <f>IF(AND(M8&lt;cfg_mr_ratio_threshold,$C8=1),1,0)</f>
        <v/>
      </c>
      <c r="W8" s="5">
        <f>IF(AND(N8&lt;cfg_mr_ratio_threshold,$C8=1),1,0)</f>
        <v/>
      </c>
      <c r="X8" s="5">
        <f>IF(AND(O8&lt;cfg_mr_ratio_threshold,$C8=1),1,0)</f>
        <v/>
      </c>
      <c r="Y8" s="5">
        <f>IF(AND(P8&lt;cfg_mr_ratio_threshold,$C8=1),1,0)</f>
        <v/>
      </c>
      <c r="Z8" s="5">
        <f>IF(AND(Q8&lt;cfg_mr_ratio_threshold,$C8=1),1,0)</f>
        <v/>
      </c>
      <c r="AA8" s="5">
        <f>IF(AND(R8&lt;cfg_mr_ratio_threshold,$C8=1),1,0)</f>
        <v/>
      </c>
      <c r="AB8" s="5">
        <f>IF(AND(S8&lt;cfg_mr_ratio_threshold,$C8=1),1,0)</f>
        <v/>
      </c>
      <c r="AC8" s="5">
        <f>IF(AND(T8&lt;cfg_mr_ratio_threshold,$C8=1),1,0)</f>
        <v/>
      </c>
      <c r="AD8" s="5">
        <f>IF(AND(U8&lt;cfg_mr_ratio_threshold,$C8=1),1,0)</f>
        <v/>
      </c>
      <c r="AE8" s="5">
        <f>IF(V8=1,AE7+1,0)</f>
        <v/>
      </c>
      <c r="AF8" s="5">
        <f>IF(W8=1,AF7+1,0)</f>
        <v/>
      </c>
      <c r="AG8" s="5">
        <f>IF(X8=1,AG7+1,0)</f>
        <v/>
      </c>
      <c r="AH8" s="5">
        <f>IF(Y8=1,AH7+1,0)</f>
        <v/>
      </c>
      <c r="AI8" s="5">
        <f>IF(Z8=1,AI7+1,0)</f>
        <v/>
      </c>
      <c r="AJ8" s="5">
        <f>IF(AA8=1,AJ7+1,0)</f>
        <v/>
      </c>
      <c r="AK8" s="5">
        <f>IF(AB8=1,AK7+1,0)</f>
        <v/>
      </c>
      <c r="AL8" s="5">
        <f>IF(AC8=1,AL7+1,0)</f>
        <v/>
      </c>
      <c r="AM8" s="5">
        <f>IF(AD8=1,AM7+1,0)</f>
        <v/>
      </c>
    </row>
    <row r="9">
      <c r="A9" s="40">
        <f>Raw_Data_MR!A9</f>
        <v/>
      </c>
      <c r="B9" s="5">
        <f>Raw_Data_MR!B9</f>
        <v/>
      </c>
      <c r="C9" s="5">
        <f>IF(AND(B9&gt;cfg_mr_poa_threshold_wm2,B9&gt;cfg_mr_poa_floor_wm2),1,0)</f>
        <v/>
      </c>
      <c r="D9" s="17">
        <f>MEDIAN(Raw_Data_MR!D9,Raw_Data_MR!E9,Raw_Data_MR!F9)</f>
        <v/>
      </c>
      <c r="E9" s="17">
        <f>MEDIAN(Raw_Data_MR!C9,Raw_Data_MR!E9,Raw_Data_MR!F9)</f>
        <v/>
      </c>
      <c r="F9" s="17">
        <f>MEDIAN(Raw_Data_MR!C9,Raw_Data_MR!D9,Raw_Data_MR!F9)</f>
        <v/>
      </c>
      <c r="G9" s="17">
        <f>MEDIAN(Raw_Data_MR!C9,Raw_Data_MR!D9,Raw_Data_MR!E9)</f>
        <v/>
      </c>
      <c r="H9" s="17">
        <f>MEDIAN(Raw_Data_MR!H9,Raw_Data_MR!I9,Raw_Data_MR!J9,Raw_Data_MR!K9)</f>
        <v/>
      </c>
      <c r="I9" s="17">
        <f>MEDIAN(Raw_Data_MR!G9,Raw_Data_MR!I9,Raw_Data_MR!J9,Raw_Data_MR!K9)</f>
        <v/>
      </c>
      <c r="J9" s="17">
        <f>MEDIAN(Raw_Data_MR!G9,Raw_Data_MR!H9,Raw_Data_MR!J9,Raw_Data_MR!K9)</f>
        <v/>
      </c>
      <c r="K9" s="17">
        <f>MEDIAN(Raw_Data_MR!G9,Raw_Data_MR!H9,Raw_Data_MR!I9,Raw_Data_MR!K9)</f>
        <v/>
      </c>
      <c r="L9" s="17">
        <f>MEDIAN(Raw_Data_MR!G9,Raw_Data_MR!H9,Raw_Data_MR!I9,Raw_Data_MR!J9)</f>
        <v/>
      </c>
      <c r="M9" s="31">
        <f>Raw_Data_MR!C9/MAX(D9,cfg_mr_partner_clip)</f>
        <v/>
      </c>
      <c r="N9" s="31">
        <f>Raw_Data_MR!D9/MAX(E9,cfg_mr_partner_clip)</f>
        <v/>
      </c>
      <c r="O9" s="31">
        <f>Raw_Data_MR!E9/MAX(F9,cfg_mr_partner_clip)</f>
        <v/>
      </c>
      <c r="P9" s="31">
        <f>Raw_Data_MR!F9/MAX(G9,cfg_mr_partner_clip)</f>
        <v/>
      </c>
      <c r="Q9" s="31">
        <f>Raw_Data_MR!G9/MAX(H9,cfg_mr_partner_clip)</f>
        <v/>
      </c>
      <c r="R9" s="31">
        <f>Raw_Data_MR!H9/MAX(I9,cfg_mr_partner_clip)</f>
        <v/>
      </c>
      <c r="S9" s="31">
        <f>Raw_Data_MR!I9/MAX(J9,cfg_mr_partner_clip)</f>
        <v/>
      </c>
      <c r="T9" s="31">
        <f>Raw_Data_MR!J9/MAX(K9,cfg_mr_partner_clip)</f>
        <v/>
      </c>
      <c r="U9" s="31">
        <f>Raw_Data_MR!K9/MAX(L9,cfg_mr_partner_clip)</f>
        <v/>
      </c>
      <c r="V9" s="5">
        <f>IF(AND(M9&lt;cfg_mr_ratio_threshold,$C9=1),1,0)</f>
        <v/>
      </c>
      <c r="W9" s="5">
        <f>IF(AND(N9&lt;cfg_mr_ratio_threshold,$C9=1),1,0)</f>
        <v/>
      </c>
      <c r="X9" s="5">
        <f>IF(AND(O9&lt;cfg_mr_ratio_threshold,$C9=1),1,0)</f>
        <v/>
      </c>
      <c r="Y9" s="5">
        <f>IF(AND(P9&lt;cfg_mr_ratio_threshold,$C9=1),1,0)</f>
        <v/>
      </c>
      <c r="Z9" s="5">
        <f>IF(AND(Q9&lt;cfg_mr_ratio_threshold,$C9=1),1,0)</f>
        <v/>
      </c>
      <c r="AA9" s="5">
        <f>IF(AND(R9&lt;cfg_mr_ratio_threshold,$C9=1),1,0)</f>
        <v/>
      </c>
      <c r="AB9" s="5">
        <f>IF(AND(S9&lt;cfg_mr_ratio_threshold,$C9=1),1,0)</f>
        <v/>
      </c>
      <c r="AC9" s="5">
        <f>IF(AND(T9&lt;cfg_mr_ratio_threshold,$C9=1),1,0)</f>
        <v/>
      </c>
      <c r="AD9" s="5">
        <f>IF(AND(U9&lt;cfg_mr_ratio_threshold,$C9=1),1,0)</f>
        <v/>
      </c>
      <c r="AE9" s="5">
        <f>IF(V9=1,AE8+1,0)</f>
        <v/>
      </c>
      <c r="AF9" s="5">
        <f>IF(W9=1,AF8+1,0)</f>
        <v/>
      </c>
      <c r="AG9" s="5">
        <f>IF(X9=1,AG8+1,0)</f>
        <v/>
      </c>
      <c r="AH9" s="5">
        <f>IF(Y9=1,AH8+1,0)</f>
        <v/>
      </c>
      <c r="AI9" s="5">
        <f>IF(Z9=1,AI8+1,0)</f>
        <v/>
      </c>
      <c r="AJ9" s="5">
        <f>IF(AA9=1,AJ8+1,0)</f>
        <v/>
      </c>
      <c r="AK9" s="5">
        <f>IF(AB9=1,AK8+1,0)</f>
        <v/>
      </c>
      <c r="AL9" s="5">
        <f>IF(AC9=1,AL8+1,0)</f>
        <v/>
      </c>
      <c r="AM9" s="5">
        <f>IF(AD9=1,AM8+1,0)</f>
        <v/>
      </c>
    </row>
    <row r="10">
      <c r="A10" s="40">
        <f>Raw_Data_MR!A10</f>
        <v/>
      </c>
      <c r="B10" s="5">
        <f>Raw_Data_MR!B10</f>
        <v/>
      </c>
      <c r="C10" s="5">
        <f>IF(AND(B10&gt;cfg_mr_poa_threshold_wm2,B10&gt;cfg_mr_poa_floor_wm2),1,0)</f>
        <v/>
      </c>
      <c r="D10" s="17">
        <f>MEDIAN(Raw_Data_MR!D10,Raw_Data_MR!E10,Raw_Data_MR!F10)</f>
        <v/>
      </c>
      <c r="E10" s="17">
        <f>MEDIAN(Raw_Data_MR!C10,Raw_Data_MR!E10,Raw_Data_MR!F10)</f>
        <v/>
      </c>
      <c r="F10" s="17">
        <f>MEDIAN(Raw_Data_MR!C10,Raw_Data_MR!D10,Raw_Data_MR!F10)</f>
        <v/>
      </c>
      <c r="G10" s="17">
        <f>MEDIAN(Raw_Data_MR!C10,Raw_Data_MR!D10,Raw_Data_MR!E10)</f>
        <v/>
      </c>
      <c r="H10" s="17">
        <f>MEDIAN(Raw_Data_MR!H10,Raw_Data_MR!I10,Raw_Data_MR!J10,Raw_Data_MR!K10)</f>
        <v/>
      </c>
      <c r="I10" s="17">
        <f>MEDIAN(Raw_Data_MR!G10,Raw_Data_MR!I10,Raw_Data_MR!J10,Raw_Data_MR!K10)</f>
        <v/>
      </c>
      <c r="J10" s="17">
        <f>MEDIAN(Raw_Data_MR!G10,Raw_Data_MR!H10,Raw_Data_MR!J10,Raw_Data_MR!K10)</f>
        <v/>
      </c>
      <c r="K10" s="17">
        <f>MEDIAN(Raw_Data_MR!G10,Raw_Data_MR!H10,Raw_Data_MR!I10,Raw_Data_MR!K10)</f>
        <v/>
      </c>
      <c r="L10" s="17">
        <f>MEDIAN(Raw_Data_MR!G10,Raw_Data_MR!H10,Raw_Data_MR!I10,Raw_Data_MR!J10)</f>
        <v/>
      </c>
      <c r="M10" s="31">
        <f>Raw_Data_MR!C10/MAX(D10,cfg_mr_partner_clip)</f>
        <v/>
      </c>
      <c r="N10" s="31">
        <f>Raw_Data_MR!D10/MAX(E10,cfg_mr_partner_clip)</f>
        <v/>
      </c>
      <c r="O10" s="31">
        <f>Raw_Data_MR!E10/MAX(F10,cfg_mr_partner_clip)</f>
        <v/>
      </c>
      <c r="P10" s="31">
        <f>Raw_Data_MR!F10/MAX(G10,cfg_mr_partner_clip)</f>
        <v/>
      </c>
      <c r="Q10" s="31">
        <f>Raw_Data_MR!G10/MAX(H10,cfg_mr_partner_clip)</f>
        <v/>
      </c>
      <c r="R10" s="31">
        <f>Raw_Data_MR!H10/MAX(I10,cfg_mr_partner_clip)</f>
        <v/>
      </c>
      <c r="S10" s="31">
        <f>Raw_Data_MR!I10/MAX(J10,cfg_mr_partner_clip)</f>
        <v/>
      </c>
      <c r="T10" s="31">
        <f>Raw_Data_MR!J10/MAX(K10,cfg_mr_partner_clip)</f>
        <v/>
      </c>
      <c r="U10" s="31">
        <f>Raw_Data_MR!K10/MAX(L10,cfg_mr_partner_clip)</f>
        <v/>
      </c>
      <c r="V10" s="5">
        <f>IF(AND(M10&lt;cfg_mr_ratio_threshold,$C10=1),1,0)</f>
        <v/>
      </c>
      <c r="W10" s="5">
        <f>IF(AND(N10&lt;cfg_mr_ratio_threshold,$C10=1),1,0)</f>
        <v/>
      </c>
      <c r="X10" s="5">
        <f>IF(AND(O10&lt;cfg_mr_ratio_threshold,$C10=1),1,0)</f>
        <v/>
      </c>
      <c r="Y10" s="5">
        <f>IF(AND(P10&lt;cfg_mr_ratio_threshold,$C10=1),1,0)</f>
        <v/>
      </c>
      <c r="Z10" s="5">
        <f>IF(AND(Q10&lt;cfg_mr_ratio_threshold,$C10=1),1,0)</f>
        <v/>
      </c>
      <c r="AA10" s="5">
        <f>IF(AND(R10&lt;cfg_mr_ratio_threshold,$C10=1),1,0)</f>
        <v/>
      </c>
      <c r="AB10" s="5">
        <f>IF(AND(S10&lt;cfg_mr_ratio_threshold,$C10=1),1,0)</f>
        <v/>
      </c>
      <c r="AC10" s="5">
        <f>IF(AND(T10&lt;cfg_mr_ratio_threshold,$C10=1),1,0)</f>
        <v/>
      </c>
      <c r="AD10" s="5">
        <f>IF(AND(U10&lt;cfg_mr_ratio_threshold,$C10=1),1,0)</f>
        <v/>
      </c>
      <c r="AE10" s="5">
        <f>IF(V10=1,AE9+1,0)</f>
        <v/>
      </c>
      <c r="AF10" s="5">
        <f>IF(W10=1,AF9+1,0)</f>
        <v/>
      </c>
      <c r="AG10" s="5">
        <f>IF(X10=1,AG9+1,0)</f>
        <v/>
      </c>
      <c r="AH10" s="5">
        <f>IF(Y10=1,AH9+1,0)</f>
        <v/>
      </c>
      <c r="AI10" s="5">
        <f>IF(Z10=1,AI9+1,0)</f>
        <v/>
      </c>
      <c r="AJ10" s="5">
        <f>IF(AA10=1,AJ9+1,0)</f>
        <v/>
      </c>
      <c r="AK10" s="5">
        <f>IF(AB10=1,AK9+1,0)</f>
        <v/>
      </c>
      <c r="AL10" s="5">
        <f>IF(AC10=1,AL9+1,0)</f>
        <v/>
      </c>
      <c r="AM10" s="5">
        <f>IF(AD10=1,AM9+1,0)</f>
        <v/>
      </c>
    </row>
    <row r="11">
      <c r="A11" s="40">
        <f>Raw_Data_MR!A11</f>
        <v/>
      </c>
      <c r="B11" s="5">
        <f>Raw_Data_MR!B11</f>
        <v/>
      </c>
      <c r="C11" s="5">
        <f>IF(AND(B11&gt;cfg_mr_poa_threshold_wm2,B11&gt;cfg_mr_poa_floor_wm2),1,0)</f>
        <v/>
      </c>
      <c r="D11" s="17">
        <f>MEDIAN(Raw_Data_MR!D11,Raw_Data_MR!E11,Raw_Data_MR!F11)</f>
        <v/>
      </c>
      <c r="E11" s="17">
        <f>MEDIAN(Raw_Data_MR!C11,Raw_Data_MR!E11,Raw_Data_MR!F11)</f>
        <v/>
      </c>
      <c r="F11" s="17">
        <f>MEDIAN(Raw_Data_MR!C11,Raw_Data_MR!D11,Raw_Data_MR!F11)</f>
        <v/>
      </c>
      <c r="G11" s="17">
        <f>MEDIAN(Raw_Data_MR!C11,Raw_Data_MR!D11,Raw_Data_MR!E11)</f>
        <v/>
      </c>
      <c r="H11" s="17">
        <f>MEDIAN(Raw_Data_MR!H11,Raw_Data_MR!I11,Raw_Data_MR!J11,Raw_Data_MR!K11)</f>
        <v/>
      </c>
      <c r="I11" s="17">
        <f>MEDIAN(Raw_Data_MR!G11,Raw_Data_MR!I11,Raw_Data_MR!J11,Raw_Data_MR!K11)</f>
        <v/>
      </c>
      <c r="J11" s="17">
        <f>MEDIAN(Raw_Data_MR!G11,Raw_Data_MR!H11,Raw_Data_MR!J11,Raw_Data_MR!K11)</f>
        <v/>
      </c>
      <c r="K11" s="17">
        <f>MEDIAN(Raw_Data_MR!G11,Raw_Data_MR!H11,Raw_Data_MR!I11,Raw_Data_MR!K11)</f>
        <v/>
      </c>
      <c r="L11" s="17">
        <f>MEDIAN(Raw_Data_MR!G11,Raw_Data_MR!H11,Raw_Data_MR!I11,Raw_Data_MR!J11)</f>
        <v/>
      </c>
      <c r="M11" s="31">
        <f>Raw_Data_MR!C11/MAX(D11,cfg_mr_partner_clip)</f>
        <v/>
      </c>
      <c r="N11" s="31">
        <f>Raw_Data_MR!D11/MAX(E11,cfg_mr_partner_clip)</f>
        <v/>
      </c>
      <c r="O11" s="31">
        <f>Raw_Data_MR!E11/MAX(F11,cfg_mr_partner_clip)</f>
        <v/>
      </c>
      <c r="P11" s="31">
        <f>Raw_Data_MR!F11/MAX(G11,cfg_mr_partner_clip)</f>
        <v/>
      </c>
      <c r="Q11" s="31">
        <f>Raw_Data_MR!G11/MAX(H11,cfg_mr_partner_clip)</f>
        <v/>
      </c>
      <c r="R11" s="31">
        <f>Raw_Data_MR!H11/MAX(I11,cfg_mr_partner_clip)</f>
        <v/>
      </c>
      <c r="S11" s="31">
        <f>Raw_Data_MR!I11/MAX(J11,cfg_mr_partner_clip)</f>
        <v/>
      </c>
      <c r="T11" s="31">
        <f>Raw_Data_MR!J11/MAX(K11,cfg_mr_partner_clip)</f>
        <v/>
      </c>
      <c r="U11" s="31">
        <f>Raw_Data_MR!K11/MAX(L11,cfg_mr_partner_clip)</f>
        <v/>
      </c>
      <c r="V11" s="5">
        <f>IF(AND(M11&lt;cfg_mr_ratio_threshold,$C11=1),1,0)</f>
        <v/>
      </c>
      <c r="W11" s="5">
        <f>IF(AND(N11&lt;cfg_mr_ratio_threshold,$C11=1),1,0)</f>
        <v/>
      </c>
      <c r="X11" s="5">
        <f>IF(AND(O11&lt;cfg_mr_ratio_threshold,$C11=1),1,0)</f>
        <v/>
      </c>
      <c r="Y11" s="5">
        <f>IF(AND(P11&lt;cfg_mr_ratio_threshold,$C11=1),1,0)</f>
        <v/>
      </c>
      <c r="Z11" s="5">
        <f>IF(AND(Q11&lt;cfg_mr_ratio_threshold,$C11=1),1,0)</f>
        <v/>
      </c>
      <c r="AA11" s="5">
        <f>IF(AND(R11&lt;cfg_mr_ratio_threshold,$C11=1),1,0)</f>
        <v/>
      </c>
      <c r="AB11" s="5">
        <f>IF(AND(S11&lt;cfg_mr_ratio_threshold,$C11=1),1,0)</f>
        <v/>
      </c>
      <c r="AC11" s="5">
        <f>IF(AND(T11&lt;cfg_mr_ratio_threshold,$C11=1),1,0)</f>
        <v/>
      </c>
      <c r="AD11" s="5">
        <f>IF(AND(U11&lt;cfg_mr_ratio_threshold,$C11=1),1,0)</f>
        <v/>
      </c>
      <c r="AE11" s="5">
        <f>IF(V11=1,AE10+1,0)</f>
        <v/>
      </c>
      <c r="AF11" s="5">
        <f>IF(W11=1,AF10+1,0)</f>
        <v/>
      </c>
      <c r="AG11" s="5">
        <f>IF(X11=1,AG10+1,0)</f>
        <v/>
      </c>
      <c r="AH11" s="5">
        <f>IF(Y11=1,AH10+1,0)</f>
        <v/>
      </c>
      <c r="AI11" s="5">
        <f>IF(Z11=1,AI10+1,0)</f>
        <v/>
      </c>
      <c r="AJ11" s="5">
        <f>IF(AA11=1,AJ10+1,0)</f>
        <v/>
      </c>
      <c r="AK11" s="5">
        <f>IF(AB11=1,AK10+1,0)</f>
        <v/>
      </c>
      <c r="AL11" s="5">
        <f>IF(AC11=1,AL10+1,0)</f>
        <v/>
      </c>
      <c r="AM11" s="5">
        <f>IF(AD11=1,AM10+1,0)</f>
        <v/>
      </c>
    </row>
    <row r="12">
      <c r="A12" s="40">
        <f>Raw_Data_MR!A12</f>
        <v/>
      </c>
      <c r="B12" s="5">
        <f>Raw_Data_MR!B12</f>
        <v/>
      </c>
      <c r="C12" s="5">
        <f>IF(AND(B12&gt;cfg_mr_poa_threshold_wm2,B12&gt;cfg_mr_poa_floor_wm2),1,0)</f>
        <v/>
      </c>
      <c r="D12" s="17">
        <f>MEDIAN(Raw_Data_MR!D12,Raw_Data_MR!E12,Raw_Data_MR!F12)</f>
        <v/>
      </c>
      <c r="E12" s="17">
        <f>MEDIAN(Raw_Data_MR!C12,Raw_Data_MR!E12,Raw_Data_MR!F12)</f>
        <v/>
      </c>
      <c r="F12" s="17">
        <f>MEDIAN(Raw_Data_MR!C12,Raw_Data_MR!D12,Raw_Data_MR!F12)</f>
        <v/>
      </c>
      <c r="G12" s="17">
        <f>MEDIAN(Raw_Data_MR!C12,Raw_Data_MR!D12,Raw_Data_MR!E12)</f>
        <v/>
      </c>
      <c r="H12" s="17">
        <f>MEDIAN(Raw_Data_MR!H12,Raw_Data_MR!I12,Raw_Data_MR!J12,Raw_Data_MR!K12)</f>
        <v/>
      </c>
      <c r="I12" s="17">
        <f>MEDIAN(Raw_Data_MR!G12,Raw_Data_MR!I12,Raw_Data_MR!J12,Raw_Data_MR!K12)</f>
        <v/>
      </c>
      <c r="J12" s="17">
        <f>MEDIAN(Raw_Data_MR!G12,Raw_Data_MR!H12,Raw_Data_MR!J12,Raw_Data_MR!K12)</f>
        <v/>
      </c>
      <c r="K12" s="17">
        <f>MEDIAN(Raw_Data_MR!G12,Raw_Data_MR!H12,Raw_Data_MR!I12,Raw_Data_MR!K12)</f>
        <v/>
      </c>
      <c r="L12" s="17">
        <f>MEDIAN(Raw_Data_MR!G12,Raw_Data_MR!H12,Raw_Data_MR!I12,Raw_Data_MR!J12)</f>
        <v/>
      </c>
      <c r="M12" s="31">
        <f>Raw_Data_MR!C12/MAX(D12,cfg_mr_partner_clip)</f>
        <v/>
      </c>
      <c r="N12" s="31">
        <f>Raw_Data_MR!D12/MAX(E12,cfg_mr_partner_clip)</f>
        <v/>
      </c>
      <c r="O12" s="31">
        <f>Raw_Data_MR!E12/MAX(F12,cfg_mr_partner_clip)</f>
        <v/>
      </c>
      <c r="P12" s="31">
        <f>Raw_Data_MR!F12/MAX(G12,cfg_mr_partner_clip)</f>
        <v/>
      </c>
      <c r="Q12" s="31">
        <f>Raw_Data_MR!G12/MAX(H12,cfg_mr_partner_clip)</f>
        <v/>
      </c>
      <c r="R12" s="31">
        <f>Raw_Data_MR!H12/MAX(I12,cfg_mr_partner_clip)</f>
        <v/>
      </c>
      <c r="S12" s="31">
        <f>Raw_Data_MR!I12/MAX(J12,cfg_mr_partner_clip)</f>
        <v/>
      </c>
      <c r="T12" s="31">
        <f>Raw_Data_MR!J12/MAX(K12,cfg_mr_partner_clip)</f>
        <v/>
      </c>
      <c r="U12" s="31">
        <f>Raw_Data_MR!K12/MAX(L12,cfg_mr_partner_clip)</f>
        <v/>
      </c>
      <c r="V12" s="5">
        <f>IF(AND(M12&lt;cfg_mr_ratio_threshold,$C12=1),1,0)</f>
        <v/>
      </c>
      <c r="W12" s="5">
        <f>IF(AND(N12&lt;cfg_mr_ratio_threshold,$C12=1),1,0)</f>
        <v/>
      </c>
      <c r="X12" s="5">
        <f>IF(AND(O12&lt;cfg_mr_ratio_threshold,$C12=1),1,0)</f>
        <v/>
      </c>
      <c r="Y12" s="5">
        <f>IF(AND(P12&lt;cfg_mr_ratio_threshold,$C12=1),1,0)</f>
        <v/>
      </c>
      <c r="Z12" s="5">
        <f>IF(AND(Q12&lt;cfg_mr_ratio_threshold,$C12=1),1,0)</f>
        <v/>
      </c>
      <c r="AA12" s="5">
        <f>IF(AND(R12&lt;cfg_mr_ratio_threshold,$C12=1),1,0)</f>
        <v/>
      </c>
      <c r="AB12" s="5">
        <f>IF(AND(S12&lt;cfg_mr_ratio_threshold,$C12=1),1,0)</f>
        <v/>
      </c>
      <c r="AC12" s="5">
        <f>IF(AND(T12&lt;cfg_mr_ratio_threshold,$C12=1),1,0)</f>
        <v/>
      </c>
      <c r="AD12" s="5">
        <f>IF(AND(U12&lt;cfg_mr_ratio_threshold,$C12=1),1,0)</f>
        <v/>
      </c>
      <c r="AE12" s="5">
        <f>IF(V12=1,AE11+1,0)</f>
        <v/>
      </c>
      <c r="AF12" s="5">
        <f>IF(W12=1,AF11+1,0)</f>
        <v/>
      </c>
      <c r="AG12" s="5">
        <f>IF(X12=1,AG11+1,0)</f>
        <v/>
      </c>
      <c r="AH12" s="5">
        <f>IF(Y12=1,AH11+1,0)</f>
        <v/>
      </c>
      <c r="AI12" s="5">
        <f>IF(Z12=1,AI11+1,0)</f>
        <v/>
      </c>
      <c r="AJ12" s="5">
        <f>IF(AA12=1,AJ11+1,0)</f>
        <v/>
      </c>
      <c r="AK12" s="5">
        <f>IF(AB12=1,AK11+1,0)</f>
        <v/>
      </c>
      <c r="AL12" s="5">
        <f>IF(AC12=1,AL11+1,0)</f>
        <v/>
      </c>
      <c r="AM12" s="5">
        <f>IF(AD12=1,AM11+1,0)</f>
        <v/>
      </c>
    </row>
    <row r="13">
      <c r="A13" s="40">
        <f>Raw_Data_MR!A13</f>
        <v/>
      </c>
      <c r="B13" s="5">
        <f>Raw_Data_MR!B13</f>
        <v/>
      </c>
      <c r="C13" s="5">
        <f>IF(AND(B13&gt;cfg_mr_poa_threshold_wm2,B13&gt;cfg_mr_poa_floor_wm2),1,0)</f>
        <v/>
      </c>
      <c r="D13" s="17">
        <f>MEDIAN(Raw_Data_MR!D13,Raw_Data_MR!E13,Raw_Data_MR!F13)</f>
        <v/>
      </c>
      <c r="E13" s="17">
        <f>MEDIAN(Raw_Data_MR!C13,Raw_Data_MR!E13,Raw_Data_MR!F13)</f>
        <v/>
      </c>
      <c r="F13" s="17">
        <f>MEDIAN(Raw_Data_MR!C13,Raw_Data_MR!D13,Raw_Data_MR!F13)</f>
        <v/>
      </c>
      <c r="G13" s="17">
        <f>MEDIAN(Raw_Data_MR!C13,Raw_Data_MR!D13,Raw_Data_MR!E13)</f>
        <v/>
      </c>
      <c r="H13" s="17">
        <f>MEDIAN(Raw_Data_MR!H13,Raw_Data_MR!I13,Raw_Data_MR!J13,Raw_Data_MR!K13)</f>
        <v/>
      </c>
      <c r="I13" s="17">
        <f>MEDIAN(Raw_Data_MR!G13,Raw_Data_MR!I13,Raw_Data_MR!J13,Raw_Data_MR!K13)</f>
        <v/>
      </c>
      <c r="J13" s="17">
        <f>MEDIAN(Raw_Data_MR!G13,Raw_Data_MR!H13,Raw_Data_MR!J13,Raw_Data_MR!K13)</f>
        <v/>
      </c>
      <c r="K13" s="17">
        <f>MEDIAN(Raw_Data_MR!G13,Raw_Data_MR!H13,Raw_Data_MR!I13,Raw_Data_MR!K13)</f>
        <v/>
      </c>
      <c r="L13" s="17">
        <f>MEDIAN(Raw_Data_MR!G13,Raw_Data_MR!H13,Raw_Data_MR!I13,Raw_Data_MR!J13)</f>
        <v/>
      </c>
      <c r="M13" s="31">
        <f>Raw_Data_MR!C13/MAX(D13,cfg_mr_partner_clip)</f>
        <v/>
      </c>
      <c r="N13" s="31">
        <f>Raw_Data_MR!D13/MAX(E13,cfg_mr_partner_clip)</f>
        <v/>
      </c>
      <c r="O13" s="31">
        <f>Raw_Data_MR!E13/MAX(F13,cfg_mr_partner_clip)</f>
        <v/>
      </c>
      <c r="P13" s="31">
        <f>Raw_Data_MR!F13/MAX(G13,cfg_mr_partner_clip)</f>
        <v/>
      </c>
      <c r="Q13" s="31">
        <f>Raw_Data_MR!G13/MAX(H13,cfg_mr_partner_clip)</f>
        <v/>
      </c>
      <c r="R13" s="31">
        <f>Raw_Data_MR!H13/MAX(I13,cfg_mr_partner_clip)</f>
        <v/>
      </c>
      <c r="S13" s="31">
        <f>Raw_Data_MR!I13/MAX(J13,cfg_mr_partner_clip)</f>
        <v/>
      </c>
      <c r="T13" s="31">
        <f>Raw_Data_MR!J13/MAX(K13,cfg_mr_partner_clip)</f>
        <v/>
      </c>
      <c r="U13" s="31">
        <f>Raw_Data_MR!K13/MAX(L13,cfg_mr_partner_clip)</f>
        <v/>
      </c>
      <c r="V13" s="5">
        <f>IF(AND(M13&lt;cfg_mr_ratio_threshold,$C13=1),1,0)</f>
        <v/>
      </c>
      <c r="W13" s="5">
        <f>IF(AND(N13&lt;cfg_mr_ratio_threshold,$C13=1),1,0)</f>
        <v/>
      </c>
      <c r="X13" s="5">
        <f>IF(AND(O13&lt;cfg_mr_ratio_threshold,$C13=1),1,0)</f>
        <v/>
      </c>
      <c r="Y13" s="5">
        <f>IF(AND(P13&lt;cfg_mr_ratio_threshold,$C13=1),1,0)</f>
        <v/>
      </c>
      <c r="Z13" s="5">
        <f>IF(AND(Q13&lt;cfg_mr_ratio_threshold,$C13=1),1,0)</f>
        <v/>
      </c>
      <c r="AA13" s="5">
        <f>IF(AND(R13&lt;cfg_mr_ratio_threshold,$C13=1),1,0)</f>
        <v/>
      </c>
      <c r="AB13" s="5">
        <f>IF(AND(S13&lt;cfg_mr_ratio_threshold,$C13=1),1,0)</f>
        <v/>
      </c>
      <c r="AC13" s="5">
        <f>IF(AND(T13&lt;cfg_mr_ratio_threshold,$C13=1),1,0)</f>
        <v/>
      </c>
      <c r="AD13" s="5">
        <f>IF(AND(U13&lt;cfg_mr_ratio_threshold,$C13=1),1,0)</f>
        <v/>
      </c>
      <c r="AE13" s="5">
        <f>IF(V13=1,AE12+1,0)</f>
        <v/>
      </c>
      <c r="AF13" s="5">
        <f>IF(W13=1,AF12+1,0)</f>
        <v/>
      </c>
      <c r="AG13" s="5">
        <f>IF(X13=1,AG12+1,0)</f>
        <v/>
      </c>
      <c r="AH13" s="5">
        <f>IF(Y13=1,AH12+1,0)</f>
        <v/>
      </c>
      <c r="AI13" s="5">
        <f>IF(Z13=1,AI12+1,0)</f>
        <v/>
      </c>
      <c r="AJ13" s="5">
        <f>IF(AA13=1,AJ12+1,0)</f>
        <v/>
      </c>
      <c r="AK13" s="5">
        <f>IF(AB13=1,AK12+1,0)</f>
        <v/>
      </c>
      <c r="AL13" s="5">
        <f>IF(AC13=1,AL12+1,0)</f>
        <v/>
      </c>
      <c r="AM13" s="5">
        <f>IF(AD13=1,AM12+1,0)</f>
        <v/>
      </c>
    </row>
    <row r="14">
      <c r="A14" s="40">
        <f>Raw_Data_MR!A14</f>
        <v/>
      </c>
      <c r="B14" s="5">
        <f>Raw_Data_MR!B14</f>
        <v/>
      </c>
      <c r="C14" s="5">
        <f>IF(AND(B14&gt;cfg_mr_poa_threshold_wm2,B14&gt;cfg_mr_poa_floor_wm2),1,0)</f>
        <v/>
      </c>
      <c r="D14" s="17">
        <f>MEDIAN(Raw_Data_MR!D14,Raw_Data_MR!E14,Raw_Data_MR!F14)</f>
        <v/>
      </c>
      <c r="E14" s="17">
        <f>MEDIAN(Raw_Data_MR!C14,Raw_Data_MR!E14,Raw_Data_MR!F14)</f>
        <v/>
      </c>
      <c r="F14" s="17">
        <f>MEDIAN(Raw_Data_MR!C14,Raw_Data_MR!D14,Raw_Data_MR!F14)</f>
        <v/>
      </c>
      <c r="G14" s="17">
        <f>MEDIAN(Raw_Data_MR!C14,Raw_Data_MR!D14,Raw_Data_MR!E14)</f>
        <v/>
      </c>
      <c r="H14" s="17">
        <f>MEDIAN(Raw_Data_MR!H14,Raw_Data_MR!I14,Raw_Data_MR!J14,Raw_Data_MR!K14)</f>
        <v/>
      </c>
      <c r="I14" s="17">
        <f>MEDIAN(Raw_Data_MR!G14,Raw_Data_MR!I14,Raw_Data_MR!J14,Raw_Data_MR!K14)</f>
        <v/>
      </c>
      <c r="J14" s="17">
        <f>MEDIAN(Raw_Data_MR!G14,Raw_Data_MR!H14,Raw_Data_MR!J14,Raw_Data_MR!K14)</f>
        <v/>
      </c>
      <c r="K14" s="17">
        <f>MEDIAN(Raw_Data_MR!G14,Raw_Data_MR!H14,Raw_Data_MR!I14,Raw_Data_MR!K14)</f>
        <v/>
      </c>
      <c r="L14" s="17">
        <f>MEDIAN(Raw_Data_MR!G14,Raw_Data_MR!H14,Raw_Data_MR!I14,Raw_Data_MR!J14)</f>
        <v/>
      </c>
      <c r="M14" s="31">
        <f>Raw_Data_MR!C14/MAX(D14,cfg_mr_partner_clip)</f>
        <v/>
      </c>
      <c r="N14" s="31">
        <f>Raw_Data_MR!D14/MAX(E14,cfg_mr_partner_clip)</f>
        <v/>
      </c>
      <c r="O14" s="31">
        <f>Raw_Data_MR!E14/MAX(F14,cfg_mr_partner_clip)</f>
        <v/>
      </c>
      <c r="P14" s="31">
        <f>Raw_Data_MR!F14/MAX(G14,cfg_mr_partner_clip)</f>
        <v/>
      </c>
      <c r="Q14" s="31">
        <f>Raw_Data_MR!G14/MAX(H14,cfg_mr_partner_clip)</f>
        <v/>
      </c>
      <c r="R14" s="31">
        <f>Raw_Data_MR!H14/MAX(I14,cfg_mr_partner_clip)</f>
        <v/>
      </c>
      <c r="S14" s="31">
        <f>Raw_Data_MR!I14/MAX(J14,cfg_mr_partner_clip)</f>
        <v/>
      </c>
      <c r="T14" s="31">
        <f>Raw_Data_MR!J14/MAX(K14,cfg_mr_partner_clip)</f>
        <v/>
      </c>
      <c r="U14" s="31">
        <f>Raw_Data_MR!K14/MAX(L14,cfg_mr_partner_clip)</f>
        <v/>
      </c>
      <c r="V14" s="5">
        <f>IF(AND(M14&lt;cfg_mr_ratio_threshold,$C14=1),1,0)</f>
        <v/>
      </c>
      <c r="W14" s="5">
        <f>IF(AND(N14&lt;cfg_mr_ratio_threshold,$C14=1),1,0)</f>
        <v/>
      </c>
      <c r="X14" s="5">
        <f>IF(AND(O14&lt;cfg_mr_ratio_threshold,$C14=1),1,0)</f>
        <v/>
      </c>
      <c r="Y14" s="5">
        <f>IF(AND(P14&lt;cfg_mr_ratio_threshold,$C14=1),1,0)</f>
        <v/>
      </c>
      <c r="Z14" s="5">
        <f>IF(AND(Q14&lt;cfg_mr_ratio_threshold,$C14=1),1,0)</f>
        <v/>
      </c>
      <c r="AA14" s="5">
        <f>IF(AND(R14&lt;cfg_mr_ratio_threshold,$C14=1),1,0)</f>
        <v/>
      </c>
      <c r="AB14" s="5">
        <f>IF(AND(S14&lt;cfg_mr_ratio_threshold,$C14=1),1,0)</f>
        <v/>
      </c>
      <c r="AC14" s="5">
        <f>IF(AND(T14&lt;cfg_mr_ratio_threshold,$C14=1),1,0)</f>
        <v/>
      </c>
      <c r="AD14" s="5">
        <f>IF(AND(U14&lt;cfg_mr_ratio_threshold,$C14=1),1,0)</f>
        <v/>
      </c>
      <c r="AE14" s="5">
        <f>IF(V14=1,AE13+1,0)</f>
        <v/>
      </c>
      <c r="AF14" s="5">
        <f>IF(W14=1,AF13+1,0)</f>
        <v/>
      </c>
      <c r="AG14" s="5">
        <f>IF(X14=1,AG13+1,0)</f>
        <v/>
      </c>
      <c r="AH14" s="5">
        <f>IF(Y14=1,AH13+1,0)</f>
        <v/>
      </c>
      <c r="AI14" s="5">
        <f>IF(Z14=1,AI13+1,0)</f>
        <v/>
      </c>
      <c r="AJ14" s="5">
        <f>IF(AA14=1,AJ13+1,0)</f>
        <v/>
      </c>
      <c r="AK14" s="5">
        <f>IF(AB14=1,AK13+1,0)</f>
        <v/>
      </c>
      <c r="AL14" s="5">
        <f>IF(AC14=1,AL13+1,0)</f>
        <v/>
      </c>
      <c r="AM14" s="5">
        <f>IF(AD14=1,AM13+1,0)</f>
        <v/>
      </c>
    </row>
    <row r="15">
      <c r="A15" s="40">
        <f>Raw_Data_MR!A15</f>
        <v/>
      </c>
      <c r="B15" s="5">
        <f>Raw_Data_MR!B15</f>
        <v/>
      </c>
      <c r="C15" s="5">
        <f>IF(AND(B15&gt;cfg_mr_poa_threshold_wm2,B15&gt;cfg_mr_poa_floor_wm2),1,0)</f>
        <v/>
      </c>
      <c r="D15" s="17">
        <f>MEDIAN(Raw_Data_MR!D15,Raw_Data_MR!E15,Raw_Data_MR!F15)</f>
        <v/>
      </c>
      <c r="E15" s="17">
        <f>MEDIAN(Raw_Data_MR!C15,Raw_Data_MR!E15,Raw_Data_MR!F15)</f>
        <v/>
      </c>
      <c r="F15" s="17">
        <f>MEDIAN(Raw_Data_MR!C15,Raw_Data_MR!D15,Raw_Data_MR!F15)</f>
        <v/>
      </c>
      <c r="G15" s="17">
        <f>MEDIAN(Raw_Data_MR!C15,Raw_Data_MR!D15,Raw_Data_MR!E15)</f>
        <v/>
      </c>
      <c r="H15" s="17">
        <f>MEDIAN(Raw_Data_MR!H15,Raw_Data_MR!I15,Raw_Data_MR!J15,Raw_Data_MR!K15)</f>
        <v/>
      </c>
      <c r="I15" s="17">
        <f>MEDIAN(Raw_Data_MR!G15,Raw_Data_MR!I15,Raw_Data_MR!J15,Raw_Data_MR!K15)</f>
        <v/>
      </c>
      <c r="J15" s="17">
        <f>MEDIAN(Raw_Data_MR!G15,Raw_Data_MR!H15,Raw_Data_MR!J15,Raw_Data_MR!K15)</f>
        <v/>
      </c>
      <c r="K15" s="17">
        <f>MEDIAN(Raw_Data_MR!G15,Raw_Data_MR!H15,Raw_Data_MR!I15,Raw_Data_MR!K15)</f>
        <v/>
      </c>
      <c r="L15" s="17">
        <f>MEDIAN(Raw_Data_MR!G15,Raw_Data_MR!H15,Raw_Data_MR!I15,Raw_Data_MR!J15)</f>
        <v/>
      </c>
      <c r="M15" s="31">
        <f>Raw_Data_MR!C15/MAX(D15,cfg_mr_partner_clip)</f>
        <v/>
      </c>
      <c r="N15" s="31">
        <f>Raw_Data_MR!D15/MAX(E15,cfg_mr_partner_clip)</f>
        <v/>
      </c>
      <c r="O15" s="31">
        <f>Raw_Data_MR!E15/MAX(F15,cfg_mr_partner_clip)</f>
        <v/>
      </c>
      <c r="P15" s="31">
        <f>Raw_Data_MR!F15/MAX(G15,cfg_mr_partner_clip)</f>
        <v/>
      </c>
      <c r="Q15" s="31">
        <f>Raw_Data_MR!G15/MAX(H15,cfg_mr_partner_clip)</f>
        <v/>
      </c>
      <c r="R15" s="31">
        <f>Raw_Data_MR!H15/MAX(I15,cfg_mr_partner_clip)</f>
        <v/>
      </c>
      <c r="S15" s="31">
        <f>Raw_Data_MR!I15/MAX(J15,cfg_mr_partner_clip)</f>
        <v/>
      </c>
      <c r="T15" s="31">
        <f>Raw_Data_MR!J15/MAX(K15,cfg_mr_partner_clip)</f>
        <v/>
      </c>
      <c r="U15" s="31">
        <f>Raw_Data_MR!K15/MAX(L15,cfg_mr_partner_clip)</f>
        <v/>
      </c>
      <c r="V15" s="5">
        <f>IF(AND(M15&lt;cfg_mr_ratio_threshold,$C15=1),1,0)</f>
        <v/>
      </c>
      <c r="W15" s="5">
        <f>IF(AND(N15&lt;cfg_mr_ratio_threshold,$C15=1),1,0)</f>
        <v/>
      </c>
      <c r="X15" s="5">
        <f>IF(AND(O15&lt;cfg_mr_ratio_threshold,$C15=1),1,0)</f>
        <v/>
      </c>
      <c r="Y15" s="5">
        <f>IF(AND(P15&lt;cfg_mr_ratio_threshold,$C15=1),1,0)</f>
        <v/>
      </c>
      <c r="Z15" s="5">
        <f>IF(AND(Q15&lt;cfg_mr_ratio_threshold,$C15=1),1,0)</f>
        <v/>
      </c>
      <c r="AA15" s="5">
        <f>IF(AND(R15&lt;cfg_mr_ratio_threshold,$C15=1),1,0)</f>
        <v/>
      </c>
      <c r="AB15" s="5">
        <f>IF(AND(S15&lt;cfg_mr_ratio_threshold,$C15=1),1,0)</f>
        <v/>
      </c>
      <c r="AC15" s="5">
        <f>IF(AND(T15&lt;cfg_mr_ratio_threshold,$C15=1),1,0)</f>
        <v/>
      </c>
      <c r="AD15" s="5">
        <f>IF(AND(U15&lt;cfg_mr_ratio_threshold,$C15=1),1,0)</f>
        <v/>
      </c>
      <c r="AE15" s="5">
        <f>IF(V15=1,AE14+1,0)</f>
        <v/>
      </c>
      <c r="AF15" s="5">
        <f>IF(W15=1,AF14+1,0)</f>
        <v/>
      </c>
      <c r="AG15" s="5">
        <f>IF(X15=1,AG14+1,0)</f>
        <v/>
      </c>
      <c r="AH15" s="5">
        <f>IF(Y15=1,AH14+1,0)</f>
        <v/>
      </c>
      <c r="AI15" s="5">
        <f>IF(Z15=1,AI14+1,0)</f>
        <v/>
      </c>
      <c r="AJ15" s="5">
        <f>IF(AA15=1,AJ14+1,0)</f>
        <v/>
      </c>
      <c r="AK15" s="5">
        <f>IF(AB15=1,AK14+1,0)</f>
        <v/>
      </c>
      <c r="AL15" s="5">
        <f>IF(AC15=1,AL14+1,0)</f>
        <v/>
      </c>
      <c r="AM15" s="5">
        <f>IF(AD15=1,AM14+1,0)</f>
        <v/>
      </c>
    </row>
    <row r="16">
      <c r="A16" s="40">
        <f>Raw_Data_MR!A16</f>
        <v/>
      </c>
      <c r="B16" s="5">
        <f>Raw_Data_MR!B16</f>
        <v/>
      </c>
      <c r="C16" s="5">
        <f>IF(AND(B16&gt;cfg_mr_poa_threshold_wm2,B16&gt;cfg_mr_poa_floor_wm2),1,0)</f>
        <v/>
      </c>
      <c r="D16" s="17">
        <f>MEDIAN(Raw_Data_MR!D16,Raw_Data_MR!E16,Raw_Data_MR!F16)</f>
        <v/>
      </c>
      <c r="E16" s="17">
        <f>MEDIAN(Raw_Data_MR!C16,Raw_Data_MR!E16,Raw_Data_MR!F16)</f>
        <v/>
      </c>
      <c r="F16" s="17">
        <f>MEDIAN(Raw_Data_MR!C16,Raw_Data_MR!D16,Raw_Data_MR!F16)</f>
        <v/>
      </c>
      <c r="G16" s="17">
        <f>MEDIAN(Raw_Data_MR!C16,Raw_Data_MR!D16,Raw_Data_MR!E16)</f>
        <v/>
      </c>
      <c r="H16" s="17">
        <f>MEDIAN(Raw_Data_MR!H16,Raw_Data_MR!I16,Raw_Data_MR!J16,Raw_Data_MR!K16)</f>
        <v/>
      </c>
      <c r="I16" s="17">
        <f>MEDIAN(Raw_Data_MR!G16,Raw_Data_MR!I16,Raw_Data_MR!J16,Raw_Data_MR!K16)</f>
        <v/>
      </c>
      <c r="J16" s="17">
        <f>MEDIAN(Raw_Data_MR!G16,Raw_Data_MR!H16,Raw_Data_MR!J16,Raw_Data_MR!K16)</f>
        <v/>
      </c>
      <c r="K16" s="17">
        <f>MEDIAN(Raw_Data_MR!G16,Raw_Data_MR!H16,Raw_Data_MR!I16,Raw_Data_MR!K16)</f>
        <v/>
      </c>
      <c r="L16" s="17">
        <f>MEDIAN(Raw_Data_MR!G16,Raw_Data_MR!H16,Raw_Data_MR!I16,Raw_Data_MR!J16)</f>
        <v/>
      </c>
      <c r="M16" s="31">
        <f>Raw_Data_MR!C16/MAX(D16,cfg_mr_partner_clip)</f>
        <v/>
      </c>
      <c r="N16" s="31">
        <f>Raw_Data_MR!D16/MAX(E16,cfg_mr_partner_clip)</f>
        <v/>
      </c>
      <c r="O16" s="31">
        <f>Raw_Data_MR!E16/MAX(F16,cfg_mr_partner_clip)</f>
        <v/>
      </c>
      <c r="P16" s="31">
        <f>Raw_Data_MR!F16/MAX(G16,cfg_mr_partner_clip)</f>
        <v/>
      </c>
      <c r="Q16" s="31">
        <f>Raw_Data_MR!G16/MAX(H16,cfg_mr_partner_clip)</f>
        <v/>
      </c>
      <c r="R16" s="31">
        <f>Raw_Data_MR!H16/MAX(I16,cfg_mr_partner_clip)</f>
        <v/>
      </c>
      <c r="S16" s="31">
        <f>Raw_Data_MR!I16/MAX(J16,cfg_mr_partner_clip)</f>
        <v/>
      </c>
      <c r="T16" s="31">
        <f>Raw_Data_MR!J16/MAX(K16,cfg_mr_partner_clip)</f>
        <v/>
      </c>
      <c r="U16" s="31">
        <f>Raw_Data_MR!K16/MAX(L16,cfg_mr_partner_clip)</f>
        <v/>
      </c>
      <c r="V16" s="5">
        <f>IF(AND(M16&lt;cfg_mr_ratio_threshold,$C16=1),1,0)</f>
        <v/>
      </c>
      <c r="W16" s="5">
        <f>IF(AND(N16&lt;cfg_mr_ratio_threshold,$C16=1),1,0)</f>
        <v/>
      </c>
      <c r="X16" s="5">
        <f>IF(AND(O16&lt;cfg_mr_ratio_threshold,$C16=1),1,0)</f>
        <v/>
      </c>
      <c r="Y16" s="5">
        <f>IF(AND(P16&lt;cfg_mr_ratio_threshold,$C16=1),1,0)</f>
        <v/>
      </c>
      <c r="Z16" s="5">
        <f>IF(AND(Q16&lt;cfg_mr_ratio_threshold,$C16=1),1,0)</f>
        <v/>
      </c>
      <c r="AA16" s="5">
        <f>IF(AND(R16&lt;cfg_mr_ratio_threshold,$C16=1),1,0)</f>
        <v/>
      </c>
      <c r="AB16" s="5">
        <f>IF(AND(S16&lt;cfg_mr_ratio_threshold,$C16=1),1,0)</f>
        <v/>
      </c>
      <c r="AC16" s="5">
        <f>IF(AND(T16&lt;cfg_mr_ratio_threshold,$C16=1),1,0)</f>
        <v/>
      </c>
      <c r="AD16" s="5">
        <f>IF(AND(U16&lt;cfg_mr_ratio_threshold,$C16=1),1,0)</f>
        <v/>
      </c>
      <c r="AE16" s="5">
        <f>IF(V16=1,AE15+1,0)</f>
        <v/>
      </c>
      <c r="AF16" s="5">
        <f>IF(W16=1,AF15+1,0)</f>
        <v/>
      </c>
      <c r="AG16" s="5">
        <f>IF(X16=1,AG15+1,0)</f>
        <v/>
      </c>
      <c r="AH16" s="5">
        <f>IF(Y16=1,AH15+1,0)</f>
        <v/>
      </c>
      <c r="AI16" s="5">
        <f>IF(Z16=1,AI15+1,0)</f>
        <v/>
      </c>
      <c r="AJ16" s="5">
        <f>IF(AA16=1,AJ15+1,0)</f>
        <v/>
      </c>
      <c r="AK16" s="5">
        <f>IF(AB16=1,AK15+1,0)</f>
        <v/>
      </c>
      <c r="AL16" s="5">
        <f>IF(AC16=1,AL15+1,0)</f>
        <v/>
      </c>
      <c r="AM16" s="5">
        <f>IF(AD16=1,AM15+1,0)</f>
        <v/>
      </c>
    </row>
    <row r="17">
      <c r="A17" s="40">
        <f>Raw_Data_MR!A17</f>
        <v/>
      </c>
      <c r="B17" s="5">
        <f>Raw_Data_MR!B17</f>
        <v/>
      </c>
      <c r="C17" s="5">
        <f>IF(AND(B17&gt;cfg_mr_poa_threshold_wm2,B17&gt;cfg_mr_poa_floor_wm2),1,0)</f>
        <v/>
      </c>
      <c r="D17" s="17">
        <f>MEDIAN(Raw_Data_MR!D17,Raw_Data_MR!E17,Raw_Data_MR!F17)</f>
        <v/>
      </c>
      <c r="E17" s="17">
        <f>MEDIAN(Raw_Data_MR!C17,Raw_Data_MR!E17,Raw_Data_MR!F17)</f>
        <v/>
      </c>
      <c r="F17" s="17">
        <f>MEDIAN(Raw_Data_MR!C17,Raw_Data_MR!D17,Raw_Data_MR!F17)</f>
        <v/>
      </c>
      <c r="G17" s="17">
        <f>MEDIAN(Raw_Data_MR!C17,Raw_Data_MR!D17,Raw_Data_MR!E17)</f>
        <v/>
      </c>
      <c r="H17" s="17">
        <f>MEDIAN(Raw_Data_MR!H17,Raw_Data_MR!I17,Raw_Data_MR!J17,Raw_Data_MR!K17)</f>
        <v/>
      </c>
      <c r="I17" s="17">
        <f>MEDIAN(Raw_Data_MR!G17,Raw_Data_MR!I17,Raw_Data_MR!J17,Raw_Data_MR!K17)</f>
        <v/>
      </c>
      <c r="J17" s="17">
        <f>MEDIAN(Raw_Data_MR!G17,Raw_Data_MR!H17,Raw_Data_MR!J17,Raw_Data_MR!K17)</f>
        <v/>
      </c>
      <c r="K17" s="17">
        <f>MEDIAN(Raw_Data_MR!G17,Raw_Data_MR!H17,Raw_Data_MR!I17,Raw_Data_MR!K17)</f>
        <v/>
      </c>
      <c r="L17" s="17">
        <f>MEDIAN(Raw_Data_MR!G17,Raw_Data_MR!H17,Raw_Data_MR!I17,Raw_Data_MR!J17)</f>
        <v/>
      </c>
      <c r="M17" s="31">
        <f>Raw_Data_MR!C17/MAX(D17,cfg_mr_partner_clip)</f>
        <v/>
      </c>
      <c r="N17" s="31">
        <f>Raw_Data_MR!D17/MAX(E17,cfg_mr_partner_clip)</f>
        <v/>
      </c>
      <c r="O17" s="31">
        <f>Raw_Data_MR!E17/MAX(F17,cfg_mr_partner_clip)</f>
        <v/>
      </c>
      <c r="P17" s="31">
        <f>Raw_Data_MR!F17/MAX(G17,cfg_mr_partner_clip)</f>
        <v/>
      </c>
      <c r="Q17" s="31">
        <f>Raw_Data_MR!G17/MAX(H17,cfg_mr_partner_clip)</f>
        <v/>
      </c>
      <c r="R17" s="31">
        <f>Raw_Data_MR!H17/MAX(I17,cfg_mr_partner_clip)</f>
        <v/>
      </c>
      <c r="S17" s="31">
        <f>Raw_Data_MR!I17/MAX(J17,cfg_mr_partner_clip)</f>
        <v/>
      </c>
      <c r="T17" s="31">
        <f>Raw_Data_MR!J17/MAX(K17,cfg_mr_partner_clip)</f>
        <v/>
      </c>
      <c r="U17" s="31">
        <f>Raw_Data_MR!K17/MAX(L17,cfg_mr_partner_clip)</f>
        <v/>
      </c>
      <c r="V17" s="5">
        <f>IF(AND(M17&lt;cfg_mr_ratio_threshold,$C17=1),1,0)</f>
        <v/>
      </c>
      <c r="W17" s="5">
        <f>IF(AND(N17&lt;cfg_mr_ratio_threshold,$C17=1),1,0)</f>
        <v/>
      </c>
      <c r="X17" s="5">
        <f>IF(AND(O17&lt;cfg_mr_ratio_threshold,$C17=1),1,0)</f>
        <v/>
      </c>
      <c r="Y17" s="5">
        <f>IF(AND(P17&lt;cfg_mr_ratio_threshold,$C17=1),1,0)</f>
        <v/>
      </c>
      <c r="Z17" s="5">
        <f>IF(AND(Q17&lt;cfg_mr_ratio_threshold,$C17=1),1,0)</f>
        <v/>
      </c>
      <c r="AA17" s="5">
        <f>IF(AND(R17&lt;cfg_mr_ratio_threshold,$C17=1),1,0)</f>
        <v/>
      </c>
      <c r="AB17" s="5">
        <f>IF(AND(S17&lt;cfg_mr_ratio_threshold,$C17=1),1,0)</f>
        <v/>
      </c>
      <c r="AC17" s="5">
        <f>IF(AND(T17&lt;cfg_mr_ratio_threshold,$C17=1),1,0)</f>
        <v/>
      </c>
      <c r="AD17" s="5">
        <f>IF(AND(U17&lt;cfg_mr_ratio_threshold,$C17=1),1,0)</f>
        <v/>
      </c>
      <c r="AE17" s="5">
        <f>IF(V17=1,AE16+1,0)</f>
        <v/>
      </c>
      <c r="AF17" s="5">
        <f>IF(W17=1,AF16+1,0)</f>
        <v/>
      </c>
      <c r="AG17" s="5">
        <f>IF(X17=1,AG16+1,0)</f>
        <v/>
      </c>
      <c r="AH17" s="5">
        <f>IF(Y17=1,AH16+1,0)</f>
        <v/>
      </c>
      <c r="AI17" s="5">
        <f>IF(Z17=1,AI16+1,0)</f>
        <v/>
      </c>
      <c r="AJ17" s="5">
        <f>IF(AA17=1,AJ16+1,0)</f>
        <v/>
      </c>
      <c r="AK17" s="5">
        <f>IF(AB17=1,AK16+1,0)</f>
        <v/>
      </c>
      <c r="AL17" s="5">
        <f>IF(AC17=1,AL16+1,0)</f>
        <v/>
      </c>
      <c r="AM17" s="5">
        <f>IF(AD17=1,AM16+1,0)</f>
        <v/>
      </c>
    </row>
    <row r="18">
      <c r="A18" s="40">
        <f>Raw_Data_MR!A18</f>
        <v/>
      </c>
      <c r="B18" s="5">
        <f>Raw_Data_MR!B18</f>
        <v/>
      </c>
      <c r="C18" s="5">
        <f>IF(AND(B18&gt;cfg_mr_poa_threshold_wm2,B18&gt;cfg_mr_poa_floor_wm2),1,0)</f>
        <v/>
      </c>
      <c r="D18" s="17">
        <f>MEDIAN(Raw_Data_MR!D18,Raw_Data_MR!E18,Raw_Data_MR!F18)</f>
        <v/>
      </c>
      <c r="E18" s="17">
        <f>MEDIAN(Raw_Data_MR!C18,Raw_Data_MR!E18,Raw_Data_MR!F18)</f>
        <v/>
      </c>
      <c r="F18" s="17">
        <f>MEDIAN(Raw_Data_MR!C18,Raw_Data_MR!D18,Raw_Data_MR!F18)</f>
        <v/>
      </c>
      <c r="G18" s="17">
        <f>MEDIAN(Raw_Data_MR!C18,Raw_Data_MR!D18,Raw_Data_MR!E18)</f>
        <v/>
      </c>
      <c r="H18" s="17">
        <f>MEDIAN(Raw_Data_MR!H18,Raw_Data_MR!I18,Raw_Data_MR!J18,Raw_Data_MR!K18)</f>
        <v/>
      </c>
      <c r="I18" s="17">
        <f>MEDIAN(Raw_Data_MR!G18,Raw_Data_MR!I18,Raw_Data_MR!J18,Raw_Data_MR!K18)</f>
        <v/>
      </c>
      <c r="J18" s="17">
        <f>MEDIAN(Raw_Data_MR!G18,Raw_Data_MR!H18,Raw_Data_MR!J18,Raw_Data_MR!K18)</f>
        <v/>
      </c>
      <c r="K18" s="17">
        <f>MEDIAN(Raw_Data_MR!G18,Raw_Data_MR!H18,Raw_Data_MR!I18,Raw_Data_MR!K18)</f>
        <v/>
      </c>
      <c r="L18" s="17">
        <f>MEDIAN(Raw_Data_MR!G18,Raw_Data_MR!H18,Raw_Data_MR!I18,Raw_Data_MR!J18)</f>
        <v/>
      </c>
      <c r="M18" s="31">
        <f>Raw_Data_MR!C18/MAX(D18,cfg_mr_partner_clip)</f>
        <v/>
      </c>
      <c r="N18" s="31">
        <f>Raw_Data_MR!D18/MAX(E18,cfg_mr_partner_clip)</f>
        <v/>
      </c>
      <c r="O18" s="31">
        <f>Raw_Data_MR!E18/MAX(F18,cfg_mr_partner_clip)</f>
        <v/>
      </c>
      <c r="P18" s="31">
        <f>Raw_Data_MR!F18/MAX(G18,cfg_mr_partner_clip)</f>
        <v/>
      </c>
      <c r="Q18" s="31">
        <f>Raw_Data_MR!G18/MAX(H18,cfg_mr_partner_clip)</f>
        <v/>
      </c>
      <c r="R18" s="31">
        <f>Raw_Data_MR!H18/MAX(I18,cfg_mr_partner_clip)</f>
        <v/>
      </c>
      <c r="S18" s="31">
        <f>Raw_Data_MR!I18/MAX(J18,cfg_mr_partner_clip)</f>
        <v/>
      </c>
      <c r="T18" s="31">
        <f>Raw_Data_MR!J18/MAX(K18,cfg_mr_partner_clip)</f>
        <v/>
      </c>
      <c r="U18" s="31">
        <f>Raw_Data_MR!K18/MAX(L18,cfg_mr_partner_clip)</f>
        <v/>
      </c>
      <c r="V18" s="5">
        <f>IF(AND(M18&lt;cfg_mr_ratio_threshold,$C18=1),1,0)</f>
        <v/>
      </c>
      <c r="W18" s="5">
        <f>IF(AND(N18&lt;cfg_mr_ratio_threshold,$C18=1),1,0)</f>
        <v/>
      </c>
      <c r="X18" s="5">
        <f>IF(AND(O18&lt;cfg_mr_ratio_threshold,$C18=1),1,0)</f>
        <v/>
      </c>
      <c r="Y18" s="5">
        <f>IF(AND(P18&lt;cfg_mr_ratio_threshold,$C18=1),1,0)</f>
        <v/>
      </c>
      <c r="Z18" s="5">
        <f>IF(AND(Q18&lt;cfg_mr_ratio_threshold,$C18=1),1,0)</f>
        <v/>
      </c>
      <c r="AA18" s="5">
        <f>IF(AND(R18&lt;cfg_mr_ratio_threshold,$C18=1),1,0)</f>
        <v/>
      </c>
      <c r="AB18" s="5">
        <f>IF(AND(S18&lt;cfg_mr_ratio_threshold,$C18=1),1,0)</f>
        <v/>
      </c>
      <c r="AC18" s="5">
        <f>IF(AND(T18&lt;cfg_mr_ratio_threshold,$C18=1),1,0)</f>
        <v/>
      </c>
      <c r="AD18" s="5">
        <f>IF(AND(U18&lt;cfg_mr_ratio_threshold,$C18=1),1,0)</f>
        <v/>
      </c>
      <c r="AE18" s="5">
        <f>IF(V18=1,AE17+1,0)</f>
        <v/>
      </c>
      <c r="AF18" s="5">
        <f>IF(W18=1,AF17+1,0)</f>
        <v/>
      </c>
      <c r="AG18" s="5">
        <f>IF(X18=1,AG17+1,0)</f>
        <v/>
      </c>
      <c r="AH18" s="5">
        <f>IF(Y18=1,AH17+1,0)</f>
        <v/>
      </c>
      <c r="AI18" s="5">
        <f>IF(Z18=1,AI17+1,0)</f>
        <v/>
      </c>
      <c r="AJ18" s="5">
        <f>IF(AA18=1,AJ17+1,0)</f>
        <v/>
      </c>
      <c r="AK18" s="5">
        <f>IF(AB18=1,AK17+1,0)</f>
        <v/>
      </c>
      <c r="AL18" s="5">
        <f>IF(AC18=1,AL17+1,0)</f>
        <v/>
      </c>
      <c r="AM18" s="5">
        <f>IF(AD18=1,AM17+1,0)</f>
        <v/>
      </c>
    </row>
    <row r="19">
      <c r="A19" s="40">
        <f>Raw_Data_MR!A19</f>
        <v/>
      </c>
      <c r="B19" s="5">
        <f>Raw_Data_MR!B19</f>
        <v/>
      </c>
      <c r="C19" s="5">
        <f>IF(AND(B19&gt;cfg_mr_poa_threshold_wm2,B19&gt;cfg_mr_poa_floor_wm2),1,0)</f>
        <v/>
      </c>
      <c r="D19" s="17">
        <f>MEDIAN(Raw_Data_MR!D19,Raw_Data_MR!E19,Raw_Data_MR!F19)</f>
        <v/>
      </c>
      <c r="E19" s="17">
        <f>MEDIAN(Raw_Data_MR!C19,Raw_Data_MR!E19,Raw_Data_MR!F19)</f>
        <v/>
      </c>
      <c r="F19" s="17">
        <f>MEDIAN(Raw_Data_MR!C19,Raw_Data_MR!D19,Raw_Data_MR!F19)</f>
        <v/>
      </c>
      <c r="G19" s="17">
        <f>MEDIAN(Raw_Data_MR!C19,Raw_Data_MR!D19,Raw_Data_MR!E19)</f>
        <v/>
      </c>
      <c r="H19" s="17">
        <f>MEDIAN(Raw_Data_MR!H19,Raw_Data_MR!I19,Raw_Data_MR!J19,Raw_Data_MR!K19)</f>
        <v/>
      </c>
      <c r="I19" s="17">
        <f>MEDIAN(Raw_Data_MR!G19,Raw_Data_MR!I19,Raw_Data_MR!J19,Raw_Data_MR!K19)</f>
        <v/>
      </c>
      <c r="J19" s="17">
        <f>MEDIAN(Raw_Data_MR!G19,Raw_Data_MR!H19,Raw_Data_MR!J19,Raw_Data_MR!K19)</f>
        <v/>
      </c>
      <c r="K19" s="17">
        <f>MEDIAN(Raw_Data_MR!G19,Raw_Data_MR!H19,Raw_Data_MR!I19,Raw_Data_MR!K19)</f>
        <v/>
      </c>
      <c r="L19" s="17">
        <f>MEDIAN(Raw_Data_MR!G19,Raw_Data_MR!H19,Raw_Data_MR!I19,Raw_Data_MR!J19)</f>
        <v/>
      </c>
      <c r="M19" s="31">
        <f>Raw_Data_MR!C19/MAX(D19,cfg_mr_partner_clip)</f>
        <v/>
      </c>
      <c r="N19" s="31">
        <f>Raw_Data_MR!D19/MAX(E19,cfg_mr_partner_clip)</f>
        <v/>
      </c>
      <c r="O19" s="31">
        <f>Raw_Data_MR!E19/MAX(F19,cfg_mr_partner_clip)</f>
        <v/>
      </c>
      <c r="P19" s="31">
        <f>Raw_Data_MR!F19/MAX(G19,cfg_mr_partner_clip)</f>
        <v/>
      </c>
      <c r="Q19" s="31">
        <f>Raw_Data_MR!G19/MAX(H19,cfg_mr_partner_clip)</f>
        <v/>
      </c>
      <c r="R19" s="31">
        <f>Raw_Data_MR!H19/MAX(I19,cfg_mr_partner_clip)</f>
        <v/>
      </c>
      <c r="S19" s="31">
        <f>Raw_Data_MR!I19/MAX(J19,cfg_mr_partner_clip)</f>
        <v/>
      </c>
      <c r="T19" s="31">
        <f>Raw_Data_MR!J19/MAX(K19,cfg_mr_partner_clip)</f>
        <v/>
      </c>
      <c r="U19" s="31">
        <f>Raw_Data_MR!K19/MAX(L19,cfg_mr_partner_clip)</f>
        <v/>
      </c>
      <c r="V19" s="5">
        <f>IF(AND(M19&lt;cfg_mr_ratio_threshold,$C19=1),1,0)</f>
        <v/>
      </c>
      <c r="W19" s="5">
        <f>IF(AND(N19&lt;cfg_mr_ratio_threshold,$C19=1),1,0)</f>
        <v/>
      </c>
      <c r="X19" s="5">
        <f>IF(AND(O19&lt;cfg_mr_ratio_threshold,$C19=1),1,0)</f>
        <v/>
      </c>
      <c r="Y19" s="5">
        <f>IF(AND(P19&lt;cfg_mr_ratio_threshold,$C19=1),1,0)</f>
        <v/>
      </c>
      <c r="Z19" s="5">
        <f>IF(AND(Q19&lt;cfg_mr_ratio_threshold,$C19=1),1,0)</f>
        <v/>
      </c>
      <c r="AA19" s="5">
        <f>IF(AND(R19&lt;cfg_mr_ratio_threshold,$C19=1),1,0)</f>
        <v/>
      </c>
      <c r="AB19" s="5">
        <f>IF(AND(S19&lt;cfg_mr_ratio_threshold,$C19=1),1,0)</f>
        <v/>
      </c>
      <c r="AC19" s="5">
        <f>IF(AND(T19&lt;cfg_mr_ratio_threshold,$C19=1),1,0)</f>
        <v/>
      </c>
      <c r="AD19" s="5">
        <f>IF(AND(U19&lt;cfg_mr_ratio_threshold,$C19=1),1,0)</f>
        <v/>
      </c>
      <c r="AE19" s="5">
        <f>IF(V19=1,AE18+1,0)</f>
        <v/>
      </c>
      <c r="AF19" s="5">
        <f>IF(W19=1,AF18+1,0)</f>
        <v/>
      </c>
      <c r="AG19" s="5">
        <f>IF(X19=1,AG18+1,0)</f>
        <v/>
      </c>
      <c r="AH19" s="5">
        <f>IF(Y19=1,AH18+1,0)</f>
        <v/>
      </c>
      <c r="AI19" s="5">
        <f>IF(Z19=1,AI18+1,0)</f>
        <v/>
      </c>
      <c r="AJ19" s="5">
        <f>IF(AA19=1,AJ18+1,0)</f>
        <v/>
      </c>
      <c r="AK19" s="5">
        <f>IF(AB19=1,AK18+1,0)</f>
        <v/>
      </c>
      <c r="AL19" s="5">
        <f>IF(AC19=1,AL18+1,0)</f>
        <v/>
      </c>
      <c r="AM19" s="5">
        <f>IF(AD19=1,AM18+1,0)</f>
        <v/>
      </c>
    </row>
    <row r="20">
      <c r="A20" s="40">
        <f>Raw_Data_MR!A20</f>
        <v/>
      </c>
      <c r="B20" s="5">
        <f>Raw_Data_MR!B20</f>
        <v/>
      </c>
      <c r="C20" s="5">
        <f>IF(AND(B20&gt;cfg_mr_poa_threshold_wm2,B20&gt;cfg_mr_poa_floor_wm2),1,0)</f>
        <v/>
      </c>
      <c r="D20" s="17">
        <f>MEDIAN(Raw_Data_MR!D20,Raw_Data_MR!E20,Raw_Data_MR!F20)</f>
        <v/>
      </c>
      <c r="E20" s="17">
        <f>MEDIAN(Raw_Data_MR!C20,Raw_Data_MR!E20,Raw_Data_MR!F20)</f>
        <v/>
      </c>
      <c r="F20" s="17">
        <f>MEDIAN(Raw_Data_MR!C20,Raw_Data_MR!D20,Raw_Data_MR!F20)</f>
        <v/>
      </c>
      <c r="G20" s="17">
        <f>MEDIAN(Raw_Data_MR!C20,Raw_Data_MR!D20,Raw_Data_MR!E20)</f>
        <v/>
      </c>
      <c r="H20" s="17">
        <f>MEDIAN(Raw_Data_MR!H20,Raw_Data_MR!I20,Raw_Data_MR!J20,Raw_Data_MR!K20)</f>
        <v/>
      </c>
      <c r="I20" s="17">
        <f>MEDIAN(Raw_Data_MR!G20,Raw_Data_MR!I20,Raw_Data_MR!J20,Raw_Data_MR!K20)</f>
        <v/>
      </c>
      <c r="J20" s="17">
        <f>MEDIAN(Raw_Data_MR!G20,Raw_Data_MR!H20,Raw_Data_MR!J20,Raw_Data_MR!K20)</f>
        <v/>
      </c>
      <c r="K20" s="17">
        <f>MEDIAN(Raw_Data_MR!G20,Raw_Data_MR!H20,Raw_Data_MR!I20,Raw_Data_MR!K20)</f>
        <v/>
      </c>
      <c r="L20" s="17">
        <f>MEDIAN(Raw_Data_MR!G20,Raw_Data_MR!H20,Raw_Data_MR!I20,Raw_Data_MR!J20)</f>
        <v/>
      </c>
      <c r="M20" s="31">
        <f>Raw_Data_MR!C20/MAX(D20,cfg_mr_partner_clip)</f>
        <v/>
      </c>
      <c r="N20" s="31">
        <f>Raw_Data_MR!D20/MAX(E20,cfg_mr_partner_clip)</f>
        <v/>
      </c>
      <c r="O20" s="31">
        <f>Raw_Data_MR!E20/MAX(F20,cfg_mr_partner_clip)</f>
        <v/>
      </c>
      <c r="P20" s="31">
        <f>Raw_Data_MR!F20/MAX(G20,cfg_mr_partner_clip)</f>
        <v/>
      </c>
      <c r="Q20" s="31">
        <f>Raw_Data_MR!G20/MAX(H20,cfg_mr_partner_clip)</f>
        <v/>
      </c>
      <c r="R20" s="31">
        <f>Raw_Data_MR!H20/MAX(I20,cfg_mr_partner_clip)</f>
        <v/>
      </c>
      <c r="S20" s="31">
        <f>Raw_Data_MR!I20/MAX(J20,cfg_mr_partner_clip)</f>
        <v/>
      </c>
      <c r="T20" s="31">
        <f>Raw_Data_MR!J20/MAX(K20,cfg_mr_partner_clip)</f>
        <v/>
      </c>
      <c r="U20" s="31">
        <f>Raw_Data_MR!K20/MAX(L20,cfg_mr_partner_clip)</f>
        <v/>
      </c>
      <c r="V20" s="5">
        <f>IF(AND(M20&lt;cfg_mr_ratio_threshold,$C20=1),1,0)</f>
        <v/>
      </c>
      <c r="W20" s="5">
        <f>IF(AND(N20&lt;cfg_mr_ratio_threshold,$C20=1),1,0)</f>
        <v/>
      </c>
      <c r="X20" s="5">
        <f>IF(AND(O20&lt;cfg_mr_ratio_threshold,$C20=1),1,0)</f>
        <v/>
      </c>
      <c r="Y20" s="5">
        <f>IF(AND(P20&lt;cfg_mr_ratio_threshold,$C20=1),1,0)</f>
        <v/>
      </c>
      <c r="Z20" s="5">
        <f>IF(AND(Q20&lt;cfg_mr_ratio_threshold,$C20=1),1,0)</f>
        <v/>
      </c>
      <c r="AA20" s="5">
        <f>IF(AND(R20&lt;cfg_mr_ratio_threshold,$C20=1),1,0)</f>
        <v/>
      </c>
      <c r="AB20" s="5">
        <f>IF(AND(S20&lt;cfg_mr_ratio_threshold,$C20=1),1,0)</f>
        <v/>
      </c>
      <c r="AC20" s="5">
        <f>IF(AND(T20&lt;cfg_mr_ratio_threshold,$C20=1),1,0)</f>
        <v/>
      </c>
      <c r="AD20" s="5">
        <f>IF(AND(U20&lt;cfg_mr_ratio_threshold,$C20=1),1,0)</f>
        <v/>
      </c>
      <c r="AE20" s="5">
        <f>IF(V20=1,AE19+1,0)</f>
        <v/>
      </c>
      <c r="AF20" s="5">
        <f>IF(W20=1,AF19+1,0)</f>
        <v/>
      </c>
      <c r="AG20" s="5">
        <f>IF(X20=1,AG19+1,0)</f>
        <v/>
      </c>
      <c r="AH20" s="5">
        <f>IF(Y20=1,AH19+1,0)</f>
        <v/>
      </c>
      <c r="AI20" s="5">
        <f>IF(Z20=1,AI19+1,0)</f>
        <v/>
      </c>
      <c r="AJ20" s="5">
        <f>IF(AA20=1,AJ19+1,0)</f>
        <v/>
      </c>
      <c r="AK20" s="5">
        <f>IF(AB20=1,AK19+1,0)</f>
        <v/>
      </c>
      <c r="AL20" s="5">
        <f>IF(AC20=1,AL19+1,0)</f>
        <v/>
      </c>
      <c r="AM20" s="5">
        <f>IF(AD20=1,AM19+1,0)</f>
        <v/>
      </c>
    </row>
    <row r="21">
      <c r="A21" s="40">
        <f>Raw_Data_MR!A21</f>
        <v/>
      </c>
      <c r="B21" s="5">
        <f>Raw_Data_MR!B21</f>
        <v/>
      </c>
      <c r="C21" s="5">
        <f>IF(AND(B21&gt;cfg_mr_poa_threshold_wm2,B21&gt;cfg_mr_poa_floor_wm2),1,0)</f>
        <v/>
      </c>
      <c r="D21" s="17">
        <f>MEDIAN(Raw_Data_MR!D21,Raw_Data_MR!E21,Raw_Data_MR!F21)</f>
        <v/>
      </c>
      <c r="E21" s="17">
        <f>MEDIAN(Raw_Data_MR!C21,Raw_Data_MR!E21,Raw_Data_MR!F21)</f>
        <v/>
      </c>
      <c r="F21" s="17">
        <f>MEDIAN(Raw_Data_MR!C21,Raw_Data_MR!D21,Raw_Data_MR!F21)</f>
        <v/>
      </c>
      <c r="G21" s="17">
        <f>MEDIAN(Raw_Data_MR!C21,Raw_Data_MR!D21,Raw_Data_MR!E21)</f>
        <v/>
      </c>
      <c r="H21" s="17">
        <f>MEDIAN(Raw_Data_MR!H21,Raw_Data_MR!I21,Raw_Data_MR!J21,Raw_Data_MR!K21)</f>
        <v/>
      </c>
      <c r="I21" s="17">
        <f>MEDIAN(Raw_Data_MR!G21,Raw_Data_MR!I21,Raw_Data_MR!J21,Raw_Data_MR!K21)</f>
        <v/>
      </c>
      <c r="J21" s="17">
        <f>MEDIAN(Raw_Data_MR!G21,Raw_Data_MR!H21,Raw_Data_MR!J21,Raw_Data_MR!K21)</f>
        <v/>
      </c>
      <c r="K21" s="17">
        <f>MEDIAN(Raw_Data_MR!G21,Raw_Data_MR!H21,Raw_Data_MR!I21,Raw_Data_MR!K21)</f>
        <v/>
      </c>
      <c r="L21" s="17">
        <f>MEDIAN(Raw_Data_MR!G21,Raw_Data_MR!H21,Raw_Data_MR!I21,Raw_Data_MR!J21)</f>
        <v/>
      </c>
      <c r="M21" s="31">
        <f>Raw_Data_MR!C21/MAX(D21,cfg_mr_partner_clip)</f>
        <v/>
      </c>
      <c r="N21" s="31">
        <f>Raw_Data_MR!D21/MAX(E21,cfg_mr_partner_clip)</f>
        <v/>
      </c>
      <c r="O21" s="31">
        <f>Raw_Data_MR!E21/MAX(F21,cfg_mr_partner_clip)</f>
        <v/>
      </c>
      <c r="P21" s="31">
        <f>Raw_Data_MR!F21/MAX(G21,cfg_mr_partner_clip)</f>
        <v/>
      </c>
      <c r="Q21" s="31">
        <f>Raw_Data_MR!G21/MAX(H21,cfg_mr_partner_clip)</f>
        <v/>
      </c>
      <c r="R21" s="31">
        <f>Raw_Data_MR!H21/MAX(I21,cfg_mr_partner_clip)</f>
        <v/>
      </c>
      <c r="S21" s="31">
        <f>Raw_Data_MR!I21/MAX(J21,cfg_mr_partner_clip)</f>
        <v/>
      </c>
      <c r="T21" s="31">
        <f>Raw_Data_MR!J21/MAX(K21,cfg_mr_partner_clip)</f>
        <v/>
      </c>
      <c r="U21" s="31">
        <f>Raw_Data_MR!K21/MAX(L21,cfg_mr_partner_clip)</f>
        <v/>
      </c>
      <c r="V21" s="5">
        <f>IF(AND(M21&lt;cfg_mr_ratio_threshold,$C21=1),1,0)</f>
        <v/>
      </c>
      <c r="W21" s="5">
        <f>IF(AND(N21&lt;cfg_mr_ratio_threshold,$C21=1),1,0)</f>
        <v/>
      </c>
      <c r="X21" s="5">
        <f>IF(AND(O21&lt;cfg_mr_ratio_threshold,$C21=1),1,0)</f>
        <v/>
      </c>
      <c r="Y21" s="5">
        <f>IF(AND(P21&lt;cfg_mr_ratio_threshold,$C21=1),1,0)</f>
        <v/>
      </c>
      <c r="Z21" s="5">
        <f>IF(AND(Q21&lt;cfg_mr_ratio_threshold,$C21=1),1,0)</f>
        <v/>
      </c>
      <c r="AA21" s="5">
        <f>IF(AND(R21&lt;cfg_mr_ratio_threshold,$C21=1),1,0)</f>
        <v/>
      </c>
      <c r="AB21" s="5">
        <f>IF(AND(S21&lt;cfg_mr_ratio_threshold,$C21=1),1,0)</f>
        <v/>
      </c>
      <c r="AC21" s="5">
        <f>IF(AND(T21&lt;cfg_mr_ratio_threshold,$C21=1),1,0)</f>
        <v/>
      </c>
      <c r="AD21" s="5">
        <f>IF(AND(U21&lt;cfg_mr_ratio_threshold,$C21=1),1,0)</f>
        <v/>
      </c>
      <c r="AE21" s="5">
        <f>IF(V21=1,AE20+1,0)</f>
        <v/>
      </c>
      <c r="AF21" s="5">
        <f>IF(W21=1,AF20+1,0)</f>
        <v/>
      </c>
      <c r="AG21" s="5">
        <f>IF(X21=1,AG20+1,0)</f>
        <v/>
      </c>
      <c r="AH21" s="5">
        <f>IF(Y21=1,AH20+1,0)</f>
        <v/>
      </c>
      <c r="AI21" s="5">
        <f>IF(Z21=1,AI20+1,0)</f>
        <v/>
      </c>
      <c r="AJ21" s="5">
        <f>IF(AA21=1,AJ20+1,0)</f>
        <v/>
      </c>
      <c r="AK21" s="5">
        <f>IF(AB21=1,AK20+1,0)</f>
        <v/>
      </c>
      <c r="AL21" s="5">
        <f>IF(AC21=1,AL20+1,0)</f>
        <v/>
      </c>
      <c r="AM21" s="5">
        <f>IF(AD21=1,AM20+1,0)</f>
        <v/>
      </c>
    </row>
    <row r="22">
      <c r="A22" s="40">
        <f>Raw_Data_MR!A22</f>
        <v/>
      </c>
      <c r="B22" s="5">
        <f>Raw_Data_MR!B22</f>
        <v/>
      </c>
      <c r="C22" s="5">
        <f>IF(AND(B22&gt;cfg_mr_poa_threshold_wm2,B22&gt;cfg_mr_poa_floor_wm2),1,0)</f>
        <v/>
      </c>
      <c r="D22" s="17">
        <f>MEDIAN(Raw_Data_MR!D22,Raw_Data_MR!E22,Raw_Data_MR!F22)</f>
        <v/>
      </c>
      <c r="E22" s="17">
        <f>MEDIAN(Raw_Data_MR!C22,Raw_Data_MR!E22,Raw_Data_MR!F22)</f>
        <v/>
      </c>
      <c r="F22" s="17">
        <f>MEDIAN(Raw_Data_MR!C22,Raw_Data_MR!D22,Raw_Data_MR!F22)</f>
        <v/>
      </c>
      <c r="G22" s="17">
        <f>MEDIAN(Raw_Data_MR!C22,Raw_Data_MR!D22,Raw_Data_MR!E22)</f>
        <v/>
      </c>
      <c r="H22" s="17">
        <f>MEDIAN(Raw_Data_MR!H22,Raw_Data_MR!I22,Raw_Data_MR!J22,Raw_Data_MR!K22)</f>
        <v/>
      </c>
      <c r="I22" s="17">
        <f>MEDIAN(Raw_Data_MR!G22,Raw_Data_MR!I22,Raw_Data_MR!J22,Raw_Data_MR!K22)</f>
        <v/>
      </c>
      <c r="J22" s="17">
        <f>MEDIAN(Raw_Data_MR!G22,Raw_Data_MR!H22,Raw_Data_MR!J22,Raw_Data_MR!K22)</f>
        <v/>
      </c>
      <c r="K22" s="17">
        <f>MEDIAN(Raw_Data_MR!G22,Raw_Data_MR!H22,Raw_Data_MR!I22,Raw_Data_MR!K22)</f>
        <v/>
      </c>
      <c r="L22" s="17">
        <f>MEDIAN(Raw_Data_MR!G22,Raw_Data_MR!H22,Raw_Data_MR!I22,Raw_Data_MR!J22)</f>
        <v/>
      </c>
      <c r="M22" s="31">
        <f>Raw_Data_MR!C22/MAX(D22,cfg_mr_partner_clip)</f>
        <v/>
      </c>
      <c r="N22" s="31">
        <f>Raw_Data_MR!D22/MAX(E22,cfg_mr_partner_clip)</f>
        <v/>
      </c>
      <c r="O22" s="31">
        <f>Raw_Data_MR!E22/MAX(F22,cfg_mr_partner_clip)</f>
        <v/>
      </c>
      <c r="P22" s="31">
        <f>Raw_Data_MR!F22/MAX(G22,cfg_mr_partner_clip)</f>
        <v/>
      </c>
      <c r="Q22" s="31">
        <f>Raw_Data_MR!G22/MAX(H22,cfg_mr_partner_clip)</f>
        <v/>
      </c>
      <c r="R22" s="31">
        <f>Raw_Data_MR!H22/MAX(I22,cfg_mr_partner_clip)</f>
        <v/>
      </c>
      <c r="S22" s="31">
        <f>Raw_Data_MR!I22/MAX(J22,cfg_mr_partner_clip)</f>
        <v/>
      </c>
      <c r="T22" s="31">
        <f>Raw_Data_MR!J22/MAX(K22,cfg_mr_partner_clip)</f>
        <v/>
      </c>
      <c r="U22" s="31">
        <f>Raw_Data_MR!K22/MAX(L22,cfg_mr_partner_clip)</f>
        <v/>
      </c>
      <c r="V22" s="5">
        <f>IF(AND(M22&lt;cfg_mr_ratio_threshold,$C22=1),1,0)</f>
        <v/>
      </c>
      <c r="W22" s="5">
        <f>IF(AND(N22&lt;cfg_mr_ratio_threshold,$C22=1),1,0)</f>
        <v/>
      </c>
      <c r="X22" s="5">
        <f>IF(AND(O22&lt;cfg_mr_ratio_threshold,$C22=1),1,0)</f>
        <v/>
      </c>
      <c r="Y22" s="5">
        <f>IF(AND(P22&lt;cfg_mr_ratio_threshold,$C22=1),1,0)</f>
        <v/>
      </c>
      <c r="Z22" s="5">
        <f>IF(AND(Q22&lt;cfg_mr_ratio_threshold,$C22=1),1,0)</f>
        <v/>
      </c>
      <c r="AA22" s="5">
        <f>IF(AND(R22&lt;cfg_mr_ratio_threshold,$C22=1),1,0)</f>
        <v/>
      </c>
      <c r="AB22" s="5">
        <f>IF(AND(S22&lt;cfg_mr_ratio_threshold,$C22=1),1,0)</f>
        <v/>
      </c>
      <c r="AC22" s="5">
        <f>IF(AND(T22&lt;cfg_mr_ratio_threshold,$C22=1),1,0)</f>
        <v/>
      </c>
      <c r="AD22" s="5">
        <f>IF(AND(U22&lt;cfg_mr_ratio_threshold,$C22=1),1,0)</f>
        <v/>
      </c>
      <c r="AE22" s="5">
        <f>IF(V22=1,AE21+1,0)</f>
        <v/>
      </c>
      <c r="AF22" s="5">
        <f>IF(W22=1,AF21+1,0)</f>
        <v/>
      </c>
      <c r="AG22" s="5">
        <f>IF(X22=1,AG21+1,0)</f>
        <v/>
      </c>
      <c r="AH22" s="5">
        <f>IF(Y22=1,AH21+1,0)</f>
        <v/>
      </c>
      <c r="AI22" s="5">
        <f>IF(Z22=1,AI21+1,0)</f>
        <v/>
      </c>
      <c r="AJ22" s="5">
        <f>IF(AA22=1,AJ21+1,0)</f>
        <v/>
      </c>
      <c r="AK22" s="5">
        <f>IF(AB22=1,AK21+1,0)</f>
        <v/>
      </c>
      <c r="AL22" s="5">
        <f>IF(AC22=1,AL21+1,0)</f>
        <v/>
      </c>
      <c r="AM22" s="5">
        <f>IF(AD22=1,AM21+1,0)</f>
        <v/>
      </c>
    </row>
    <row r="23">
      <c r="A23" s="40">
        <f>Raw_Data_MR!A23</f>
        <v/>
      </c>
      <c r="B23" s="5">
        <f>Raw_Data_MR!B23</f>
        <v/>
      </c>
      <c r="C23" s="5">
        <f>IF(AND(B23&gt;cfg_mr_poa_threshold_wm2,B23&gt;cfg_mr_poa_floor_wm2),1,0)</f>
        <v/>
      </c>
      <c r="D23" s="17">
        <f>MEDIAN(Raw_Data_MR!D23,Raw_Data_MR!E23,Raw_Data_MR!F23)</f>
        <v/>
      </c>
      <c r="E23" s="17">
        <f>MEDIAN(Raw_Data_MR!C23,Raw_Data_MR!E23,Raw_Data_MR!F23)</f>
        <v/>
      </c>
      <c r="F23" s="17">
        <f>MEDIAN(Raw_Data_MR!C23,Raw_Data_MR!D23,Raw_Data_MR!F23)</f>
        <v/>
      </c>
      <c r="G23" s="17">
        <f>MEDIAN(Raw_Data_MR!C23,Raw_Data_MR!D23,Raw_Data_MR!E23)</f>
        <v/>
      </c>
      <c r="H23" s="17">
        <f>MEDIAN(Raw_Data_MR!H23,Raw_Data_MR!I23,Raw_Data_MR!J23,Raw_Data_MR!K23)</f>
        <v/>
      </c>
      <c r="I23" s="17">
        <f>MEDIAN(Raw_Data_MR!G23,Raw_Data_MR!I23,Raw_Data_MR!J23,Raw_Data_MR!K23)</f>
        <v/>
      </c>
      <c r="J23" s="17">
        <f>MEDIAN(Raw_Data_MR!G23,Raw_Data_MR!H23,Raw_Data_MR!J23,Raw_Data_MR!K23)</f>
        <v/>
      </c>
      <c r="K23" s="17">
        <f>MEDIAN(Raw_Data_MR!G23,Raw_Data_MR!H23,Raw_Data_MR!I23,Raw_Data_MR!K23)</f>
        <v/>
      </c>
      <c r="L23" s="17">
        <f>MEDIAN(Raw_Data_MR!G23,Raw_Data_MR!H23,Raw_Data_MR!I23,Raw_Data_MR!J23)</f>
        <v/>
      </c>
      <c r="M23" s="31">
        <f>Raw_Data_MR!C23/MAX(D23,cfg_mr_partner_clip)</f>
        <v/>
      </c>
      <c r="N23" s="31">
        <f>Raw_Data_MR!D23/MAX(E23,cfg_mr_partner_clip)</f>
        <v/>
      </c>
      <c r="O23" s="31">
        <f>Raw_Data_MR!E23/MAX(F23,cfg_mr_partner_clip)</f>
        <v/>
      </c>
      <c r="P23" s="31">
        <f>Raw_Data_MR!F23/MAX(G23,cfg_mr_partner_clip)</f>
        <v/>
      </c>
      <c r="Q23" s="31">
        <f>Raw_Data_MR!G23/MAX(H23,cfg_mr_partner_clip)</f>
        <v/>
      </c>
      <c r="R23" s="31">
        <f>Raw_Data_MR!H23/MAX(I23,cfg_mr_partner_clip)</f>
        <v/>
      </c>
      <c r="S23" s="31">
        <f>Raw_Data_MR!I23/MAX(J23,cfg_mr_partner_clip)</f>
        <v/>
      </c>
      <c r="T23" s="31">
        <f>Raw_Data_MR!J23/MAX(K23,cfg_mr_partner_clip)</f>
        <v/>
      </c>
      <c r="U23" s="31">
        <f>Raw_Data_MR!K23/MAX(L23,cfg_mr_partner_clip)</f>
        <v/>
      </c>
      <c r="V23" s="5">
        <f>IF(AND(M23&lt;cfg_mr_ratio_threshold,$C23=1),1,0)</f>
        <v/>
      </c>
      <c r="W23" s="5">
        <f>IF(AND(N23&lt;cfg_mr_ratio_threshold,$C23=1),1,0)</f>
        <v/>
      </c>
      <c r="X23" s="5">
        <f>IF(AND(O23&lt;cfg_mr_ratio_threshold,$C23=1),1,0)</f>
        <v/>
      </c>
      <c r="Y23" s="5">
        <f>IF(AND(P23&lt;cfg_mr_ratio_threshold,$C23=1),1,0)</f>
        <v/>
      </c>
      <c r="Z23" s="5">
        <f>IF(AND(Q23&lt;cfg_mr_ratio_threshold,$C23=1),1,0)</f>
        <v/>
      </c>
      <c r="AA23" s="5">
        <f>IF(AND(R23&lt;cfg_mr_ratio_threshold,$C23=1),1,0)</f>
        <v/>
      </c>
      <c r="AB23" s="5">
        <f>IF(AND(S23&lt;cfg_mr_ratio_threshold,$C23=1),1,0)</f>
        <v/>
      </c>
      <c r="AC23" s="5">
        <f>IF(AND(T23&lt;cfg_mr_ratio_threshold,$C23=1),1,0)</f>
        <v/>
      </c>
      <c r="AD23" s="5">
        <f>IF(AND(U23&lt;cfg_mr_ratio_threshold,$C23=1),1,0)</f>
        <v/>
      </c>
      <c r="AE23" s="5">
        <f>IF(V23=1,AE22+1,0)</f>
        <v/>
      </c>
      <c r="AF23" s="5">
        <f>IF(W23=1,AF22+1,0)</f>
        <v/>
      </c>
      <c r="AG23" s="5">
        <f>IF(X23=1,AG22+1,0)</f>
        <v/>
      </c>
      <c r="AH23" s="5">
        <f>IF(Y23=1,AH22+1,0)</f>
        <v/>
      </c>
      <c r="AI23" s="5">
        <f>IF(Z23=1,AI22+1,0)</f>
        <v/>
      </c>
      <c r="AJ23" s="5">
        <f>IF(AA23=1,AJ22+1,0)</f>
        <v/>
      </c>
      <c r="AK23" s="5">
        <f>IF(AB23=1,AK22+1,0)</f>
        <v/>
      </c>
      <c r="AL23" s="5">
        <f>IF(AC23=1,AL22+1,0)</f>
        <v/>
      </c>
      <c r="AM23" s="5">
        <f>IF(AD23=1,AM22+1,0)</f>
        <v/>
      </c>
    </row>
    <row r="24">
      <c r="A24" s="40">
        <f>Raw_Data_MR!A24</f>
        <v/>
      </c>
      <c r="B24" s="5">
        <f>Raw_Data_MR!B24</f>
        <v/>
      </c>
      <c r="C24" s="5">
        <f>IF(AND(B24&gt;cfg_mr_poa_threshold_wm2,B24&gt;cfg_mr_poa_floor_wm2),1,0)</f>
        <v/>
      </c>
      <c r="D24" s="17">
        <f>MEDIAN(Raw_Data_MR!D24,Raw_Data_MR!E24,Raw_Data_MR!F24)</f>
        <v/>
      </c>
      <c r="E24" s="17">
        <f>MEDIAN(Raw_Data_MR!C24,Raw_Data_MR!E24,Raw_Data_MR!F24)</f>
        <v/>
      </c>
      <c r="F24" s="17">
        <f>MEDIAN(Raw_Data_MR!C24,Raw_Data_MR!D24,Raw_Data_MR!F24)</f>
        <v/>
      </c>
      <c r="G24" s="17">
        <f>MEDIAN(Raw_Data_MR!C24,Raw_Data_MR!D24,Raw_Data_MR!E24)</f>
        <v/>
      </c>
      <c r="H24" s="17">
        <f>MEDIAN(Raw_Data_MR!H24,Raw_Data_MR!I24,Raw_Data_MR!J24,Raw_Data_MR!K24)</f>
        <v/>
      </c>
      <c r="I24" s="17">
        <f>MEDIAN(Raw_Data_MR!G24,Raw_Data_MR!I24,Raw_Data_MR!J24,Raw_Data_MR!K24)</f>
        <v/>
      </c>
      <c r="J24" s="17">
        <f>MEDIAN(Raw_Data_MR!G24,Raw_Data_MR!H24,Raw_Data_MR!J24,Raw_Data_MR!K24)</f>
        <v/>
      </c>
      <c r="K24" s="17">
        <f>MEDIAN(Raw_Data_MR!G24,Raw_Data_MR!H24,Raw_Data_MR!I24,Raw_Data_MR!K24)</f>
        <v/>
      </c>
      <c r="L24" s="17">
        <f>MEDIAN(Raw_Data_MR!G24,Raw_Data_MR!H24,Raw_Data_MR!I24,Raw_Data_MR!J24)</f>
        <v/>
      </c>
      <c r="M24" s="31">
        <f>Raw_Data_MR!C24/MAX(D24,cfg_mr_partner_clip)</f>
        <v/>
      </c>
      <c r="N24" s="31">
        <f>Raw_Data_MR!D24/MAX(E24,cfg_mr_partner_clip)</f>
        <v/>
      </c>
      <c r="O24" s="31">
        <f>Raw_Data_MR!E24/MAX(F24,cfg_mr_partner_clip)</f>
        <v/>
      </c>
      <c r="P24" s="31">
        <f>Raw_Data_MR!F24/MAX(G24,cfg_mr_partner_clip)</f>
        <v/>
      </c>
      <c r="Q24" s="31">
        <f>Raw_Data_MR!G24/MAX(H24,cfg_mr_partner_clip)</f>
        <v/>
      </c>
      <c r="R24" s="31">
        <f>Raw_Data_MR!H24/MAX(I24,cfg_mr_partner_clip)</f>
        <v/>
      </c>
      <c r="S24" s="31">
        <f>Raw_Data_MR!I24/MAX(J24,cfg_mr_partner_clip)</f>
        <v/>
      </c>
      <c r="T24" s="31">
        <f>Raw_Data_MR!J24/MAX(K24,cfg_mr_partner_clip)</f>
        <v/>
      </c>
      <c r="U24" s="31">
        <f>Raw_Data_MR!K24/MAX(L24,cfg_mr_partner_clip)</f>
        <v/>
      </c>
      <c r="V24" s="5">
        <f>IF(AND(M24&lt;cfg_mr_ratio_threshold,$C24=1),1,0)</f>
        <v/>
      </c>
      <c r="W24" s="5">
        <f>IF(AND(N24&lt;cfg_mr_ratio_threshold,$C24=1),1,0)</f>
        <v/>
      </c>
      <c r="X24" s="5">
        <f>IF(AND(O24&lt;cfg_mr_ratio_threshold,$C24=1),1,0)</f>
        <v/>
      </c>
      <c r="Y24" s="5">
        <f>IF(AND(P24&lt;cfg_mr_ratio_threshold,$C24=1),1,0)</f>
        <v/>
      </c>
      <c r="Z24" s="5">
        <f>IF(AND(Q24&lt;cfg_mr_ratio_threshold,$C24=1),1,0)</f>
        <v/>
      </c>
      <c r="AA24" s="5">
        <f>IF(AND(R24&lt;cfg_mr_ratio_threshold,$C24=1),1,0)</f>
        <v/>
      </c>
      <c r="AB24" s="5">
        <f>IF(AND(S24&lt;cfg_mr_ratio_threshold,$C24=1),1,0)</f>
        <v/>
      </c>
      <c r="AC24" s="5">
        <f>IF(AND(T24&lt;cfg_mr_ratio_threshold,$C24=1),1,0)</f>
        <v/>
      </c>
      <c r="AD24" s="5">
        <f>IF(AND(U24&lt;cfg_mr_ratio_threshold,$C24=1),1,0)</f>
        <v/>
      </c>
      <c r="AE24" s="5">
        <f>IF(V24=1,AE23+1,0)</f>
        <v/>
      </c>
      <c r="AF24" s="5">
        <f>IF(W24=1,AF23+1,0)</f>
        <v/>
      </c>
      <c r="AG24" s="5">
        <f>IF(X24=1,AG23+1,0)</f>
        <v/>
      </c>
      <c r="AH24" s="5">
        <f>IF(Y24=1,AH23+1,0)</f>
        <v/>
      </c>
      <c r="AI24" s="5">
        <f>IF(Z24=1,AI23+1,0)</f>
        <v/>
      </c>
      <c r="AJ24" s="5">
        <f>IF(AA24=1,AJ23+1,0)</f>
        <v/>
      </c>
      <c r="AK24" s="5">
        <f>IF(AB24=1,AK23+1,0)</f>
        <v/>
      </c>
      <c r="AL24" s="5">
        <f>IF(AC24=1,AL23+1,0)</f>
        <v/>
      </c>
      <c r="AM24" s="5">
        <f>IF(AD24=1,AM23+1,0)</f>
        <v/>
      </c>
    </row>
    <row r="25">
      <c r="A25" s="40">
        <f>Raw_Data_MR!A25</f>
        <v/>
      </c>
      <c r="B25" s="5">
        <f>Raw_Data_MR!B25</f>
        <v/>
      </c>
      <c r="C25" s="5">
        <f>IF(AND(B25&gt;cfg_mr_poa_threshold_wm2,B25&gt;cfg_mr_poa_floor_wm2),1,0)</f>
        <v/>
      </c>
      <c r="D25" s="17">
        <f>MEDIAN(Raw_Data_MR!D25,Raw_Data_MR!E25,Raw_Data_MR!F25)</f>
        <v/>
      </c>
      <c r="E25" s="17">
        <f>MEDIAN(Raw_Data_MR!C25,Raw_Data_MR!E25,Raw_Data_MR!F25)</f>
        <v/>
      </c>
      <c r="F25" s="17">
        <f>MEDIAN(Raw_Data_MR!C25,Raw_Data_MR!D25,Raw_Data_MR!F25)</f>
        <v/>
      </c>
      <c r="G25" s="17">
        <f>MEDIAN(Raw_Data_MR!C25,Raw_Data_MR!D25,Raw_Data_MR!E25)</f>
        <v/>
      </c>
      <c r="H25" s="17">
        <f>MEDIAN(Raw_Data_MR!H25,Raw_Data_MR!I25,Raw_Data_MR!J25,Raw_Data_MR!K25)</f>
        <v/>
      </c>
      <c r="I25" s="17">
        <f>MEDIAN(Raw_Data_MR!G25,Raw_Data_MR!I25,Raw_Data_MR!J25,Raw_Data_MR!K25)</f>
        <v/>
      </c>
      <c r="J25" s="17">
        <f>MEDIAN(Raw_Data_MR!G25,Raw_Data_MR!H25,Raw_Data_MR!J25,Raw_Data_MR!K25)</f>
        <v/>
      </c>
      <c r="K25" s="17">
        <f>MEDIAN(Raw_Data_MR!G25,Raw_Data_MR!H25,Raw_Data_MR!I25,Raw_Data_MR!K25)</f>
        <v/>
      </c>
      <c r="L25" s="17">
        <f>MEDIAN(Raw_Data_MR!G25,Raw_Data_MR!H25,Raw_Data_MR!I25,Raw_Data_MR!J25)</f>
        <v/>
      </c>
      <c r="M25" s="31">
        <f>Raw_Data_MR!C25/MAX(D25,cfg_mr_partner_clip)</f>
        <v/>
      </c>
      <c r="N25" s="31">
        <f>Raw_Data_MR!D25/MAX(E25,cfg_mr_partner_clip)</f>
        <v/>
      </c>
      <c r="O25" s="31">
        <f>Raw_Data_MR!E25/MAX(F25,cfg_mr_partner_clip)</f>
        <v/>
      </c>
      <c r="P25" s="31">
        <f>Raw_Data_MR!F25/MAX(G25,cfg_mr_partner_clip)</f>
        <v/>
      </c>
      <c r="Q25" s="31">
        <f>Raw_Data_MR!G25/MAX(H25,cfg_mr_partner_clip)</f>
        <v/>
      </c>
      <c r="R25" s="31">
        <f>Raw_Data_MR!H25/MAX(I25,cfg_mr_partner_clip)</f>
        <v/>
      </c>
      <c r="S25" s="31">
        <f>Raw_Data_MR!I25/MAX(J25,cfg_mr_partner_clip)</f>
        <v/>
      </c>
      <c r="T25" s="31">
        <f>Raw_Data_MR!J25/MAX(K25,cfg_mr_partner_clip)</f>
        <v/>
      </c>
      <c r="U25" s="31">
        <f>Raw_Data_MR!K25/MAX(L25,cfg_mr_partner_clip)</f>
        <v/>
      </c>
      <c r="V25" s="5">
        <f>IF(AND(M25&lt;cfg_mr_ratio_threshold,$C25=1),1,0)</f>
        <v/>
      </c>
      <c r="W25" s="5">
        <f>IF(AND(N25&lt;cfg_mr_ratio_threshold,$C25=1),1,0)</f>
        <v/>
      </c>
      <c r="X25" s="5">
        <f>IF(AND(O25&lt;cfg_mr_ratio_threshold,$C25=1),1,0)</f>
        <v/>
      </c>
      <c r="Y25" s="5">
        <f>IF(AND(P25&lt;cfg_mr_ratio_threshold,$C25=1),1,0)</f>
        <v/>
      </c>
      <c r="Z25" s="5">
        <f>IF(AND(Q25&lt;cfg_mr_ratio_threshold,$C25=1),1,0)</f>
        <v/>
      </c>
      <c r="AA25" s="5">
        <f>IF(AND(R25&lt;cfg_mr_ratio_threshold,$C25=1),1,0)</f>
        <v/>
      </c>
      <c r="AB25" s="5">
        <f>IF(AND(S25&lt;cfg_mr_ratio_threshold,$C25=1),1,0)</f>
        <v/>
      </c>
      <c r="AC25" s="5">
        <f>IF(AND(T25&lt;cfg_mr_ratio_threshold,$C25=1),1,0)</f>
        <v/>
      </c>
      <c r="AD25" s="5">
        <f>IF(AND(U25&lt;cfg_mr_ratio_threshold,$C25=1),1,0)</f>
        <v/>
      </c>
      <c r="AE25" s="5">
        <f>IF(V25=1,AE24+1,0)</f>
        <v/>
      </c>
      <c r="AF25" s="5">
        <f>IF(W25=1,AF24+1,0)</f>
        <v/>
      </c>
      <c r="AG25" s="5">
        <f>IF(X25=1,AG24+1,0)</f>
        <v/>
      </c>
      <c r="AH25" s="5">
        <f>IF(Y25=1,AH24+1,0)</f>
        <v/>
      </c>
      <c r="AI25" s="5">
        <f>IF(Z25=1,AI24+1,0)</f>
        <v/>
      </c>
      <c r="AJ25" s="5">
        <f>IF(AA25=1,AJ24+1,0)</f>
        <v/>
      </c>
      <c r="AK25" s="5">
        <f>IF(AB25=1,AK24+1,0)</f>
        <v/>
      </c>
      <c r="AL25" s="5">
        <f>IF(AC25=1,AL24+1,0)</f>
        <v/>
      </c>
      <c r="AM25" s="5">
        <f>IF(AD25=1,AM24+1,0)</f>
        <v/>
      </c>
    </row>
    <row r="26">
      <c r="A26" s="40">
        <f>Raw_Data_MR!A26</f>
        <v/>
      </c>
      <c r="B26" s="5">
        <f>Raw_Data_MR!B26</f>
        <v/>
      </c>
      <c r="C26" s="5">
        <f>IF(AND(B26&gt;cfg_mr_poa_threshold_wm2,B26&gt;cfg_mr_poa_floor_wm2),1,0)</f>
        <v/>
      </c>
      <c r="D26" s="17">
        <f>MEDIAN(Raw_Data_MR!D26,Raw_Data_MR!E26,Raw_Data_MR!F26)</f>
        <v/>
      </c>
      <c r="E26" s="17">
        <f>MEDIAN(Raw_Data_MR!C26,Raw_Data_MR!E26,Raw_Data_MR!F26)</f>
        <v/>
      </c>
      <c r="F26" s="17">
        <f>MEDIAN(Raw_Data_MR!C26,Raw_Data_MR!D26,Raw_Data_MR!F26)</f>
        <v/>
      </c>
      <c r="G26" s="17">
        <f>MEDIAN(Raw_Data_MR!C26,Raw_Data_MR!D26,Raw_Data_MR!E26)</f>
        <v/>
      </c>
      <c r="H26" s="17">
        <f>MEDIAN(Raw_Data_MR!H26,Raw_Data_MR!I26,Raw_Data_MR!J26,Raw_Data_MR!K26)</f>
        <v/>
      </c>
      <c r="I26" s="17">
        <f>MEDIAN(Raw_Data_MR!G26,Raw_Data_MR!I26,Raw_Data_MR!J26,Raw_Data_MR!K26)</f>
        <v/>
      </c>
      <c r="J26" s="17">
        <f>MEDIAN(Raw_Data_MR!G26,Raw_Data_MR!H26,Raw_Data_MR!J26,Raw_Data_MR!K26)</f>
        <v/>
      </c>
      <c r="K26" s="17">
        <f>MEDIAN(Raw_Data_MR!G26,Raw_Data_MR!H26,Raw_Data_MR!I26,Raw_Data_MR!K26)</f>
        <v/>
      </c>
      <c r="L26" s="17">
        <f>MEDIAN(Raw_Data_MR!G26,Raw_Data_MR!H26,Raw_Data_MR!I26,Raw_Data_MR!J26)</f>
        <v/>
      </c>
      <c r="M26" s="31">
        <f>Raw_Data_MR!C26/MAX(D26,cfg_mr_partner_clip)</f>
        <v/>
      </c>
      <c r="N26" s="31">
        <f>Raw_Data_MR!D26/MAX(E26,cfg_mr_partner_clip)</f>
        <v/>
      </c>
      <c r="O26" s="31">
        <f>Raw_Data_MR!E26/MAX(F26,cfg_mr_partner_clip)</f>
        <v/>
      </c>
      <c r="P26" s="31">
        <f>Raw_Data_MR!F26/MAX(G26,cfg_mr_partner_clip)</f>
        <v/>
      </c>
      <c r="Q26" s="31">
        <f>Raw_Data_MR!G26/MAX(H26,cfg_mr_partner_clip)</f>
        <v/>
      </c>
      <c r="R26" s="31">
        <f>Raw_Data_MR!H26/MAX(I26,cfg_mr_partner_clip)</f>
        <v/>
      </c>
      <c r="S26" s="31">
        <f>Raw_Data_MR!I26/MAX(J26,cfg_mr_partner_clip)</f>
        <v/>
      </c>
      <c r="T26" s="31">
        <f>Raw_Data_MR!J26/MAX(K26,cfg_mr_partner_clip)</f>
        <v/>
      </c>
      <c r="U26" s="31">
        <f>Raw_Data_MR!K26/MAX(L26,cfg_mr_partner_clip)</f>
        <v/>
      </c>
      <c r="V26" s="5">
        <f>IF(AND(M26&lt;cfg_mr_ratio_threshold,$C26=1),1,0)</f>
        <v/>
      </c>
      <c r="W26" s="5">
        <f>IF(AND(N26&lt;cfg_mr_ratio_threshold,$C26=1),1,0)</f>
        <v/>
      </c>
      <c r="X26" s="5">
        <f>IF(AND(O26&lt;cfg_mr_ratio_threshold,$C26=1),1,0)</f>
        <v/>
      </c>
      <c r="Y26" s="5">
        <f>IF(AND(P26&lt;cfg_mr_ratio_threshold,$C26=1),1,0)</f>
        <v/>
      </c>
      <c r="Z26" s="5">
        <f>IF(AND(Q26&lt;cfg_mr_ratio_threshold,$C26=1),1,0)</f>
        <v/>
      </c>
      <c r="AA26" s="5">
        <f>IF(AND(R26&lt;cfg_mr_ratio_threshold,$C26=1),1,0)</f>
        <v/>
      </c>
      <c r="AB26" s="5">
        <f>IF(AND(S26&lt;cfg_mr_ratio_threshold,$C26=1),1,0)</f>
        <v/>
      </c>
      <c r="AC26" s="5">
        <f>IF(AND(T26&lt;cfg_mr_ratio_threshold,$C26=1),1,0)</f>
        <v/>
      </c>
      <c r="AD26" s="5">
        <f>IF(AND(U26&lt;cfg_mr_ratio_threshold,$C26=1),1,0)</f>
        <v/>
      </c>
      <c r="AE26" s="5">
        <f>IF(V26=1,AE25+1,0)</f>
        <v/>
      </c>
      <c r="AF26" s="5">
        <f>IF(W26=1,AF25+1,0)</f>
        <v/>
      </c>
      <c r="AG26" s="5">
        <f>IF(X26=1,AG25+1,0)</f>
        <v/>
      </c>
      <c r="AH26" s="5">
        <f>IF(Y26=1,AH25+1,0)</f>
        <v/>
      </c>
      <c r="AI26" s="5">
        <f>IF(Z26=1,AI25+1,0)</f>
        <v/>
      </c>
      <c r="AJ26" s="5">
        <f>IF(AA26=1,AJ25+1,0)</f>
        <v/>
      </c>
      <c r="AK26" s="5">
        <f>IF(AB26=1,AK25+1,0)</f>
        <v/>
      </c>
      <c r="AL26" s="5">
        <f>IF(AC26=1,AL25+1,0)</f>
        <v/>
      </c>
      <c r="AM26" s="5">
        <f>IF(AD26=1,AM25+1,0)</f>
        <v/>
      </c>
    </row>
    <row r="27">
      <c r="A27" s="40">
        <f>Raw_Data_MR!A27</f>
        <v/>
      </c>
      <c r="B27" s="5">
        <f>Raw_Data_MR!B27</f>
        <v/>
      </c>
      <c r="C27" s="5">
        <f>IF(AND(B27&gt;cfg_mr_poa_threshold_wm2,B27&gt;cfg_mr_poa_floor_wm2),1,0)</f>
        <v/>
      </c>
      <c r="D27" s="17">
        <f>MEDIAN(Raw_Data_MR!D27,Raw_Data_MR!E27,Raw_Data_MR!F27)</f>
        <v/>
      </c>
      <c r="E27" s="17">
        <f>MEDIAN(Raw_Data_MR!C27,Raw_Data_MR!E27,Raw_Data_MR!F27)</f>
        <v/>
      </c>
      <c r="F27" s="17">
        <f>MEDIAN(Raw_Data_MR!C27,Raw_Data_MR!D27,Raw_Data_MR!F27)</f>
        <v/>
      </c>
      <c r="G27" s="17">
        <f>MEDIAN(Raw_Data_MR!C27,Raw_Data_MR!D27,Raw_Data_MR!E27)</f>
        <v/>
      </c>
      <c r="H27" s="17">
        <f>MEDIAN(Raw_Data_MR!H27,Raw_Data_MR!I27,Raw_Data_MR!J27,Raw_Data_MR!K27)</f>
        <v/>
      </c>
      <c r="I27" s="17">
        <f>MEDIAN(Raw_Data_MR!G27,Raw_Data_MR!I27,Raw_Data_MR!J27,Raw_Data_MR!K27)</f>
        <v/>
      </c>
      <c r="J27" s="17">
        <f>MEDIAN(Raw_Data_MR!G27,Raw_Data_MR!H27,Raw_Data_MR!J27,Raw_Data_MR!K27)</f>
        <v/>
      </c>
      <c r="K27" s="17">
        <f>MEDIAN(Raw_Data_MR!G27,Raw_Data_MR!H27,Raw_Data_MR!I27,Raw_Data_MR!K27)</f>
        <v/>
      </c>
      <c r="L27" s="17">
        <f>MEDIAN(Raw_Data_MR!G27,Raw_Data_MR!H27,Raw_Data_MR!I27,Raw_Data_MR!J27)</f>
        <v/>
      </c>
      <c r="M27" s="31">
        <f>Raw_Data_MR!C27/MAX(D27,cfg_mr_partner_clip)</f>
        <v/>
      </c>
      <c r="N27" s="31">
        <f>Raw_Data_MR!D27/MAX(E27,cfg_mr_partner_clip)</f>
        <v/>
      </c>
      <c r="O27" s="31">
        <f>Raw_Data_MR!E27/MAX(F27,cfg_mr_partner_clip)</f>
        <v/>
      </c>
      <c r="P27" s="31">
        <f>Raw_Data_MR!F27/MAX(G27,cfg_mr_partner_clip)</f>
        <v/>
      </c>
      <c r="Q27" s="31">
        <f>Raw_Data_MR!G27/MAX(H27,cfg_mr_partner_clip)</f>
        <v/>
      </c>
      <c r="R27" s="31">
        <f>Raw_Data_MR!H27/MAX(I27,cfg_mr_partner_clip)</f>
        <v/>
      </c>
      <c r="S27" s="31">
        <f>Raw_Data_MR!I27/MAX(J27,cfg_mr_partner_clip)</f>
        <v/>
      </c>
      <c r="T27" s="31">
        <f>Raw_Data_MR!J27/MAX(K27,cfg_mr_partner_clip)</f>
        <v/>
      </c>
      <c r="U27" s="31">
        <f>Raw_Data_MR!K27/MAX(L27,cfg_mr_partner_clip)</f>
        <v/>
      </c>
      <c r="V27" s="5">
        <f>IF(AND(M27&lt;cfg_mr_ratio_threshold,$C27=1),1,0)</f>
        <v/>
      </c>
      <c r="W27" s="5">
        <f>IF(AND(N27&lt;cfg_mr_ratio_threshold,$C27=1),1,0)</f>
        <v/>
      </c>
      <c r="X27" s="5">
        <f>IF(AND(O27&lt;cfg_mr_ratio_threshold,$C27=1),1,0)</f>
        <v/>
      </c>
      <c r="Y27" s="5">
        <f>IF(AND(P27&lt;cfg_mr_ratio_threshold,$C27=1),1,0)</f>
        <v/>
      </c>
      <c r="Z27" s="5">
        <f>IF(AND(Q27&lt;cfg_mr_ratio_threshold,$C27=1),1,0)</f>
        <v/>
      </c>
      <c r="AA27" s="5">
        <f>IF(AND(R27&lt;cfg_mr_ratio_threshold,$C27=1),1,0)</f>
        <v/>
      </c>
      <c r="AB27" s="5">
        <f>IF(AND(S27&lt;cfg_mr_ratio_threshold,$C27=1),1,0)</f>
        <v/>
      </c>
      <c r="AC27" s="5">
        <f>IF(AND(T27&lt;cfg_mr_ratio_threshold,$C27=1),1,0)</f>
        <v/>
      </c>
      <c r="AD27" s="5">
        <f>IF(AND(U27&lt;cfg_mr_ratio_threshold,$C27=1),1,0)</f>
        <v/>
      </c>
      <c r="AE27" s="5">
        <f>IF(V27=1,AE26+1,0)</f>
        <v/>
      </c>
      <c r="AF27" s="5">
        <f>IF(W27=1,AF26+1,0)</f>
        <v/>
      </c>
      <c r="AG27" s="5">
        <f>IF(X27=1,AG26+1,0)</f>
        <v/>
      </c>
      <c r="AH27" s="5">
        <f>IF(Y27=1,AH26+1,0)</f>
        <v/>
      </c>
      <c r="AI27" s="5">
        <f>IF(Z27=1,AI26+1,0)</f>
        <v/>
      </c>
      <c r="AJ27" s="5">
        <f>IF(AA27=1,AJ26+1,0)</f>
        <v/>
      </c>
      <c r="AK27" s="5">
        <f>IF(AB27=1,AK26+1,0)</f>
        <v/>
      </c>
      <c r="AL27" s="5">
        <f>IF(AC27=1,AL26+1,0)</f>
        <v/>
      </c>
      <c r="AM27" s="5">
        <f>IF(AD27=1,AM26+1,0)</f>
        <v/>
      </c>
    </row>
    <row r="28">
      <c r="A28" s="40">
        <f>Raw_Data_MR!A28</f>
        <v/>
      </c>
      <c r="B28" s="5">
        <f>Raw_Data_MR!B28</f>
        <v/>
      </c>
      <c r="C28" s="5">
        <f>IF(AND(B28&gt;cfg_mr_poa_threshold_wm2,B28&gt;cfg_mr_poa_floor_wm2),1,0)</f>
        <v/>
      </c>
      <c r="D28" s="17">
        <f>MEDIAN(Raw_Data_MR!D28,Raw_Data_MR!E28,Raw_Data_MR!F28)</f>
        <v/>
      </c>
      <c r="E28" s="17">
        <f>MEDIAN(Raw_Data_MR!C28,Raw_Data_MR!E28,Raw_Data_MR!F28)</f>
        <v/>
      </c>
      <c r="F28" s="17">
        <f>MEDIAN(Raw_Data_MR!C28,Raw_Data_MR!D28,Raw_Data_MR!F28)</f>
        <v/>
      </c>
      <c r="G28" s="17">
        <f>MEDIAN(Raw_Data_MR!C28,Raw_Data_MR!D28,Raw_Data_MR!E28)</f>
        <v/>
      </c>
      <c r="H28" s="17">
        <f>MEDIAN(Raw_Data_MR!H28,Raw_Data_MR!I28,Raw_Data_MR!J28,Raw_Data_MR!K28)</f>
        <v/>
      </c>
      <c r="I28" s="17">
        <f>MEDIAN(Raw_Data_MR!G28,Raw_Data_MR!I28,Raw_Data_MR!J28,Raw_Data_MR!K28)</f>
        <v/>
      </c>
      <c r="J28" s="17">
        <f>MEDIAN(Raw_Data_MR!G28,Raw_Data_MR!H28,Raw_Data_MR!J28,Raw_Data_MR!K28)</f>
        <v/>
      </c>
      <c r="K28" s="17">
        <f>MEDIAN(Raw_Data_MR!G28,Raw_Data_MR!H28,Raw_Data_MR!I28,Raw_Data_MR!K28)</f>
        <v/>
      </c>
      <c r="L28" s="17">
        <f>MEDIAN(Raw_Data_MR!G28,Raw_Data_MR!H28,Raw_Data_MR!I28,Raw_Data_MR!J28)</f>
        <v/>
      </c>
      <c r="M28" s="31">
        <f>Raw_Data_MR!C28/MAX(D28,cfg_mr_partner_clip)</f>
        <v/>
      </c>
      <c r="N28" s="31">
        <f>Raw_Data_MR!D28/MAX(E28,cfg_mr_partner_clip)</f>
        <v/>
      </c>
      <c r="O28" s="31">
        <f>Raw_Data_MR!E28/MAX(F28,cfg_mr_partner_clip)</f>
        <v/>
      </c>
      <c r="P28" s="31">
        <f>Raw_Data_MR!F28/MAX(G28,cfg_mr_partner_clip)</f>
        <v/>
      </c>
      <c r="Q28" s="31">
        <f>Raw_Data_MR!G28/MAX(H28,cfg_mr_partner_clip)</f>
        <v/>
      </c>
      <c r="R28" s="31">
        <f>Raw_Data_MR!H28/MAX(I28,cfg_mr_partner_clip)</f>
        <v/>
      </c>
      <c r="S28" s="31">
        <f>Raw_Data_MR!I28/MAX(J28,cfg_mr_partner_clip)</f>
        <v/>
      </c>
      <c r="T28" s="31">
        <f>Raw_Data_MR!J28/MAX(K28,cfg_mr_partner_clip)</f>
        <v/>
      </c>
      <c r="U28" s="31">
        <f>Raw_Data_MR!K28/MAX(L28,cfg_mr_partner_clip)</f>
        <v/>
      </c>
      <c r="V28" s="5">
        <f>IF(AND(M28&lt;cfg_mr_ratio_threshold,$C28=1),1,0)</f>
        <v/>
      </c>
      <c r="W28" s="5">
        <f>IF(AND(N28&lt;cfg_mr_ratio_threshold,$C28=1),1,0)</f>
        <v/>
      </c>
      <c r="X28" s="5">
        <f>IF(AND(O28&lt;cfg_mr_ratio_threshold,$C28=1),1,0)</f>
        <v/>
      </c>
      <c r="Y28" s="5">
        <f>IF(AND(P28&lt;cfg_mr_ratio_threshold,$C28=1),1,0)</f>
        <v/>
      </c>
      <c r="Z28" s="5">
        <f>IF(AND(Q28&lt;cfg_mr_ratio_threshold,$C28=1),1,0)</f>
        <v/>
      </c>
      <c r="AA28" s="5">
        <f>IF(AND(R28&lt;cfg_mr_ratio_threshold,$C28=1),1,0)</f>
        <v/>
      </c>
      <c r="AB28" s="5">
        <f>IF(AND(S28&lt;cfg_mr_ratio_threshold,$C28=1),1,0)</f>
        <v/>
      </c>
      <c r="AC28" s="5">
        <f>IF(AND(T28&lt;cfg_mr_ratio_threshold,$C28=1),1,0)</f>
        <v/>
      </c>
      <c r="AD28" s="5">
        <f>IF(AND(U28&lt;cfg_mr_ratio_threshold,$C28=1),1,0)</f>
        <v/>
      </c>
      <c r="AE28" s="5">
        <f>IF(V28=1,AE27+1,0)</f>
        <v/>
      </c>
      <c r="AF28" s="5">
        <f>IF(W28=1,AF27+1,0)</f>
        <v/>
      </c>
      <c r="AG28" s="5">
        <f>IF(X28=1,AG27+1,0)</f>
        <v/>
      </c>
      <c r="AH28" s="5">
        <f>IF(Y28=1,AH27+1,0)</f>
        <v/>
      </c>
      <c r="AI28" s="5">
        <f>IF(Z28=1,AI27+1,0)</f>
        <v/>
      </c>
      <c r="AJ28" s="5">
        <f>IF(AA28=1,AJ27+1,0)</f>
        <v/>
      </c>
      <c r="AK28" s="5">
        <f>IF(AB28=1,AK27+1,0)</f>
        <v/>
      </c>
      <c r="AL28" s="5">
        <f>IF(AC28=1,AL27+1,0)</f>
        <v/>
      </c>
      <c r="AM28" s="5">
        <f>IF(AD28=1,AM27+1,0)</f>
        <v/>
      </c>
    </row>
    <row r="29">
      <c r="A29" s="40">
        <f>Raw_Data_MR!A29</f>
        <v/>
      </c>
      <c r="B29" s="5">
        <f>Raw_Data_MR!B29</f>
        <v/>
      </c>
      <c r="C29" s="5">
        <f>IF(AND(B29&gt;cfg_mr_poa_threshold_wm2,B29&gt;cfg_mr_poa_floor_wm2),1,0)</f>
        <v/>
      </c>
      <c r="D29" s="17">
        <f>MEDIAN(Raw_Data_MR!D29,Raw_Data_MR!E29,Raw_Data_MR!F29)</f>
        <v/>
      </c>
      <c r="E29" s="17">
        <f>MEDIAN(Raw_Data_MR!C29,Raw_Data_MR!E29,Raw_Data_MR!F29)</f>
        <v/>
      </c>
      <c r="F29" s="17">
        <f>MEDIAN(Raw_Data_MR!C29,Raw_Data_MR!D29,Raw_Data_MR!F29)</f>
        <v/>
      </c>
      <c r="G29" s="17">
        <f>MEDIAN(Raw_Data_MR!C29,Raw_Data_MR!D29,Raw_Data_MR!E29)</f>
        <v/>
      </c>
      <c r="H29" s="17">
        <f>MEDIAN(Raw_Data_MR!H29,Raw_Data_MR!I29,Raw_Data_MR!J29,Raw_Data_MR!K29)</f>
        <v/>
      </c>
      <c r="I29" s="17">
        <f>MEDIAN(Raw_Data_MR!G29,Raw_Data_MR!I29,Raw_Data_MR!J29,Raw_Data_MR!K29)</f>
        <v/>
      </c>
      <c r="J29" s="17">
        <f>MEDIAN(Raw_Data_MR!G29,Raw_Data_MR!H29,Raw_Data_MR!J29,Raw_Data_MR!K29)</f>
        <v/>
      </c>
      <c r="K29" s="17">
        <f>MEDIAN(Raw_Data_MR!G29,Raw_Data_MR!H29,Raw_Data_MR!I29,Raw_Data_MR!K29)</f>
        <v/>
      </c>
      <c r="L29" s="17">
        <f>MEDIAN(Raw_Data_MR!G29,Raw_Data_MR!H29,Raw_Data_MR!I29,Raw_Data_MR!J29)</f>
        <v/>
      </c>
      <c r="M29" s="31">
        <f>Raw_Data_MR!C29/MAX(D29,cfg_mr_partner_clip)</f>
        <v/>
      </c>
      <c r="N29" s="31">
        <f>Raw_Data_MR!D29/MAX(E29,cfg_mr_partner_clip)</f>
        <v/>
      </c>
      <c r="O29" s="31">
        <f>Raw_Data_MR!E29/MAX(F29,cfg_mr_partner_clip)</f>
        <v/>
      </c>
      <c r="P29" s="31">
        <f>Raw_Data_MR!F29/MAX(G29,cfg_mr_partner_clip)</f>
        <v/>
      </c>
      <c r="Q29" s="31">
        <f>Raw_Data_MR!G29/MAX(H29,cfg_mr_partner_clip)</f>
        <v/>
      </c>
      <c r="R29" s="31">
        <f>Raw_Data_MR!H29/MAX(I29,cfg_mr_partner_clip)</f>
        <v/>
      </c>
      <c r="S29" s="31">
        <f>Raw_Data_MR!I29/MAX(J29,cfg_mr_partner_clip)</f>
        <v/>
      </c>
      <c r="T29" s="31">
        <f>Raw_Data_MR!J29/MAX(K29,cfg_mr_partner_clip)</f>
        <v/>
      </c>
      <c r="U29" s="31">
        <f>Raw_Data_MR!K29/MAX(L29,cfg_mr_partner_clip)</f>
        <v/>
      </c>
      <c r="V29" s="5">
        <f>IF(AND(M29&lt;cfg_mr_ratio_threshold,$C29=1),1,0)</f>
        <v/>
      </c>
      <c r="W29" s="5">
        <f>IF(AND(N29&lt;cfg_mr_ratio_threshold,$C29=1),1,0)</f>
        <v/>
      </c>
      <c r="X29" s="5">
        <f>IF(AND(O29&lt;cfg_mr_ratio_threshold,$C29=1),1,0)</f>
        <v/>
      </c>
      <c r="Y29" s="5">
        <f>IF(AND(P29&lt;cfg_mr_ratio_threshold,$C29=1),1,0)</f>
        <v/>
      </c>
      <c r="Z29" s="5">
        <f>IF(AND(Q29&lt;cfg_mr_ratio_threshold,$C29=1),1,0)</f>
        <v/>
      </c>
      <c r="AA29" s="5">
        <f>IF(AND(R29&lt;cfg_mr_ratio_threshold,$C29=1),1,0)</f>
        <v/>
      </c>
      <c r="AB29" s="5">
        <f>IF(AND(S29&lt;cfg_mr_ratio_threshold,$C29=1),1,0)</f>
        <v/>
      </c>
      <c r="AC29" s="5">
        <f>IF(AND(T29&lt;cfg_mr_ratio_threshold,$C29=1),1,0)</f>
        <v/>
      </c>
      <c r="AD29" s="5">
        <f>IF(AND(U29&lt;cfg_mr_ratio_threshold,$C29=1),1,0)</f>
        <v/>
      </c>
      <c r="AE29" s="5">
        <f>IF(V29=1,AE28+1,0)</f>
        <v/>
      </c>
      <c r="AF29" s="5">
        <f>IF(W29=1,AF28+1,0)</f>
        <v/>
      </c>
      <c r="AG29" s="5">
        <f>IF(X29=1,AG28+1,0)</f>
        <v/>
      </c>
      <c r="AH29" s="5">
        <f>IF(Y29=1,AH28+1,0)</f>
        <v/>
      </c>
      <c r="AI29" s="5">
        <f>IF(Z29=1,AI28+1,0)</f>
        <v/>
      </c>
      <c r="AJ29" s="5">
        <f>IF(AA29=1,AJ28+1,0)</f>
        <v/>
      </c>
      <c r="AK29" s="5">
        <f>IF(AB29=1,AK28+1,0)</f>
        <v/>
      </c>
      <c r="AL29" s="5">
        <f>IF(AC29=1,AL28+1,0)</f>
        <v/>
      </c>
      <c r="AM29" s="5">
        <f>IF(AD29=1,AM28+1,0)</f>
        <v/>
      </c>
    </row>
    <row r="30">
      <c r="A30" s="40">
        <f>Raw_Data_MR!A30</f>
        <v/>
      </c>
      <c r="B30" s="5">
        <f>Raw_Data_MR!B30</f>
        <v/>
      </c>
      <c r="C30" s="5">
        <f>IF(AND(B30&gt;cfg_mr_poa_threshold_wm2,B30&gt;cfg_mr_poa_floor_wm2),1,0)</f>
        <v/>
      </c>
      <c r="D30" s="17">
        <f>MEDIAN(Raw_Data_MR!D30,Raw_Data_MR!E30,Raw_Data_MR!F30)</f>
        <v/>
      </c>
      <c r="E30" s="17">
        <f>MEDIAN(Raw_Data_MR!C30,Raw_Data_MR!E30,Raw_Data_MR!F30)</f>
        <v/>
      </c>
      <c r="F30" s="17">
        <f>MEDIAN(Raw_Data_MR!C30,Raw_Data_MR!D30,Raw_Data_MR!F30)</f>
        <v/>
      </c>
      <c r="G30" s="17">
        <f>MEDIAN(Raw_Data_MR!C30,Raw_Data_MR!D30,Raw_Data_MR!E30)</f>
        <v/>
      </c>
      <c r="H30" s="17">
        <f>MEDIAN(Raw_Data_MR!H30,Raw_Data_MR!I30,Raw_Data_MR!J30,Raw_Data_MR!K30)</f>
        <v/>
      </c>
      <c r="I30" s="17">
        <f>MEDIAN(Raw_Data_MR!G30,Raw_Data_MR!I30,Raw_Data_MR!J30,Raw_Data_MR!K30)</f>
        <v/>
      </c>
      <c r="J30" s="17">
        <f>MEDIAN(Raw_Data_MR!G30,Raw_Data_MR!H30,Raw_Data_MR!J30,Raw_Data_MR!K30)</f>
        <v/>
      </c>
      <c r="K30" s="17">
        <f>MEDIAN(Raw_Data_MR!G30,Raw_Data_MR!H30,Raw_Data_MR!I30,Raw_Data_MR!K30)</f>
        <v/>
      </c>
      <c r="L30" s="17">
        <f>MEDIAN(Raw_Data_MR!G30,Raw_Data_MR!H30,Raw_Data_MR!I30,Raw_Data_MR!J30)</f>
        <v/>
      </c>
      <c r="M30" s="31">
        <f>Raw_Data_MR!C30/MAX(D30,cfg_mr_partner_clip)</f>
        <v/>
      </c>
      <c r="N30" s="31">
        <f>Raw_Data_MR!D30/MAX(E30,cfg_mr_partner_clip)</f>
        <v/>
      </c>
      <c r="O30" s="31">
        <f>Raw_Data_MR!E30/MAX(F30,cfg_mr_partner_clip)</f>
        <v/>
      </c>
      <c r="P30" s="31">
        <f>Raw_Data_MR!F30/MAX(G30,cfg_mr_partner_clip)</f>
        <v/>
      </c>
      <c r="Q30" s="31">
        <f>Raw_Data_MR!G30/MAX(H30,cfg_mr_partner_clip)</f>
        <v/>
      </c>
      <c r="R30" s="31">
        <f>Raw_Data_MR!H30/MAX(I30,cfg_mr_partner_clip)</f>
        <v/>
      </c>
      <c r="S30" s="31">
        <f>Raw_Data_MR!I30/MAX(J30,cfg_mr_partner_clip)</f>
        <v/>
      </c>
      <c r="T30" s="31">
        <f>Raw_Data_MR!J30/MAX(K30,cfg_mr_partner_clip)</f>
        <v/>
      </c>
      <c r="U30" s="31">
        <f>Raw_Data_MR!K30/MAX(L30,cfg_mr_partner_clip)</f>
        <v/>
      </c>
      <c r="V30" s="5">
        <f>IF(AND(M30&lt;cfg_mr_ratio_threshold,$C30=1),1,0)</f>
        <v/>
      </c>
      <c r="W30" s="5">
        <f>IF(AND(N30&lt;cfg_mr_ratio_threshold,$C30=1),1,0)</f>
        <v/>
      </c>
      <c r="X30" s="5">
        <f>IF(AND(O30&lt;cfg_mr_ratio_threshold,$C30=1),1,0)</f>
        <v/>
      </c>
      <c r="Y30" s="5">
        <f>IF(AND(P30&lt;cfg_mr_ratio_threshold,$C30=1),1,0)</f>
        <v/>
      </c>
      <c r="Z30" s="5">
        <f>IF(AND(Q30&lt;cfg_mr_ratio_threshold,$C30=1),1,0)</f>
        <v/>
      </c>
      <c r="AA30" s="5">
        <f>IF(AND(R30&lt;cfg_mr_ratio_threshold,$C30=1),1,0)</f>
        <v/>
      </c>
      <c r="AB30" s="5">
        <f>IF(AND(S30&lt;cfg_mr_ratio_threshold,$C30=1),1,0)</f>
        <v/>
      </c>
      <c r="AC30" s="5">
        <f>IF(AND(T30&lt;cfg_mr_ratio_threshold,$C30=1),1,0)</f>
        <v/>
      </c>
      <c r="AD30" s="5">
        <f>IF(AND(U30&lt;cfg_mr_ratio_threshold,$C30=1),1,0)</f>
        <v/>
      </c>
      <c r="AE30" s="5">
        <f>IF(V30=1,AE29+1,0)</f>
        <v/>
      </c>
      <c r="AF30" s="5">
        <f>IF(W30=1,AF29+1,0)</f>
        <v/>
      </c>
      <c r="AG30" s="5">
        <f>IF(X30=1,AG29+1,0)</f>
        <v/>
      </c>
      <c r="AH30" s="5">
        <f>IF(Y30=1,AH29+1,0)</f>
        <v/>
      </c>
      <c r="AI30" s="5">
        <f>IF(Z30=1,AI29+1,0)</f>
        <v/>
      </c>
      <c r="AJ30" s="5">
        <f>IF(AA30=1,AJ29+1,0)</f>
        <v/>
      </c>
      <c r="AK30" s="5">
        <f>IF(AB30=1,AK29+1,0)</f>
        <v/>
      </c>
      <c r="AL30" s="5">
        <f>IF(AC30=1,AL29+1,0)</f>
        <v/>
      </c>
      <c r="AM30" s="5">
        <f>IF(AD30=1,AM29+1,0)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8" customWidth="1" min="3" max="3"/>
    <col width="19" customWidth="1" min="4" max="4"/>
    <col width="26" customWidth="1" min="10" max="10"/>
  </cols>
  <sheetData>
    <row r="1">
      <c r="A1" s="23" t="inlineStr">
        <is>
          <t>M2b_MpptRatio — keputusan per string (LIVE)</t>
        </is>
      </c>
    </row>
    <row r="2">
      <c r="A2" s="24" t="inlineStr">
        <is>
          <t>value = ratio_median_daylight ; emit bila max_consec &gt;= cfg_mr_debounce_steps DAN bukan EMPTY.</t>
        </is>
      </c>
    </row>
    <row r="3">
      <c r="A3" s="24" t="inlineStr">
        <is>
          <t>severity: value&lt;critical CRIT | &lt;high HIGH | else MED. confidence = min(90,max(50,(1-value)*100)).</t>
        </is>
      </c>
    </row>
    <row r="4">
      <c r="A4" s="10" t="inlineStr">
        <is>
          <t>pv_string</t>
        </is>
      </c>
      <c r="B4" s="10" t="inlineStr">
        <is>
          <t>mppt</t>
        </is>
      </c>
      <c r="C4" s="10" t="inlineStr">
        <is>
          <t>partner_strings</t>
        </is>
      </c>
      <c r="D4" s="10" t="inlineStr">
        <is>
          <t>ratio_median_daylight</t>
        </is>
      </c>
      <c r="E4" s="10" t="inlineStr">
        <is>
          <t>max_consec</t>
        </is>
      </c>
      <c r="F4" s="10" t="inlineStr">
        <is>
          <t>empty_by_design</t>
        </is>
      </c>
      <c r="G4" s="10" t="inlineStr">
        <is>
          <t>emit</t>
        </is>
      </c>
      <c r="H4" s="10" t="inlineStr">
        <is>
          <t>severity</t>
        </is>
      </c>
      <c r="I4" s="10" t="inlineStr">
        <is>
          <t>confidence</t>
        </is>
      </c>
      <c r="J4" s="10" t="inlineStr">
        <is>
          <t>status</t>
        </is>
      </c>
    </row>
    <row r="5">
      <c r="A5" s="5" t="inlineStr">
        <is>
          <t>PV1</t>
        </is>
      </c>
      <c r="B5" s="5" t="n">
        <v>1</v>
      </c>
      <c r="C5" s="5" t="inlineStr">
        <is>
          <t>PV2, PV3, PV4</t>
        </is>
      </c>
      <c r="D5" s="31">
        <f>MEDIAN(Helpers_MR!M5:M28)</f>
        <v/>
      </c>
      <c r="E5" s="5">
        <f>MAX(Helpers_MR!AE5:AE30)</f>
        <v/>
      </c>
      <c r="F5" s="5" t="n">
        <v>0</v>
      </c>
      <c r="G5" s="5">
        <f>IF(AND(E5&gt;=cfg_mr_debounce_steps,F5=0),1,0)</f>
        <v/>
      </c>
      <c r="H5" s="5">
        <f>IF(G5=0,"",IF(D5&lt;cfg_mr_ratio_critical,"CRITICAL",IF(D5&lt;cfg_mr_ratio_high,"HIGH","MEDIUM")))</f>
        <v/>
      </c>
      <c r="I5" s="62">
        <f>IF(G5=0,"",MIN(90,MAX(50,(1-D5)*100)))</f>
        <v/>
      </c>
      <c r="J5" s="5">
        <f>IF(F5=1,"EMPTY",IF(G5=1,"mppt_partner_underperform","NORMAL"))</f>
        <v/>
      </c>
    </row>
    <row r="6">
      <c r="A6" s="5" t="inlineStr">
        <is>
          <t>PV2</t>
        </is>
      </c>
      <c r="B6" s="5" t="n">
        <v>1</v>
      </c>
      <c r="C6" s="5" t="inlineStr">
        <is>
          <t>PV1, PV3, PV4</t>
        </is>
      </c>
      <c r="D6" s="31">
        <f>MEDIAN(Helpers_MR!N5:N28)</f>
        <v/>
      </c>
      <c r="E6" s="5">
        <f>MAX(Helpers_MR!AF5:AF30)</f>
        <v/>
      </c>
      <c r="F6" s="5" t="n">
        <v>0</v>
      </c>
      <c r="G6" s="5">
        <f>IF(AND(E6&gt;=cfg_mr_debounce_steps,F6=0),1,0)</f>
        <v/>
      </c>
      <c r="H6" s="5">
        <f>IF(G6=0,"",IF(D6&lt;cfg_mr_ratio_critical,"CRITICAL",IF(D6&lt;cfg_mr_ratio_high,"HIGH","MEDIUM")))</f>
        <v/>
      </c>
      <c r="I6" s="62">
        <f>IF(G6=0,"",MIN(90,MAX(50,(1-D6)*100)))</f>
        <v/>
      </c>
      <c r="J6" s="5">
        <f>IF(F6=1,"EMPTY",IF(G6=1,"mppt_partner_underperform","NORMAL"))</f>
        <v/>
      </c>
    </row>
    <row r="7">
      <c r="A7" s="5" t="inlineStr">
        <is>
          <t>PV3</t>
        </is>
      </c>
      <c r="B7" s="5" t="n">
        <v>1</v>
      </c>
      <c r="C7" s="5" t="inlineStr">
        <is>
          <t>PV1, PV2, PV4</t>
        </is>
      </c>
      <c r="D7" s="31">
        <f>MEDIAN(Helpers_MR!O5:O28)</f>
        <v/>
      </c>
      <c r="E7" s="5">
        <f>MAX(Helpers_MR!AG5:AG30)</f>
        <v/>
      </c>
      <c r="F7" s="5" t="n">
        <v>0</v>
      </c>
      <c r="G7" s="5">
        <f>IF(AND(E7&gt;=cfg_mr_debounce_steps,F7=0),1,0)</f>
        <v/>
      </c>
      <c r="H7" s="5">
        <f>IF(G7=0,"",IF(D7&lt;cfg_mr_ratio_critical,"CRITICAL",IF(D7&lt;cfg_mr_ratio_high,"HIGH","MEDIUM")))</f>
        <v/>
      </c>
      <c r="I7" s="62">
        <f>IF(G7=0,"",MIN(90,MAX(50,(1-D7)*100)))</f>
        <v/>
      </c>
      <c r="J7" s="5">
        <f>IF(F7=1,"EMPTY",IF(G7=1,"mppt_partner_underperform","NORMAL"))</f>
        <v/>
      </c>
    </row>
    <row r="8">
      <c r="A8" s="5" t="inlineStr">
        <is>
          <t>PV4</t>
        </is>
      </c>
      <c r="B8" s="5" t="n">
        <v>1</v>
      </c>
      <c r="C8" s="5" t="inlineStr">
        <is>
          <t>PV1, PV2, PV3</t>
        </is>
      </c>
      <c r="D8" s="31">
        <f>MEDIAN(Helpers_MR!P5:P28)</f>
        <v/>
      </c>
      <c r="E8" s="5">
        <f>MAX(Helpers_MR!AH5:AH30)</f>
        <v/>
      </c>
      <c r="F8" s="5" t="n">
        <v>0</v>
      </c>
      <c r="G8" s="5">
        <f>IF(AND(E8&gt;=cfg_mr_debounce_steps,F8=0),1,0)</f>
        <v/>
      </c>
      <c r="H8" s="5">
        <f>IF(G8=0,"",IF(D8&lt;cfg_mr_ratio_critical,"CRITICAL",IF(D8&lt;cfg_mr_ratio_high,"HIGH","MEDIUM")))</f>
        <v/>
      </c>
      <c r="I8" s="62">
        <f>IF(G8=0,"",MIN(90,MAX(50,(1-D8)*100)))</f>
        <v/>
      </c>
      <c r="J8" s="5">
        <f>IF(F8=1,"EMPTY",IF(G8=1,"mppt_partner_underperform","NORMAL"))</f>
        <v/>
      </c>
    </row>
    <row r="9">
      <c r="A9" s="5" t="inlineStr">
        <is>
          <t>PV5</t>
        </is>
      </c>
      <c r="B9" s="5" t="n">
        <v>2</v>
      </c>
      <c r="C9" s="5" t="inlineStr">
        <is>
          <t>PV6, PV7, PV8, PV9</t>
        </is>
      </c>
      <c r="D9" s="31">
        <f>MEDIAN(Helpers_MR!Q5:Q28)</f>
        <v/>
      </c>
      <c r="E9" s="5">
        <f>MAX(Helpers_MR!AI5:AI30)</f>
        <v/>
      </c>
      <c r="F9" s="5" t="n">
        <v>0</v>
      </c>
      <c r="G9" s="5">
        <f>IF(AND(E9&gt;=cfg_mr_debounce_steps,F9=0),1,0)</f>
        <v/>
      </c>
      <c r="H9" s="5">
        <f>IF(G9=0,"",IF(D9&lt;cfg_mr_ratio_critical,"CRITICAL",IF(D9&lt;cfg_mr_ratio_high,"HIGH","MEDIUM")))</f>
        <v/>
      </c>
      <c r="I9" s="62">
        <f>IF(G9=0,"",MIN(90,MAX(50,(1-D9)*100)))</f>
        <v/>
      </c>
      <c r="J9" s="5">
        <f>IF(F9=1,"EMPTY",IF(G9=1,"mppt_partner_underperform","NORMAL"))</f>
        <v/>
      </c>
    </row>
    <row r="10">
      <c r="A10" s="5" t="inlineStr">
        <is>
          <t>PV6</t>
        </is>
      </c>
      <c r="B10" s="5" t="n">
        <v>2</v>
      </c>
      <c r="C10" s="5" t="inlineStr">
        <is>
          <t>PV5, PV7, PV8, PV9</t>
        </is>
      </c>
      <c r="D10" s="31">
        <f>MEDIAN(Helpers_MR!R5:R28)</f>
        <v/>
      </c>
      <c r="E10" s="5">
        <f>MAX(Helpers_MR!AJ5:AJ30)</f>
        <v/>
      </c>
      <c r="F10" s="5" t="n">
        <v>0</v>
      </c>
      <c r="G10" s="5">
        <f>IF(AND(E10&gt;=cfg_mr_debounce_steps,F10=0),1,0)</f>
        <v/>
      </c>
      <c r="H10" s="5">
        <f>IF(G10=0,"",IF(D10&lt;cfg_mr_ratio_critical,"CRITICAL",IF(D10&lt;cfg_mr_ratio_high,"HIGH","MEDIUM")))</f>
        <v/>
      </c>
      <c r="I10" s="62">
        <f>IF(G10=0,"",MIN(90,MAX(50,(1-D10)*100)))</f>
        <v/>
      </c>
      <c r="J10" s="5">
        <f>IF(F10=1,"EMPTY",IF(G10=1,"mppt_partner_underperform","NORMAL"))</f>
        <v/>
      </c>
    </row>
    <row r="11">
      <c r="A11" s="5" t="inlineStr">
        <is>
          <t>PV7</t>
        </is>
      </c>
      <c r="B11" s="5" t="n">
        <v>2</v>
      </c>
      <c r="C11" s="5" t="inlineStr">
        <is>
          <t>PV5, PV6, PV8, PV9</t>
        </is>
      </c>
      <c r="D11" s="31">
        <f>MEDIAN(Helpers_MR!S5:S28)</f>
        <v/>
      </c>
      <c r="E11" s="5">
        <f>MAX(Helpers_MR!AK5:AK30)</f>
        <v/>
      </c>
      <c r="F11" s="5" t="n">
        <v>0</v>
      </c>
      <c r="G11" s="5">
        <f>IF(AND(E11&gt;=cfg_mr_debounce_steps,F11=0),1,0)</f>
        <v/>
      </c>
      <c r="H11" s="5">
        <f>IF(G11=0,"",IF(D11&lt;cfg_mr_ratio_critical,"CRITICAL",IF(D11&lt;cfg_mr_ratio_high,"HIGH","MEDIUM")))</f>
        <v/>
      </c>
      <c r="I11" s="62">
        <f>IF(G11=0,"",MIN(90,MAX(50,(1-D11)*100)))</f>
        <v/>
      </c>
      <c r="J11" s="5">
        <f>IF(F11=1,"EMPTY",IF(G11=1,"mppt_partner_underperform","NORMAL"))</f>
        <v/>
      </c>
    </row>
    <row r="12">
      <c r="A12" s="5" t="inlineStr">
        <is>
          <t>PV8</t>
        </is>
      </c>
      <c r="B12" s="5" t="n">
        <v>2</v>
      </c>
      <c r="C12" s="5" t="inlineStr">
        <is>
          <t>PV5, PV6, PV7, PV9</t>
        </is>
      </c>
      <c r="D12" s="31">
        <f>MEDIAN(Helpers_MR!T5:T28)</f>
        <v/>
      </c>
      <c r="E12" s="5">
        <f>MAX(Helpers_MR!AL5:AL30)</f>
        <v/>
      </c>
      <c r="F12" s="5" t="n">
        <v>0</v>
      </c>
      <c r="G12" s="5">
        <f>IF(AND(E12&gt;=cfg_mr_debounce_steps,F12=0),1,0)</f>
        <v/>
      </c>
      <c r="H12" s="5">
        <f>IF(G12=0,"",IF(D12&lt;cfg_mr_ratio_critical,"CRITICAL",IF(D12&lt;cfg_mr_ratio_high,"HIGH","MEDIUM")))</f>
        <v/>
      </c>
      <c r="I12" s="62">
        <f>IF(G12=0,"",MIN(90,MAX(50,(1-D12)*100)))</f>
        <v/>
      </c>
      <c r="J12" s="5">
        <f>IF(F12=1,"EMPTY",IF(G12=1,"mppt_partner_underperform","NORMAL"))</f>
        <v/>
      </c>
    </row>
    <row r="13">
      <c r="A13" s="5" t="inlineStr">
        <is>
          <t>PV9</t>
        </is>
      </c>
      <c r="B13" s="5" t="n">
        <v>2</v>
      </c>
      <c r="C13" s="5" t="inlineStr">
        <is>
          <t>PV5, PV6, PV7, PV8</t>
        </is>
      </c>
      <c r="D13" s="31">
        <f>MEDIAN(Helpers_MR!U5:U28)</f>
        <v/>
      </c>
      <c r="E13" s="5">
        <f>MAX(Helpers_MR!AM5:AM30)</f>
        <v/>
      </c>
      <c r="F13" s="5" t="n">
        <v>0</v>
      </c>
      <c r="G13" s="5">
        <f>IF(AND(E13&gt;=cfg_mr_debounce_steps,F13=0),1,0)</f>
        <v/>
      </c>
      <c r="H13" s="5">
        <f>IF(G13=0,"",IF(D13&lt;cfg_mr_ratio_critical,"CRITICAL",IF(D13&lt;cfg_mr_ratio_high,"HIGH","MEDIUM")))</f>
        <v/>
      </c>
      <c r="I13" s="62">
        <f>IF(G13=0,"",MIN(90,MAX(50,(1-D13)*100)))</f>
        <v/>
      </c>
      <c r="J13" s="5">
        <f>IF(F13=1,"EMPTY",IF(G13=1,"mppt_partner_underperform","NORMAL"))</f>
        <v/>
      </c>
    </row>
  </sheetData>
  <conditionalFormatting sqref="H5:H13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7">
      <formula>"MEDIUM"</formula>
    </cfRule>
    <cfRule type="cellIs" priority="4" operator="equal" dxfId="4">
      <formula>"NORMAL"</formula>
    </cfRule>
    <cfRule type="cellIs" priority="5" operator="equal" dxfId="8">
      <formula>"EMPTY"</formula>
    </cfRule>
  </conditionalFormatting>
  <conditionalFormatting sqref="J5:J13">
    <cfRule type="cellIs" priority="6" operator="equal" dxfId="0">
      <formula>"mppt_partner_underperform"</formula>
    </cfRule>
    <cfRule type="cellIs" priority="7" operator="equal" dxfId="4">
      <formula>"NORMAL"</formula>
    </cfRule>
    <cfRule type="cellIs" priority="8" operator="equal" dxfId="8">
      <formula>"EMPTY"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6" max="6"/>
    <col width="18" customWidth="1" min="7" max="7"/>
  </cols>
  <sheetData>
    <row r="1">
      <c r="A1" s="23" t="inlineStr">
        <is>
          <t>M2b_MR_StringStatus — replika artifact StringStatus (mppt_ratio.py baris 341-355)</t>
        </is>
      </c>
    </row>
    <row r="2">
      <c r="A2" s="24" t="inlineStr">
        <is>
          <t>Kolom = field artifact Python. ratio_event_median == ratio_median_daylight untuk fault sustained (M2_RE_11 §5.3).</t>
        </is>
      </c>
    </row>
    <row r="4">
      <c r="A4" s="10" t="inlineStr">
        <is>
          <t>poa_source</t>
        </is>
      </c>
      <c r="B4" s="10" t="inlineStr">
        <is>
          <t>inverter_id</t>
        </is>
      </c>
      <c r="C4" s="10" t="inlineStr">
        <is>
          <t>wb_id</t>
        </is>
      </c>
      <c r="D4" s="10" t="inlineStr">
        <is>
          <t>pv_string</t>
        </is>
      </c>
      <c r="E4" s="10" t="inlineStr">
        <is>
          <t>mppt</t>
        </is>
      </c>
      <c r="F4" s="10" t="inlineStr">
        <is>
          <t>status</t>
        </is>
      </c>
      <c r="G4" s="10" t="inlineStr">
        <is>
          <t>partner_strings</t>
        </is>
      </c>
      <c r="H4" s="10" t="inlineStr">
        <is>
          <t>ratio_median_daylight</t>
        </is>
      </c>
      <c r="I4" s="10" t="inlineStr">
        <is>
          <t>ratio_event_median</t>
        </is>
      </c>
      <c r="J4" s="10" t="inlineStr">
        <is>
          <t>n_qualifying_steps</t>
        </is>
      </c>
      <c r="K4" s="10" t="inlineStr">
        <is>
          <t>n_debounced_events</t>
        </is>
      </c>
      <c r="L4" s="10" t="inlineStr">
        <is>
          <t>emitted_finding</t>
        </is>
      </c>
      <c r="M4" s="10" t="inlineStr">
        <is>
          <t>daylight_samples</t>
        </is>
      </c>
    </row>
    <row r="5">
      <c r="A5" s="5" t="inlineStr">
        <is>
          <t>pyranometer_per_ws</t>
        </is>
      </c>
      <c r="B5" s="5" t="inlineStr">
        <is>
          <t>WB05-INV05</t>
        </is>
      </c>
      <c r="C5" s="5" t="inlineStr">
        <is>
          <t>WB05</t>
        </is>
      </c>
      <c r="D5" s="5" t="inlineStr">
        <is>
          <t>PV1</t>
        </is>
      </c>
      <c r="E5" s="5" t="n">
        <v>1</v>
      </c>
      <c r="F5" s="5">
        <f>M2b_MpptRatio!J5</f>
        <v/>
      </c>
      <c r="G5" s="5">
        <f>M2b_MpptRatio!C5</f>
        <v/>
      </c>
      <c r="H5" s="31">
        <f>M2b_MpptRatio!D5</f>
        <v/>
      </c>
      <c r="I5" s="31">
        <f>M2b_MpptRatio!D5</f>
        <v/>
      </c>
      <c r="J5" s="5">
        <f>SUM(Helpers_MR!V5:V30)</f>
        <v/>
      </c>
      <c r="K5" s="5">
        <f>M2b_MpptRatio!G5</f>
        <v/>
      </c>
      <c r="L5" s="5">
        <f>M2b_MpptRatio!G5</f>
        <v/>
      </c>
      <c r="M5" s="5">
        <f>SUM(Helpers_MR!C5:C30)</f>
        <v/>
      </c>
    </row>
    <row r="6">
      <c r="A6" s="5" t="inlineStr">
        <is>
          <t>pyranometer_per_ws</t>
        </is>
      </c>
      <c r="B6" s="5" t="inlineStr">
        <is>
          <t>WB05-INV05</t>
        </is>
      </c>
      <c r="C6" s="5" t="inlineStr">
        <is>
          <t>WB05</t>
        </is>
      </c>
      <c r="D6" s="5" t="inlineStr">
        <is>
          <t>PV2</t>
        </is>
      </c>
      <c r="E6" s="5" t="n">
        <v>1</v>
      </c>
      <c r="F6" s="5">
        <f>M2b_MpptRatio!J6</f>
        <v/>
      </c>
      <c r="G6" s="5">
        <f>M2b_MpptRatio!C6</f>
        <v/>
      </c>
      <c r="H6" s="31">
        <f>M2b_MpptRatio!D6</f>
        <v/>
      </c>
      <c r="I6" s="31">
        <f>M2b_MpptRatio!D6</f>
        <v/>
      </c>
      <c r="J6" s="5">
        <f>SUM(Helpers_MR!W5:W30)</f>
        <v/>
      </c>
      <c r="K6" s="5">
        <f>M2b_MpptRatio!G6</f>
        <v/>
      </c>
      <c r="L6" s="5">
        <f>M2b_MpptRatio!G6</f>
        <v/>
      </c>
      <c r="M6" s="5">
        <f>SUM(Helpers_MR!C5:C30)</f>
        <v/>
      </c>
    </row>
    <row r="7">
      <c r="A7" s="5" t="inlineStr">
        <is>
          <t>pyranometer_per_ws</t>
        </is>
      </c>
      <c r="B7" s="5" t="inlineStr">
        <is>
          <t>WB05-INV05</t>
        </is>
      </c>
      <c r="C7" s="5" t="inlineStr">
        <is>
          <t>WB05</t>
        </is>
      </c>
      <c r="D7" s="5" t="inlineStr">
        <is>
          <t>PV3</t>
        </is>
      </c>
      <c r="E7" s="5" t="n">
        <v>1</v>
      </c>
      <c r="F7" s="5">
        <f>M2b_MpptRatio!J7</f>
        <v/>
      </c>
      <c r="G7" s="5">
        <f>M2b_MpptRatio!C7</f>
        <v/>
      </c>
      <c r="H7" s="31">
        <f>M2b_MpptRatio!D7</f>
        <v/>
      </c>
      <c r="I7" s="31">
        <f>M2b_MpptRatio!D7</f>
        <v/>
      </c>
      <c r="J7" s="5">
        <f>SUM(Helpers_MR!X5:X30)</f>
        <v/>
      </c>
      <c r="K7" s="5">
        <f>M2b_MpptRatio!G7</f>
        <v/>
      </c>
      <c r="L7" s="5">
        <f>M2b_MpptRatio!G7</f>
        <v/>
      </c>
      <c r="M7" s="5">
        <f>SUM(Helpers_MR!C5:C30)</f>
        <v/>
      </c>
    </row>
    <row r="8">
      <c r="A8" s="5" t="inlineStr">
        <is>
          <t>pyranometer_per_ws</t>
        </is>
      </c>
      <c r="B8" s="5" t="inlineStr">
        <is>
          <t>WB05-INV05</t>
        </is>
      </c>
      <c r="C8" s="5" t="inlineStr">
        <is>
          <t>WB05</t>
        </is>
      </c>
      <c r="D8" s="5" t="inlineStr">
        <is>
          <t>PV4</t>
        </is>
      </c>
      <c r="E8" s="5" t="n">
        <v>1</v>
      </c>
      <c r="F8" s="5">
        <f>M2b_MpptRatio!J8</f>
        <v/>
      </c>
      <c r="G8" s="5">
        <f>M2b_MpptRatio!C8</f>
        <v/>
      </c>
      <c r="H8" s="31">
        <f>M2b_MpptRatio!D8</f>
        <v/>
      </c>
      <c r="I8" s="31">
        <f>M2b_MpptRatio!D8</f>
        <v/>
      </c>
      <c r="J8" s="5">
        <f>SUM(Helpers_MR!Y5:Y30)</f>
        <v/>
      </c>
      <c r="K8" s="5">
        <f>M2b_MpptRatio!G8</f>
        <v/>
      </c>
      <c r="L8" s="5">
        <f>M2b_MpptRatio!G8</f>
        <v/>
      </c>
      <c r="M8" s="5">
        <f>SUM(Helpers_MR!C5:C30)</f>
        <v/>
      </c>
    </row>
    <row r="9">
      <c r="A9" s="5" t="inlineStr">
        <is>
          <t>pyranometer_per_ws</t>
        </is>
      </c>
      <c r="B9" s="5" t="inlineStr">
        <is>
          <t>WB05-INV05</t>
        </is>
      </c>
      <c r="C9" s="5" t="inlineStr">
        <is>
          <t>WB05</t>
        </is>
      </c>
      <c r="D9" s="5" t="inlineStr">
        <is>
          <t>PV5</t>
        </is>
      </c>
      <c r="E9" s="5" t="n">
        <v>2</v>
      </c>
      <c r="F9" s="5">
        <f>M2b_MpptRatio!J9</f>
        <v/>
      </c>
      <c r="G9" s="5">
        <f>M2b_MpptRatio!C9</f>
        <v/>
      </c>
      <c r="H9" s="31">
        <f>M2b_MpptRatio!D9</f>
        <v/>
      </c>
      <c r="I9" s="31">
        <f>M2b_MpptRatio!D9</f>
        <v/>
      </c>
      <c r="J9" s="5">
        <f>SUM(Helpers_MR!Z5:Z30)</f>
        <v/>
      </c>
      <c r="K9" s="5">
        <f>M2b_MpptRatio!G9</f>
        <v/>
      </c>
      <c r="L9" s="5">
        <f>M2b_MpptRatio!G9</f>
        <v/>
      </c>
      <c r="M9" s="5">
        <f>SUM(Helpers_MR!C5:C30)</f>
        <v/>
      </c>
    </row>
    <row r="10">
      <c r="A10" s="5" t="inlineStr">
        <is>
          <t>pyranometer_per_ws</t>
        </is>
      </c>
      <c r="B10" s="5" t="inlineStr">
        <is>
          <t>WB05-INV05</t>
        </is>
      </c>
      <c r="C10" s="5" t="inlineStr">
        <is>
          <t>WB05</t>
        </is>
      </c>
      <c r="D10" s="5" t="inlineStr">
        <is>
          <t>PV6</t>
        </is>
      </c>
      <c r="E10" s="5" t="n">
        <v>2</v>
      </c>
      <c r="F10" s="5">
        <f>M2b_MpptRatio!J10</f>
        <v/>
      </c>
      <c r="G10" s="5">
        <f>M2b_MpptRatio!C10</f>
        <v/>
      </c>
      <c r="H10" s="31">
        <f>M2b_MpptRatio!D10</f>
        <v/>
      </c>
      <c r="I10" s="31">
        <f>M2b_MpptRatio!D10</f>
        <v/>
      </c>
      <c r="J10" s="5">
        <f>SUM(Helpers_MR!AA5:AA30)</f>
        <v/>
      </c>
      <c r="K10" s="5">
        <f>M2b_MpptRatio!G10</f>
        <v/>
      </c>
      <c r="L10" s="5">
        <f>M2b_MpptRatio!G10</f>
        <v/>
      </c>
      <c r="M10" s="5">
        <f>SUM(Helpers_MR!C5:C30)</f>
        <v/>
      </c>
    </row>
    <row r="11">
      <c r="A11" s="5" t="inlineStr">
        <is>
          <t>pyranometer_per_ws</t>
        </is>
      </c>
      <c r="B11" s="5" t="inlineStr">
        <is>
          <t>WB05-INV05</t>
        </is>
      </c>
      <c r="C11" s="5" t="inlineStr">
        <is>
          <t>WB05</t>
        </is>
      </c>
      <c r="D11" s="5" t="inlineStr">
        <is>
          <t>PV7</t>
        </is>
      </c>
      <c r="E11" s="5" t="n">
        <v>2</v>
      </c>
      <c r="F11" s="5">
        <f>M2b_MpptRatio!J11</f>
        <v/>
      </c>
      <c r="G11" s="5">
        <f>M2b_MpptRatio!C11</f>
        <v/>
      </c>
      <c r="H11" s="31">
        <f>M2b_MpptRatio!D11</f>
        <v/>
      </c>
      <c r="I11" s="31">
        <f>M2b_MpptRatio!D11</f>
        <v/>
      </c>
      <c r="J11" s="5">
        <f>SUM(Helpers_MR!AB5:AB30)</f>
        <v/>
      </c>
      <c r="K11" s="5">
        <f>M2b_MpptRatio!G11</f>
        <v/>
      </c>
      <c r="L11" s="5">
        <f>M2b_MpptRatio!G11</f>
        <v/>
      </c>
      <c r="M11" s="5">
        <f>SUM(Helpers_MR!C5:C30)</f>
        <v/>
      </c>
    </row>
    <row r="12">
      <c r="A12" s="5" t="inlineStr">
        <is>
          <t>pyranometer_per_ws</t>
        </is>
      </c>
      <c r="B12" s="5" t="inlineStr">
        <is>
          <t>WB05-INV05</t>
        </is>
      </c>
      <c r="C12" s="5" t="inlineStr">
        <is>
          <t>WB05</t>
        </is>
      </c>
      <c r="D12" s="5" t="inlineStr">
        <is>
          <t>PV8</t>
        </is>
      </c>
      <c r="E12" s="5" t="n">
        <v>2</v>
      </c>
      <c r="F12" s="5">
        <f>M2b_MpptRatio!J12</f>
        <v/>
      </c>
      <c r="G12" s="5">
        <f>M2b_MpptRatio!C12</f>
        <v/>
      </c>
      <c r="H12" s="31">
        <f>M2b_MpptRatio!D12</f>
        <v/>
      </c>
      <c r="I12" s="31">
        <f>M2b_MpptRatio!D12</f>
        <v/>
      </c>
      <c r="J12" s="5">
        <f>SUM(Helpers_MR!AC5:AC30)</f>
        <v/>
      </c>
      <c r="K12" s="5">
        <f>M2b_MpptRatio!G12</f>
        <v/>
      </c>
      <c r="L12" s="5">
        <f>M2b_MpptRatio!G12</f>
        <v/>
      </c>
      <c r="M12" s="5">
        <f>SUM(Helpers_MR!C5:C30)</f>
        <v/>
      </c>
    </row>
    <row r="13">
      <c r="A13" s="5" t="inlineStr">
        <is>
          <t>pyranometer_per_ws</t>
        </is>
      </c>
      <c r="B13" s="5" t="inlineStr">
        <is>
          <t>WB05-INV05</t>
        </is>
      </c>
      <c r="C13" s="5" t="inlineStr">
        <is>
          <t>WB05</t>
        </is>
      </c>
      <c r="D13" s="5" t="inlineStr">
        <is>
          <t>PV9</t>
        </is>
      </c>
      <c r="E13" s="5" t="n">
        <v>2</v>
      </c>
      <c r="F13" s="5">
        <f>M2b_MpptRatio!J13</f>
        <v/>
      </c>
      <c r="G13" s="5">
        <f>M2b_MpptRatio!C13</f>
        <v/>
      </c>
      <c r="H13" s="31">
        <f>M2b_MpptRatio!D13</f>
        <v/>
      </c>
      <c r="I13" s="31">
        <f>M2b_MpptRatio!D13</f>
        <v/>
      </c>
      <c r="J13" s="5">
        <f>SUM(Helpers_MR!AD5:AD30)</f>
        <v/>
      </c>
      <c r="K13" s="5">
        <f>M2b_MpptRatio!G13</f>
        <v/>
      </c>
      <c r="L13" s="5">
        <f>M2b_MpptRatio!G13</f>
        <v/>
      </c>
      <c r="M13" s="5">
        <f>SUM(Helpers_MR!C5:C30)</f>
        <v/>
      </c>
    </row>
  </sheetData>
  <conditionalFormatting sqref="F5:F13">
    <cfRule type="cellIs" priority="1" operator="equal" dxfId="0">
      <formula>"mppt_partner_underperform"</formula>
    </cfRule>
    <cfRule type="cellIs" priority="2" operator="equal" dxfId="4">
      <formula>"NORMAL"</formula>
    </cfRule>
    <cfRule type="cellIs" priority="3" operator="equal" dxfId="8">
      <formula>"EMPTY"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2026-05-29T05:09:01Z</dcterms:created>
  <dcterms:modified xmlns:dcterms="http://purl.org/dc/terms/" xmlns:xsi="http://www.w3.org/2001/XMLSchema-instance" xsi:type="dcterms:W3CDTF">2026-06-13T06:12:39Z</dcterms:modified>
</cp:coreProperties>
</file>