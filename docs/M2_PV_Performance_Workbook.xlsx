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2_Index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Raw_Data" sheetId="4" state="visible" r:id="rId4"/>
    <sheet xmlns:r="http://schemas.openxmlformats.org/officeDocument/2006/relationships" name="EmptyPVMap" sheetId="5" state="visible" r:id="rId5"/>
    <sheet xmlns:r="http://schemas.openxmlformats.org/officeDocument/2006/relationships" name="Helpers_M2e" sheetId="6" state="visible" r:id="rId6"/>
    <sheet xmlns:r="http://schemas.openxmlformats.org/officeDocument/2006/relationships" name="M2e_Availability" sheetId="7" state="visible" r:id="rId7"/>
    <sheet xmlns:r="http://schemas.openxmlformats.org/officeDocument/2006/relationships" name="M2e_AllStrings" sheetId="8" state="visible" r:id="rId8"/>
    <sheet xmlns:r="http://schemas.openxmlformats.org/officeDocument/2006/relationships" name="Findings_Summary" sheetId="9" state="visible" r:id="rId9"/>
    <sheet xmlns:r="http://schemas.openxmlformats.org/officeDocument/2006/relationships" name="PanelSpec" sheetId="10" state="visible" r:id="rId10"/>
    <sheet xmlns:r="http://schemas.openxmlformats.org/officeDocument/2006/relationships" name="Raw_Data_M2b" sheetId="11" state="visible" r:id="rId11"/>
    <sheet xmlns:r="http://schemas.openxmlformats.org/officeDocument/2006/relationships" name="Meteo_Dummy" sheetId="12" state="visible" r:id="rId12"/>
    <sheet xmlns:r="http://schemas.openxmlformats.org/officeDocument/2006/relationships" name="Helpers_M2b" sheetId="13" state="visible" r:id="rId13"/>
    <sheet xmlns:r="http://schemas.openxmlformats.org/officeDocument/2006/relationships" name="M2b_PeerZScore" sheetId="14" state="visible" r:id="rId14"/>
    <sheet xmlns:r="http://schemas.openxmlformats.org/officeDocument/2006/relationships" name="M2b_StringStatus" sheetId="15" state="visible" r:id="rId15"/>
    <sheet xmlns:r="http://schemas.openxmlformats.org/officeDocument/2006/relationships" name="M2b_StatComparison" sheetId="16" state="visible" r:id="rId16"/>
    <sheet xmlns:r="http://schemas.openxmlformats.org/officeDocument/2006/relationships" name="Hampel_Preprocessing" sheetId="17" state="visible" r:id="rId17"/>
    <sheet xmlns:r="http://schemas.openxmlformats.org/officeDocument/2006/relationships" name="Raw_Data_OC" sheetId="18" state="visible" r:id="rId18"/>
    <sheet xmlns:r="http://schemas.openxmlformats.org/officeDocument/2006/relationships" name="Helpers_OC" sheetId="19" state="visible" r:id="rId19"/>
    <sheet xmlns:r="http://schemas.openxmlformats.org/officeDocument/2006/relationships" name="M2b_OpenCircuit" sheetId="20" state="visible" r:id="rId20"/>
    <sheet xmlns:r="http://schemas.openxmlformats.org/officeDocument/2006/relationships" name="M2b_OC_StringStatus" sheetId="21" state="visible" r:id="rId21"/>
    <sheet xmlns:r="http://schemas.openxmlformats.org/officeDocument/2006/relationships" name="Raw_Data_GF" sheetId="22" state="visible" r:id="rId22"/>
    <sheet xmlns:r="http://schemas.openxmlformats.org/officeDocument/2006/relationships" name="Helpers_GF" sheetId="23" state="visible" r:id="rId23"/>
    <sheet xmlns:r="http://schemas.openxmlformats.org/officeDocument/2006/relationships" name="GF_StringMetrics" sheetId="24" state="visible" r:id="rId24"/>
    <sheet xmlns:r="http://schemas.openxmlformats.org/officeDocument/2006/relationships" name="M2c_GroundFault" sheetId="25" state="visible" r:id="rId25"/>
    <sheet xmlns:r="http://schemas.openxmlformats.org/officeDocument/2006/relationships" name="M2c_GF_StringStatus" sheetId="26" state="visible" r:id="rId26"/>
    <sheet xmlns:r="http://schemas.openxmlformats.org/officeDocument/2006/relationships" name="Raw_Data_IF" sheetId="27" state="visible" r:id="rId27"/>
    <sheet xmlns:r="http://schemas.openxmlformats.org/officeDocument/2006/relationships" name="Features_IF" sheetId="28" state="visible" r:id="rId28"/>
    <sheet xmlns:r="http://schemas.openxmlformats.org/officeDocument/2006/relationships" name="IF_Anomaly" sheetId="29" state="visible" r:id="rId29"/>
    <sheet xmlns:r="http://schemas.openxmlformats.org/officeDocument/2006/relationships" name="IF_Summary" sheetId="30" state="visible" r:id="rId30"/>
    <sheet xmlns:r="http://schemas.openxmlformats.org/officeDocument/2006/relationships" name="Raw_Data_LI" sheetId="31" state="visible" r:id="rId31"/>
    <sheet xmlns:r="http://schemas.openxmlformats.org/officeDocument/2006/relationships" name="Helpers_LI" sheetId="32" state="visible" r:id="rId32"/>
    <sheet xmlns:r="http://schemas.openxmlformats.org/officeDocument/2006/relationships" name="M2a_LowIrradiance" sheetId="33" state="visible" r:id="rId33"/>
    <sheet xmlns:r="http://schemas.openxmlformats.org/officeDocument/2006/relationships" name="LI_Summary" sheetId="34" state="visible" r:id="rId34"/>
    <sheet xmlns:r="http://schemas.openxmlformats.org/officeDocument/2006/relationships" name="Raw_Data_SH" sheetId="35" state="visible" r:id="rId35"/>
    <sheet xmlns:r="http://schemas.openxmlformats.org/officeDocument/2006/relationships" name="Helpers_SH" sheetId="36" state="visible" r:id="rId36"/>
    <sheet xmlns:r="http://schemas.openxmlformats.org/officeDocument/2006/relationships" name="SH_Hourly" sheetId="37" state="visible" r:id="rId37"/>
    <sheet xmlns:r="http://schemas.openxmlformats.org/officeDocument/2006/relationships" name="M2a_Shading" sheetId="38" state="visible" r:id="rId38"/>
    <sheet xmlns:r="http://schemas.openxmlformats.org/officeDocument/2006/relationships" name="Raw_Data_SO" sheetId="39" state="visible" r:id="rId39"/>
    <sheet xmlns:r="http://schemas.openxmlformats.org/officeDocument/2006/relationships" name="Helpers_SO" sheetId="40" state="visible" r:id="rId40"/>
    <sheet xmlns:r="http://schemas.openxmlformats.org/officeDocument/2006/relationships" name="SO_Economics" sheetId="41" state="visible" r:id="rId41"/>
    <sheet xmlns:r="http://schemas.openxmlformats.org/officeDocument/2006/relationships" name="SO_Summary" sheetId="42" state="visible" r:id="rId42"/>
    <sheet xmlns:r="http://schemas.openxmlformats.org/officeDocument/2006/relationships" name="Raw_Data_MR" sheetId="43" state="visible" r:id="rId43"/>
    <sheet xmlns:r="http://schemas.openxmlformats.org/officeDocument/2006/relationships" name="Helpers_MR" sheetId="44" state="visible" r:id="rId44"/>
    <sheet xmlns:r="http://schemas.openxmlformats.org/officeDocument/2006/relationships" name="M2b_MpptRatio" sheetId="45" state="visible" r:id="rId45"/>
    <sheet xmlns:r="http://schemas.openxmlformats.org/officeDocument/2006/relationships" name="M2b_MR_StringStatus" sheetId="46" state="visible" r:id="rId46"/>
  </sheets>
  <definedNames>
    <definedName name="cfg_critical_below">Config!$C$4</definedName>
    <definedName name="cfg_high_below">Config!$C$5</definedName>
    <definedName name="cfg_medium_below">Config!$C$6</definedName>
    <definedName name="cfg_info_below">Config!$C$7</definedName>
    <definedName name="cfg_emit_normal">Config!$C$8</definedName>
    <definedName name="cfg_pstr_zero_threshold_kw">Config!$C$9</definedName>
    <definedName name="cfg_sibling_median_active_kw">Config!$C$10</definedName>
    <definedName name="cfg_min_active_siblings_pct">Config!$C$11</definedName>
    <definedName name="cfg_debounce_consecutive_steps">Config!$C$12</definedName>
    <definedName name="cfg_interval_minutes">Config!$C$13</definedName>
    <definedName name="cfg_pv_max">Config!$C$14</definedName>
    <definedName name="cfg_n_pv_total_in_workbook">Config!$C$15</definedName>
    <definedName name="cfg_poa_threshold_wm2">Config!$C$16</definedName>
    <definedName name="cfg_poa_floor_wm2">Config!$C$17</definedName>
    <definedName name="cfg_z_threshold">Config!$C$18</definedName>
    <definedName name="cfg_z_high_threshold">Config!$C$19</definedName>
    <definedName name="cfg_voc_ratio_threshold">Config!$C$20</definedName>
    <definedName name="cfg_stat_method">Config!$C$21</definedName>
    <definedName name="cfg_min_peer_strings">Config!$C$22</definedName>
    <definedName name="cfg_min_daylight_samples">Config!$C$23</definedName>
    <definedName name="cfg_i_clip_floor_a">Config!$C$24</definedName>
    <definedName name="cfg_i_threshold_a">Config!$C$25</definedName>
    <definedName name="cfg_min_voc_v">Config!$C$26</definedName>
    <definedName name="cfg_min_samples">Config!$C$27</definedName>
    <definedName name="cfg_hampel_window">Config!$C$28</definedName>
    <definedName name="cfg_hampel_max_deviation">Config!$C$29</definedName>
    <definedName name="cfg_enabled">Config!$C$30</definedName>
    <definedName name="cfg_default_source">Config!$C$31</definedName>
    <definedName name="panel_voc_stc_v">PanelSpec!$B$6</definedName>
    <definedName name="panel_vmp_stc_v">PanelSpec!$B$7</definedName>
    <definedName name="panel_imp_stc_a">PanelSpec!$B$8</definedName>
    <definedName name="panel_isc_stc_a">PanelSpec!$B$9</definedName>
    <definedName name="panel_pmax_stc_w">PanelSpec!$B$10</definedName>
    <definedName name="panel_voc_noct_v">PanelSpec!$B$11</definedName>
    <definedName name="panel_temp_coef_voc_pct_per_c">PanelSpec!$B$12</definedName>
    <definedName name="panel_temp_coef_pmax_pct_per_c">PanelSpec!$B$13</definedName>
    <definedName name="panel_temp_coef_isc_pct_per_c">PanelSpec!$B$14</definedName>
    <definedName name="panel_t_stc_c">PanelSpec!$B$15</definedName>
    <definedName name="panel_max_system_voltage_v">PanelSpec!$B$16</definedName>
    <definedName name="panel_default_modules_per_string">PanelSpec!$B$17</definedName>
    <definedName name="panel_modules_per_string_WB01">PanelSpec!$B$18</definedName>
    <definedName name="panel_modules_per_string_WB02">PanelSpec!$B$19</definedName>
    <definedName name="panel_modules_per_string_WB03_10">PanelSpec!$B$20</definedName>
    <definedName name="voc_per_module_calc">PanelSpec!$B$24</definedName>
    <definedName name="voc_string_24_calc">PanelSpec!$B$25</definedName>
    <definedName name="voc_string_26_calc">PanelSpec!$B$26</definedName>
    <definedName name="tcell_dummy_c">PanelSpec!$B$23</definedName>
    <definedName name="rstr_fleet_mean">M2b_PeerZScore!$B$15</definedName>
    <definedName name="rstr_fleet_median">M2b_PeerZScore!$B$16</definedName>
    <definedName name="rstr_fleet_std">M2b_PeerZScore!$B$17</definedName>
    <definedName name="cfg_oc_poa_threshold_wm2">Config!$C$32</definedName>
    <definedName name="cfg_oc_poa_floor_wm2">Config!$C$33</definedName>
    <definedName name="cfg_oc_i_ratio_threshold">Config!$C$34</definedName>
    <definedName name="cfg_oc_debounce_steps">Config!$C$35</definedName>
    <definedName name="cfg_oc_confidence_pct">Config!$C$36</definedName>
    <definedName name="cfg_oc_iq95_clip">Config!$C$37</definedName>
    <definedName name="cfg_gf_poa_threshold_wm2">Config!$C$38</definedName>
    <definedName name="cfg_gf_poa_floor_wm2">Config!$C$39</definedName>
    <definedName name="cfg_gf_v_abs_threshold">Config!$C$40</definedName>
    <definedName name="cfg_gf_adaptive_z_threshold">Config!$C$41</definedName>
    <definedName name="cfg_gf_voc_ratio_threshold">Config!$C$42</definedName>
    <definedName name="cfg_gf_i_high_z_threshold">Config!$C$43</definedName>
    <definedName name="cfg_gf_fleet_v_gnd_median">Config!$C$44</definedName>
    <definedName name="cfg_gf_fleet_v_gnd_std">Config!$C$45</definedName>
    <definedName name="cfg_if_contamination">Config!$C$46</definedName>
    <definedName name="cfg_if_i_floor">Config!$C$47</definedName>
    <definedName name="cfg_if_mad_scale">Config!$C$48</definedName>
    <definedName name="cfg_li_poa_low_min">Config!$C$52</definedName>
    <definedName name="cfg_li_poa_low_max">Config!$C$53</definedName>
    <definedName name="cfg_li_poa_mid_min">Config!$C$54</definedName>
    <definedName name="cfg_li_poa_mid_max">Config!$C$55</definedName>
    <definedName name="cfg_li_min_low_samples">Config!$C$58</definedName>
    <definedName name="cfg_sh_poa_threshold">Config!$C$59</definedName>
    <definedName name="cfg_sh_cv_mult">Config!$C$60</definedName>
    <definedName name="cfg_sh_pr_mult">Config!$C$61</definedName>
    <definedName name="cfg_sh_am_pm_split">Config!$C$62</definedName>
    <definedName name="cfg_sh_asymmetry_thr">Config!$C$63</definedName>
    <definedName name="cfg_sh_min_hours">Config!$C$64</definedName>
    <definedName name="cfg_sh_min_samp_hour">Config!$C$65</definedName>
    <definedName name="cfg_so_min_days">Config!$C$66</definedName>
    <definedName name="cfg_so_capacity_kwp">Config!$C$67</definedName>
    <definedName name="cfg_so_tariff">Config!$C$68</definedName>
    <definedName name="cfg_so_cleaning_cost">Config!$C$69</definedName>
    <definedName name="cfg_so_payback_thr">Config!$C$70</definedName>
    <definedName name="cfg_mr_poa_threshold_wm2">Config!$C$71</definedName>
    <definedName name="cfg_mr_poa_floor_wm2">Config!$C$72</definedName>
    <definedName name="cfg_mr_ratio_threshold">Config!$C$73</definedName>
    <definedName name="cfg_mr_ratio_high">Config!$C$74</definedName>
    <definedName name="cfg_mr_ratio_critical">Config!$C$75</definedName>
    <definedName name="cfg_mr_debounce_steps">Config!$C$76</definedName>
    <definedName name="cfg_mr_min_partner">Config!$C$77</definedName>
    <definedName name="cfg_mr_partner_clip">Config!$C$78</definedName>
    <definedName name="cfg_li_low_ratio_threshold">Config!$C$56</definedName>
    <definedName name="cfg_li_robust_z_min">Config!$C$57</definedName>
    <definedName name="cfg_li_low_elev_min">Config!$C$79</definedName>
    <definedName name="cfg_li_min_peers">Config!$C$80</definedName>
    <definedName name="cfg_li_min_mid_samples">Config!$C$81</definedName>
    <definedName name="_xlnm._FilterDatabase" localSheetId="8" hidden="1">'Findings_Summary'!$A$4:$H$21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yyyy-mm-dd hh:mm:ss"/>
    <numFmt numFmtId="165" formatCode="0.000"/>
    <numFmt numFmtId="166" formatCode="0.0"/>
    <numFmt numFmtId="167" formatCode="0.0000"/>
    <numFmt numFmtId="168" formatCode="0.000000"/>
    <numFmt numFmtId="169" formatCode="hh:mm"/>
    <numFmt numFmtId="170" formatCode="0.00000"/>
    <numFmt numFmtId="171" formatCode="yyyy-mm-dd"/>
    <numFmt numFmtId="172" formatCode="0.0#"/>
    <numFmt numFmtId="173" formatCode="yyyy-mm-dd h:mm:ss"/>
    <numFmt numFmtId="174" formatCode="yyyy-mm-dd hh:mm"/>
  </numFmts>
  <fonts count="13">
    <font>
      <name val="Calibri"/>
      <family val="2"/>
      <color theme="1"/>
      <sz val="11"/>
      <scheme val="minor"/>
    </font>
    <font>
      <b val="1"/>
      <color rgb="00305496"/>
      <sz val="16"/>
    </font>
    <font>
      <i val="1"/>
      <color rgb="00595959"/>
    </font>
    <font>
      <name val="Calibri"/>
      <b val="1"/>
      <sz val="10"/>
    </font>
    <font>
      <b val="1"/>
      <color rgb="00305496"/>
      <sz val="14"/>
    </font>
    <font>
      <name val="Calibri"/>
      <b val="1"/>
      <color rgb="00FFFFFF"/>
      <sz val="11"/>
    </font>
    <font>
      <b val="1"/>
    </font>
    <font>
      <i val="1"/>
      <color rgb="00A0A0A0"/>
      <sz val="9"/>
    </font>
    <font>
      <name val="Calibri"/>
      <b val="1"/>
      <color rgb="00305496"/>
      <sz val="13"/>
    </font>
    <font>
      <i val="1"/>
      <color rgb="00808080"/>
      <sz val="9"/>
    </font>
    <font>
      <name val="Calibri"/>
      <sz val="11"/>
    </font>
    <font>
      <name val="Calibri"/>
      <b val="1"/>
      <color rgb="00305496"/>
      <sz val="14"/>
    </font>
    <font>
      <name val="Calibri"/>
      <b val="1"/>
      <color rgb="00305496"/>
      <sz val="12"/>
    </font>
  </fonts>
  <fills count="1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DDDDD"/>
      </patternFill>
    </fill>
    <fill>
      <patternFill patternType="solid">
        <fgColor rgb="00DDEBF7"/>
      </patternFill>
    </fill>
    <fill>
      <patternFill patternType="solid">
        <fgColor rgb="00B6D7A8"/>
      </patternFill>
    </fill>
    <fill>
      <patternFill patternType="solid">
        <fgColor rgb="00D9EAD3"/>
      </patternFill>
    </fill>
    <fill>
      <patternFill patternType="solid">
        <fgColor rgb="00F6B26B"/>
      </patternFill>
    </fill>
    <fill>
      <patternFill patternType="solid">
        <fgColor rgb="00FFE59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3" borderId="1" pivotButton="0" quotePrefix="0" xfId="0"/>
    <xf numFmtId="0" fontId="6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3" fillId="2" borderId="0" pivotButton="0" quotePrefix="0" xfId="0"/>
    <xf numFmtId="2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6" fillId="4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4" borderId="1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5" borderId="1" pivotButton="0" quotePrefix="0" xfId="0"/>
    <xf numFmtId="165" fontId="0" fillId="6" borderId="1" pivotButton="0" quotePrefix="0" xfId="0"/>
    <xf numFmtId="1" fontId="0" fillId="0" borderId="1" pivotButton="0" quotePrefix="0" xfId="0"/>
    <xf numFmtId="167" fontId="0" fillId="0" borderId="1" pivotButton="0" quotePrefix="0" xfId="0"/>
    <xf numFmtId="0" fontId="10" fillId="0" borderId="1" pivotButton="0" quotePrefix="0" xfId="0"/>
    <xf numFmtId="0" fontId="9" fillId="0" borderId="0" applyAlignment="1" pivotButton="0" quotePrefix="0" xfId="0">
      <alignment vertical="top" wrapText="1"/>
    </xf>
    <xf numFmtId="167" fontId="0" fillId="0" borderId="1" pivotButton="0" quotePrefix="0" xfId="0"/>
    <xf numFmtId="166" fontId="0" fillId="7" borderId="1" pivotButton="0" quotePrefix="0" xfId="0"/>
    <xf numFmtId="165" fontId="0" fillId="7" borderId="1" pivotButton="0" quotePrefix="0" xfId="0"/>
    <xf numFmtId="166" fontId="0" fillId="6" borderId="1" pivotButton="0" quotePrefix="0" xfId="0"/>
    <xf numFmtId="166" fontId="0" fillId="5" borderId="1" pivotButton="0" quotePrefix="0" xfId="0"/>
    <xf numFmtId="168" fontId="0" fillId="0" borderId="1" pivotButton="0" quotePrefix="0" xfId="0"/>
    <xf numFmtId="168" fontId="0" fillId="0" borderId="1" pivotButton="0" quotePrefix="0" xfId="0"/>
    <xf numFmtId="169" fontId="0" fillId="0" borderId="1" pivotButton="0" quotePrefix="0" xfId="0"/>
    <xf numFmtId="0" fontId="5" fillId="3" borderId="0" pivotButton="0" quotePrefix="0" xfId="0"/>
    <xf numFmtId="169" fontId="0" fillId="0" borderId="1" pivotButton="0" quotePrefix="0" xfId="0"/>
    <xf numFmtId="0" fontId="0" fillId="8" borderId="1" pivotButton="0" quotePrefix="0" xfId="0"/>
    <xf numFmtId="170" fontId="0" fillId="0" borderId="1" pivotButton="0" quotePrefix="0" xfId="0"/>
    <xf numFmtId="167" fontId="0" fillId="6" borderId="1" pivotButton="0" quotePrefix="0" xfId="0"/>
    <xf numFmtId="0" fontId="0" fillId="6" borderId="1" pivotButton="0" quotePrefix="0" xfId="0"/>
    <xf numFmtId="171" fontId="0" fillId="0" borderId="1" pivotButton="0" quotePrefix="0" xfId="0"/>
    <xf numFmtId="3" fontId="0" fillId="0" borderId="1" pivotButton="0" quotePrefix="0" xfId="0"/>
    <xf numFmtId="0" fontId="11" fillId="0" borderId="0" pivotButton="0" quotePrefix="0" xfId="0"/>
    <xf numFmtId="0" fontId="12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9" borderId="1" pivotButton="0" quotePrefix="0" xfId="0"/>
    <xf numFmtId="0" fontId="0" fillId="10" borderId="1" pivotButton="0" quotePrefix="0" xfId="0"/>
    <xf numFmtId="0" fontId="0" fillId="12" borderId="1" pivotButton="0" quotePrefix="0" xfId="0"/>
    <xf numFmtId="0" fontId="0" fillId="11" borderId="1" pivotButton="0" quotePrefix="0" xfId="0"/>
    <xf numFmtId="171" fontId="0" fillId="0" borderId="1" pivotButton="0" quotePrefix="0" xfId="0"/>
    <xf numFmtId="0" fontId="0" fillId="13" borderId="1" applyAlignment="1" pivotButton="0" quotePrefix="0" xfId="0">
      <alignment vertical="top" wrapText="1"/>
    </xf>
    <xf numFmtId="0" fontId="0" fillId="13" borderId="1" pivotButton="0" quotePrefix="0" xfId="0"/>
    <xf numFmtId="172" fontId="0" fillId="0" borderId="1" pivotButton="0" quotePrefix="0" xfId="0"/>
    <xf numFmtId="172" fontId="0" fillId="0" borderId="1" pivotButton="0" quotePrefix="0" xfId="0"/>
    <xf numFmtId="174" fontId="0" fillId="0" borderId="1" pivotButton="0" quotePrefix="0" xfId="0"/>
    <xf numFmtId="166" fontId="0" fillId="8" borderId="1" pivotButton="0" quotePrefix="0" xfId="0"/>
    <xf numFmtId="174" fontId="0" fillId="0" borderId="0" pivotButton="0" quotePrefix="0" xfId="0"/>
    <xf numFmtId="166" fontId="0" fillId="0" borderId="0" pivotButton="0" quotePrefix="0" xfId="0"/>
    <xf numFmtId="168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dxfs count="9">
    <dxf>
      <fill>
        <patternFill patternType="solid">
          <fgColor rgb="00E06666"/>
        </patternFill>
      </fill>
    </dxf>
    <dxf>
      <fill>
        <patternFill patternType="solid">
          <fgColor rgb="00F6B26B"/>
        </patternFill>
      </fill>
    </dxf>
    <dxf>
      <fill>
        <patternFill patternType="solid">
          <fgColor rgb="00FFD966"/>
        </patternFill>
      </fill>
    </dxf>
    <dxf>
      <fill>
        <patternFill patternType="solid">
          <fgColor rgb="00A4C2F4"/>
        </patternFill>
      </fill>
    </dxf>
    <dxf>
      <fill>
        <patternFill patternType="solid">
          <fgColor rgb="00B6D7A8"/>
        </patternFill>
      </fill>
    </dxf>
    <dxf>
      <fill>
        <patternFill patternType="solid">
          <fgColor rgb="00DDDDDD"/>
        </patternFill>
      </fill>
    </dxf>
    <dxf>
      <fill>
        <patternFill patternType="solid">
          <fgColor rgb="00EFEFEF"/>
        </patternFill>
      </fill>
    </dxf>
    <dxf>
      <fill>
        <patternFill patternType="solid">
          <fgColor rgb="00FFE599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styles" Target="styles.xml" Id="rId47"/><Relationship Type="http://schemas.openxmlformats.org/officeDocument/2006/relationships/theme" Target="theme/theme1.xml" Id="rId4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05496"/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9" customWidth="1" min="1" max="1"/>
    <col width="19" customWidth="1" min="2" max="2"/>
    <col width="24" customWidth="1" min="3" max="3"/>
    <col width="34" customWidth="1" min="4" max="4"/>
    <col width="30" customWidth="1" min="5" max="5"/>
    <col width="40" customWidth="1" min="6" max="6"/>
    <col width="18" customWidth="1" min="7" max="7"/>
    <col width="16" customWidth="1" min="8" max="8"/>
  </cols>
  <sheetData>
    <row r="1">
      <c r="A1" s="47" t="inlineStr">
        <is>
          <t>M2 PV Performance — INDEKS Famili Detektor</t>
        </is>
      </c>
    </row>
    <row r="2">
      <c r="A2" s="24" t="inlineStr">
        <is>
          <t>Peta tiap detektor → sinyal → fault_type → severity → status reproduksibilitas Excel. Workbook 45 detektor-sheet (di luar indeks ini). Detail: docs/M2_RE_0X_*.md + M2_Family_Summary.</t>
        </is>
      </c>
    </row>
    <row r="4">
      <c r="A4" s="48" t="inlineStr">
        <is>
          <t>1. Peta Detektor (9 aktif + 1 ML skeleton)</t>
        </is>
      </c>
    </row>
    <row r="5">
      <c r="A5" s="10" t="inlineStr">
        <is>
          <t>#</t>
        </is>
      </c>
      <c r="B5" s="10" t="inlineStr">
        <is>
          <t>Detector</t>
        </is>
      </c>
      <c r="C5" s="10" t="inlineStr">
        <is>
          <t>Modul</t>
        </is>
      </c>
      <c r="D5" s="10" t="inlineStr">
        <is>
          <t>Sinyal utama</t>
        </is>
      </c>
      <c r="E5" s="10" t="inlineStr">
        <is>
          <t>fault_type</t>
        </is>
      </c>
      <c r="F5" s="10" t="inlineStr">
        <is>
          <t>Severity (ringkas)</t>
        </is>
      </c>
      <c r="G5" s="10" t="inlineStr">
        <is>
          <t>Sheet keputusan</t>
        </is>
      </c>
      <c r="H5" s="10" t="inlineStr">
        <is>
          <t>Status Excel</t>
        </is>
      </c>
    </row>
    <row r="6">
      <c r="A6" s="49" t="n">
        <v>1</v>
      </c>
      <c r="B6" s="49" t="inlineStr">
        <is>
          <t>M2eAvailability</t>
        </is>
      </c>
      <c r="C6" s="49" t="inlineStr">
        <is>
          <t>availability.py</t>
        </is>
      </c>
      <c r="D6" s="49" t="inlineStr">
        <is>
          <t>uptime inverter &amp; string (downtime menit)</t>
        </is>
      </c>
      <c r="E6" s="49" t="inlineStr">
        <is>
          <t>(severity-based)</t>
        </is>
      </c>
      <c r="F6" s="49" t="inlineStr">
        <is>
          <t>&lt;90 CRIT · &lt;95 HIGH · &lt;97 MED · &lt;99 INFO · ≥99 NORMAL</t>
        </is>
      </c>
      <c r="G6" s="49" t="inlineStr">
        <is>
          <t>M2e_Availability</t>
        </is>
      </c>
      <c r="H6" s="50" t="inlineStr">
        <is>
          <t>PENUH</t>
        </is>
      </c>
    </row>
    <row r="7">
      <c r="A7" s="49" t="n">
        <v>2</v>
      </c>
      <c r="B7" s="49" t="inlineStr">
        <is>
          <t>M2bPeerZScore</t>
        </is>
      </c>
      <c r="C7" s="49" t="inlineStr">
        <is>
          <t>peer_zscore.py</t>
        </is>
      </c>
      <c r="D7" s="49" t="inlineStr">
        <is>
          <t>R_str=V/I → z-score peer + voc_ratio</t>
        </is>
      </c>
      <c r="E7" s="49" t="inlineStr">
        <is>
          <t>high_R</t>
        </is>
      </c>
      <c r="F7" s="49" t="inlineStr">
        <is>
          <t>|z|&gt;3.5 HIGH · |z|&gt;2.5 &amp; voc_ratio&gt;0.95 MED</t>
        </is>
      </c>
      <c r="G7" s="49" t="inlineStr">
        <is>
          <t>M2b_PeerZScore</t>
        </is>
      </c>
      <c r="H7" s="50" t="inlineStr">
        <is>
          <t>PENUH</t>
        </is>
      </c>
    </row>
    <row r="8">
      <c r="A8" s="49" t="n">
        <v>3</v>
      </c>
      <c r="B8" s="49" t="inlineStr">
        <is>
          <t>M2bOpenCircuit</t>
        </is>
      </c>
      <c r="C8" s="49" t="inlineStr">
        <is>
          <t>open_circuit.py</t>
        </is>
      </c>
      <c r="D8" s="49" t="inlineStr">
        <is>
          <t>I/I_q95 &lt; 5% (across siblings) + debounce 20</t>
        </is>
      </c>
      <c r="E8" s="49" t="inlineStr">
        <is>
          <t>open_circuit</t>
        </is>
      </c>
      <c r="F8" s="49" t="inlineStr">
        <is>
          <t>CRITICAL (conf 95%)</t>
        </is>
      </c>
      <c r="G8" s="49" t="inlineStr">
        <is>
          <t>M2b_OpenCircuit</t>
        </is>
      </c>
      <c r="H8" s="50" t="inlineStr">
        <is>
          <t>PENUH</t>
        </is>
      </c>
    </row>
    <row r="9">
      <c r="A9" s="49" t="n">
        <v>4</v>
      </c>
      <c r="B9" s="49" t="inlineStr">
        <is>
          <t>M2bGroundFault</t>
        </is>
      </c>
      <c r="C9" s="49" t="inlineStr">
        <is>
          <t>ground_fault.py</t>
        </is>
      </c>
      <c r="D9" s="49" t="inlineStr">
        <is>
          <t>V_to_ground absolute/adaptive + voc_ratio &amp; I_z</t>
        </is>
      </c>
      <c r="E9" s="49" t="inlineStr">
        <is>
          <t>ground_fault</t>
        </is>
      </c>
      <c r="F9" s="49" t="inlineStr">
        <is>
          <t>spec+(abs|adp)=90 · spec/abs+adp=80 · abs=70 · adp=60</t>
        </is>
      </c>
      <c r="G9" s="49" t="inlineStr">
        <is>
          <t>M2c_GroundFault</t>
        </is>
      </c>
      <c r="H9" s="51" t="inlineStr">
        <is>
          <t>PENUH*</t>
        </is>
      </c>
    </row>
    <row r="10">
      <c r="A10" s="49" t="n">
        <v>5</v>
      </c>
      <c r="B10" s="49" t="inlineStr">
        <is>
          <t>M2bMpptRatio</t>
        </is>
      </c>
      <c r="C10" s="49" t="inlineStr">
        <is>
          <t>mppt_ratio.py</t>
        </is>
      </c>
      <c r="D10" s="49" t="inlineStr">
        <is>
          <t>I/median(partner se-MPPT) &lt; 0.85 + debounce 20</t>
        </is>
      </c>
      <c r="E10" s="49" t="inlineStr">
        <is>
          <t>mppt_partner_underperform</t>
        </is>
      </c>
      <c r="F10" s="49" t="inlineStr">
        <is>
          <t>rem&lt;0.20 CRIT · &lt;0.50 HIGH · else MED (conf 50–90)</t>
        </is>
      </c>
      <c r="G10" s="49" t="inlineStr">
        <is>
          <t>M2b_MpptRatio</t>
        </is>
      </c>
      <c r="H10" s="50" t="inlineStr">
        <is>
          <t>PENUH</t>
        </is>
      </c>
    </row>
    <row r="11">
      <c r="A11" s="49" t="n">
        <v>6</v>
      </c>
      <c r="B11" s="49" t="inlineStr">
        <is>
          <t>M2IForest</t>
        </is>
      </c>
      <c r="C11" s="49" t="inlineStr">
        <is>
          <t>iforest.py</t>
        </is>
      </c>
      <c r="D11" s="49" t="inlineStr">
        <is>
          <t>IsolationForest 5-fitur (V,I,V_dev,I_dev,R)</t>
        </is>
      </c>
      <c r="E11" s="49" t="inlineStr">
        <is>
          <t>iforest_anomaly</t>
        </is>
      </c>
      <c r="F11" s="49" t="inlineStr">
        <is>
          <t>kuartil rank flagged: CRIT/HIGH/MED/INFO</t>
        </is>
      </c>
      <c r="G11" s="49" t="inlineStr">
        <is>
          <t>IF_Anomaly</t>
        </is>
      </c>
      <c r="H11" s="52" t="inlineStr">
        <is>
          <t>APPROKSIMASI</t>
        </is>
      </c>
    </row>
    <row r="12">
      <c r="A12" s="49" t="n">
        <v>7</v>
      </c>
      <c r="B12" s="49" t="inlineStr">
        <is>
          <t>M2aLowIrradiance</t>
        </is>
      </c>
      <c r="C12" s="49" t="inlineStr">
        <is>
          <t>m2a/low_irradiance.py</t>
        </is>
      </c>
      <c r="D12" s="49" t="inlineStr">
        <is>
          <t>OLS slope PR_proxy vs POA (band low/mid)</t>
        </is>
      </c>
      <c r="E12" s="49" t="inlineStr">
        <is>
          <t>low_irradiance / general_underperform</t>
        </is>
      </c>
      <c r="F12" s="49" t="inlineStr">
        <is>
          <t>|slope_low|·r² → CRIT/HIGH/MED</t>
        </is>
      </c>
      <c r="G12" s="49" t="inlineStr">
        <is>
          <t>M2a_LowIrradiance</t>
        </is>
      </c>
      <c r="H12" s="50" t="inlineStr">
        <is>
          <t>PENUH</t>
        </is>
      </c>
    </row>
    <row r="13">
      <c r="A13" s="49" t="n">
        <v>8</v>
      </c>
      <c r="B13" s="49" t="inlineStr">
        <is>
          <t>M2aShading</t>
        </is>
      </c>
      <c r="C13" s="49" t="inlineStr">
        <is>
          <t>m2a/shading.py</t>
        </is>
      </c>
      <c r="D13" s="49" t="inlineStr">
        <is>
          <t>CV antar-string per jam + PR + asimetri AM/PM</t>
        </is>
      </c>
      <c r="E13" s="49" t="inlineStr">
        <is>
          <t>shading_morning/afternoon/uniform</t>
        </is>
      </c>
      <c r="F13" s="49" t="inlineStr">
        <is>
          <t>0.7·frac + 0.3·asym → CRIT/HIGH/MED</t>
        </is>
      </c>
      <c r="G13" s="49" t="inlineStr">
        <is>
          <t>M2a_Shading</t>
        </is>
      </c>
      <c r="H13" s="50" t="inlineStr">
        <is>
          <t>PENUH</t>
        </is>
      </c>
    </row>
    <row r="14">
      <c r="A14" s="49" t="n">
        <v>9</v>
      </c>
      <c r="B14" s="49" t="inlineStr">
        <is>
          <t>M2aSoiling</t>
        </is>
      </c>
      <c r="C14" s="49" t="inlineStr">
        <is>
          <t>m2a/soiling.py (skeleton)</t>
        </is>
      </c>
      <c r="D14" s="49" t="inlineStr">
        <is>
          <t>rdtools SRR (Monte-Carlo) → ekonomi payback</t>
        </is>
      </c>
      <c r="E14" s="49" t="inlineStr">
        <is>
          <t>soiling_detected / cleaning_recommended / insufficient_data</t>
        </is>
      </c>
      <c r="F14" s="49" t="inlineStr">
        <is>
          <t>(p_loss,payback) → CRIT/HIGH/MED/INFO</t>
        </is>
      </c>
      <c r="G14" s="49" t="inlineStr">
        <is>
          <t>SO_Economics</t>
        </is>
      </c>
      <c r="H14" s="53" t="inlineStr">
        <is>
          <t>HILIR PENUH</t>
        </is>
      </c>
    </row>
    <row r="15">
      <c r="A15" s="49" t="n">
        <v>10</v>
      </c>
      <c r="B15" s="49" t="inlineStr">
        <is>
          <t>M2bIntermittent (LSTM-AE)</t>
        </is>
      </c>
      <c r="C15" s="49" t="inlineStr">
        <is>
          <t>lstm_ae.py (skeleton, enabled=False)</t>
        </is>
      </c>
      <c r="D15" s="49" t="inlineStr">
        <is>
          <t>LSTM Autoencoder; reconstruction error window 24-jam (96×15-min)</t>
        </is>
      </c>
      <c r="E15" s="49" t="inlineStr">
        <is>
          <t>intermittent</t>
        </is>
      </c>
      <c r="F15" s="49" t="inlineStr">
        <is>
          <t>MEDIUM (conf 70)</t>
        </is>
      </c>
      <c r="G15" s="49" t="inlineStr">
        <is>
          <t>(tak ada — input-only)</t>
        </is>
      </c>
      <c r="H15" s="59" t="inlineStr">
        <is>
          <t>INPUT-ONLY</t>
        </is>
      </c>
    </row>
    <row r="17">
      <c r="A17" s="48" t="inlineStr">
        <is>
          <t>Legenda Status Excel</t>
        </is>
      </c>
    </row>
    <row r="18">
      <c r="A18" s="54" t="inlineStr">
        <is>
          <t>PENUH</t>
        </is>
      </c>
      <c r="B18" s="49" t="inlineStr">
        <is>
          <t>Direproduksi eksak sebagai formula live (verified vs source, selisih ~0).</t>
        </is>
      </c>
    </row>
    <row r="19">
      <c r="A19" s="55" t="inlineStr">
        <is>
          <t>PENUH*</t>
        </is>
      </c>
      <c r="B19" s="49" t="inlineStr">
        <is>
          <t>Per-inverter math live &amp; eksak; SATU input representatif: fleet V_gnd median/std (ground_fault).</t>
        </is>
      </c>
    </row>
    <row r="20">
      <c r="A20" s="56" t="inlineStr">
        <is>
          <t>HILIR PENUH</t>
        </is>
      </c>
      <c r="B20" s="49" t="inlineStr">
        <is>
          <t>Semua hilir live &amp; eksak; satu nilai = INPUT black-box: soiling_ratio dari SRR Monte-Carlo.</t>
        </is>
      </c>
    </row>
    <row r="21">
      <c r="A21" s="57" t="inlineStr">
        <is>
          <t>APPROKSIMASI</t>
        </is>
      </c>
      <c r="B21" s="49" t="inlineStr">
        <is>
          <t>Struktur faithful tapi SKOR proxy (MAD), BUKAN skor IsolationForest asli — menandai sampel berbeda.</t>
        </is>
      </c>
    </row>
    <row r="22">
      <c r="A22" s="60" t="inlineStr">
        <is>
          <t>INPUT-ONLY</t>
        </is>
      </c>
      <c r="B22" s="49" t="inlineStr">
        <is>
          <t>Jaringan PyTorch terlatih = black box; TAK ADA sheet &amp; tak ada lapisan hilir bermakna (LSTM-AE). Lihat M2_RE_10.</t>
        </is>
      </c>
    </row>
    <row r="24">
      <c r="A24" s="48" t="inlineStr">
        <is>
          <t>2. Inventaris Sheet &amp; Dokumen (per iterasi)</t>
        </is>
      </c>
    </row>
    <row r="25">
      <c r="A25" s="10" t="inlineStr">
        <is>
          <t>Iterasi</t>
        </is>
      </c>
      <c r="B25" s="10" t="inlineStr">
        <is>
          <t>Detector</t>
        </is>
      </c>
      <c r="C25" s="10" t="inlineStr">
        <is>
          <t>Dokumen RE</t>
        </is>
      </c>
      <c r="D25" s="10" t="inlineStr">
        <is>
          <t>Sheet</t>
        </is>
      </c>
    </row>
    <row r="26">
      <c r="A26" s="49" t="inlineStr">
        <is>
          <t>—</t>
        </is>
      </c>
      <c r="B26" s="49" t="inlineStr">
        <is>
          <t>Inti (shared)</t>
        </is>
      </c>
      <c r="C26" s="49" t="inlineStr">
        <is>
          <t>—</t>
        </is>
      </c>
      <c r="D26" s="49" t="inlineStr">
        <is>
          <t>README, Config</t>
        </is>
      </c>
    </row>
    <row r="27">
      <c r="A27" s="49" t="inlineStr">
        <is>
          <t>2</t>
        </is>
      </c>
      <c r="B27" s="49" t="inlineStr">
        <is>
          <t>M2eAvailability</t>
        </is>
      </c>
      <c r="C27" s="49" t="inlineStr">
        <is>
          <t>(Iterasi 2)</t>
        </is>
      </c>
      <c r="D27" s="49" t="inlineStr">
        <is>
          <t>Raw_Data, EmptyPVMap, Helpers_M2e, M2e_Availability, M2e_AllStrings, Findings_Summary</t>
        </is>
      </c>
    </row>
    <row r="28">
      <c r="A28" s="49" t="inlineStr">
        <is>
          <t>3</t>
        </is>
      </c>
      <c r="B28" s="49" t="inlineStr">
        <is>
          <t>M2bPeerZScore</t>
        </is>
      </c>
      <c r="C28" s="49" t="inlineStr">
        <is>
          <t>M2_RE_03</t>
        </is>
      </c>
      <c r="D28" s="49" t="inlineStr">
        <is>
          <t>PanelSpec, Raw_Data_M2b, Meteo_Dummy, Helpers_M2b, M2b_PeerZScore, M2b_StringStatus, M2b_StatComparison, Hampel_Preprocessing</t>
        </is>
      </c>
    </row>
    <row r="29">
      <c r="A29" s="49" t="inlineStr">
        <is>
          <t>4</t>
        </is>
      </c>
      <c r="B29" s="49" t="inlineStr">
        <is>
          <t>M2bOpenCircuit</t>
        </is>
      </c>
      <c r="C29" s="49" t="inlineStr">
        <is>
          <t>M2_RE_04</t>
        </is>
      </c>
      <c r="D29" s="49" t="inlineStr">
        <is>
          <t>Raw_Data_OC, Helpers_OC, M2b_OpenCircuit, M2b_OC_StringStatus</t>
        </is>
      </c>
    </row>
    <row r="30">
      <c r="A30" s="49" t="inlineStr">
        <is>
          <t>5</t>
        </is>
      </c>
      <c r="B30" s="49" t="inlineStr">
        <is>
          <t>M2bGroundFault</t>
        </is>
      </c>
      <c r="C30" s="49" t="inlineStr">
        <is>
          <t>M2_RE_05</t>
        </is>
      </c>
      <c r="D30" s="49" t="inlineStr">
        <is>
          <t>Raw_Data_GF, Helpers_GF, GF_StringMetrics, M2c_GroundFault, M2c_GF_StringStatus</t>
        </is>
      </c>
    </row>
    <row r="31">
      <c r="A31" s="49" t="inlineStr">
        <is>
          <t>6</t>
        </is>
      </c>
      <c r="B31" s="49" t="inlineStr">
        <is>
          <t>M2IForest</t>
        </is>
      </c>
      <c r="C31" s="49" t="inlineStr">
        <is>
          <t>M2_RE_06</t>
        </is>
      </c>
      <c r="D31" s="49" t="inlineStr">
        <is>
          <t>Raw_Data_IF, Features_IF, IF_Anomaly, IF_Summary</t>
        </is>
      </c>
    </row>
    <row r="32">
      <c r="A32" s="49" t="inlineStr">
        <is>
          <t>7</t>
        </is>
      </c>
      <c r="B32" s="49" t="inlineStr">
        <is>
          <t>M2aLowIrradiance</t>
        </is>
      </c>
      <c r="C32" s="49" t="inlineStr">
        <is>
          <t>M2_RE_07</t>
        </is>
      </c>
      <c r="D32" s="49" t="inlineStr">
        <is>
          <t>Raw_Data_LI, Helpers_LI, M2a_LowIrradiance, LI_Summary</t>
        </is>
      </c>
    </row>
    <row r="33">
      <c r="A33" s="49" t="inlineStr">
        <is>
          <t>8</t>
        </is>
      </c>
      <c r="B33" s="49" t="inlineStr">
        <is>
          <t>M2aShading</t>
        </is>
      </c>
      <c r="C33" s="49" t="inlineStr">
        <is>
          <t>M2_RE_08</t>
        </is>
      </c>
      <c r="D33" s="49" t="inlineStr">
        <is>
          <t>Raw_Data_SH, Helpers_SH, SH_Hourly, M2a_Shading</t>
        </is>
      </c>
    </row>
    <row r="34">
      <c r="A34" s="49" t="inlineStr">
        <is>
          <t>9</t>
        </is>
      </c>
      <c r="B34" s="49" t="inlineStr">
        <is>
          <t>M2aSoiling</t>
        </is>
      </c>
      <c r="C34" s="49" t="inlineStr">
        <is>
          <t>M2_RE_09</t>
        </is>
      </c>
      <c r="D34" s="49" t="inlineStr">
        <is>
          <t>Raw_Data_SO, Helpers_SO, SO_Economics, SO_Summary</t>
        </is>
      </c>
    </row>
    <row r="35">
      <c r="A35" s="49" t="inlineStr">
        <is>
          <t>10</t>
        </is>
      </c>
      <c r="B35" s="49" t="inlineStr">
        <is>
          <t>M2bIntermittent (LSTM-AE)</t>
        </is>
      </c>
      <c r="C35" s="49" t="inlineStr">
        <is>
          <t>M2_RE_10</t>
        </is>
      </c>
      <c r="D35" s="49" t="inlineStr">
        <is>
          <t>(tak ada sheet — input-only; jaringan PyTorch terlatih)</t>
        </is>
      </c>
    </row>
    <row r="36">
      <c r="A36" s="49" t="inlineStr">
        <is>
          <t>11</t>
        </is>
      </c>
      <c r="B36" s="49" t="inlineStr">
        <is>
          <t>M2bMpptRatio</t>
        </is>
      </c>
      <c r="C36" s="49" t="inlineStr">
        <is>
          <t>M2_RE_11</t>
        </is>
      </c>
      <c r="D36" s="49" t="inlineStr">
        <is>
          <t>Raw_Data_MR, Helpers_MR, M2b_MpptRatio, M2b_MR_StringStatus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M2 PV Performance — Workbook Excel</t>
        </is>
      </c>
    </row>
    <row r="2">
      <c r="A2" s="2" t="inlineStr">
        <is>
          <t>Reverse engineering dari pv_pipeline/ (notebook 20260514stringmap_v1.5.ipynb)</t>
        </is>
      </c>
    </row>
    <row r="4">
      <c r="A4" s="3" t="inlineStr">
        <is>
          <t>Iterasi log</t>
        </is>
      </c>
    </row>
    <row r="5">
      <c r="A5" s="4" t="inlineStr">
        <is>
          <t>Iterasi</t>
        </is>
      </c>
      <c r="B5" s="4" t="inlineStr">
        <is>
          <t>Tanggal</t>
        </is>
      </c>
      <c r="C5" s="4" t="inlineStr">
        <is>
          <t>Detector</t>
        </is>
      </c>
      <c r="D5" s="4" t="inlineStr">
        <is>
          <t>Sheet yang ditambah</t>
        </is>
      </c>
    </row>
    <row r="6">
      <c r="A6" s="5" t="inlineStr">
        <is>
          <t>1 (Phase 1)</t>
        </is>
      </c>
      <c r="B6" s="5" t="inlineStr">
        <is>
          <t>2026-05-28</t>
        </is>
      </c>
      <c r="C6" s="5" t="inlineStr">
        <is>
          <t>—</t>
        </is>
      </c>
      <c r="D6" s="5" t="inlineStr">
        <is>
          <t>Hanya dokumen overview (.docx + .md). Belum ada Excel.</t>
        </is>
      </c>
    </row>
    <row r="7">
      <c r="A7" s="5" t="inlineStr">
        <is>
          <t>2</t>
        </is>
      </c>
      <c r="B7" s="5" t="inlineStr">
        <is>
          <t>2026-05-28</t>
        </is>
      </c>
      <c r="C7" s="5" t="inlineStr">
        <is>
          <t>M2eAvailability</t>
        </is>
      </c>
      <c r="D7" s="5" t="inlineStr">
        <is>
          <t>README, Config, Raw_Data, EmptyPVMap, Helpers_M2e, M2e_Availability, M2e_AllStrings, Findings_Summary</t>
        </is>
      </c>
    </row>
    <row r="8">
      <c r="A8" s="5" t="inlineStr">
        <is>
          <t>3</t>
        </is>
      </c>
      <c r="B8" s="5" t="inlineStr">
        <is>
          <t>2026-05-28</t>
        </is>
      </c>
      <c r="C8" s="5" t="inlineStr">
        <is>
          <t>M2bPeerZScore</t>
        </is>
      </c>
      <c r="D8" s="5" t="inlineStr">
        <is>
          <t>Meteo_Dummy, PanelSpec, Raw_Data_M2b, Helpers_M2b, M2b_PeerZScore, M2b_StringStatus, Hampel_Preprocessing, M2b_StatComparison</t>
        </is>
      </c>
    </row>
    <row r="9">
      <c r="A9" s="5" t="inlineStr">
        <is>
          <t>4</t>
        </is>
      </c>
      <c r="B9" s="5" t="inlineStr">
        <is>
          <t>2026-05-29</t>
        </is>
      </c>
      <c r="C9" s="5" t="inlineStr">
        <is>
          <t>M2bOpenCircuit</t>
        </is>
      </c>
      <c r="D9" s="5" t="inlineStr">
        <is>
          <t>Raw_Data_OC, Helpers_OC, M2b_OpenCircuit, M2b_OC_StringStatus</t>
        </is>
      </c>
    </row>
    <row r="10">
      <c r="A10" s="29" t="inlineStr">
        <is>
          <t>5</t>
        </is>
      </c>
      <c r="B10" s="5" t="inlineStr">
        <is>
          <t>2026-05-30</t>
        </is>
      </c>
      <c r="C10" s="5" t="inlineStr">
        <is>
          <t>M2bGroundFault</t>
        </is>
      </c>
      <c r="D10" s="5" t="inlineStr">
        <is>
          <t>Raw_Data_GF, Helpers_GF, GF_StringMetrics, M2c_GroundFault, M2c_GF_StringStatus</t>
        </is>
      </c>
    </row>
    <row r="11" ht="30" customHeight="1">
      <c r="A11" s="29" t="inlineStr">
        <is>
          <t>6</t>
        </is>
      </c>
      <c r="B11" s="5" t="inlineStr">
        <is>
          <t>2026-05-30</t>
        </is>
      </c>
      <c r="C11" s="5" t="inlineStr">
        <is>
          <t>M2IForest (approx)</t>
        </is>
      </c>
      <c r="D11" s="5" t="inlineStr">
        <is>
          <t>Raw_Data_IF, Features_IF, IF_Anomaly, IF_Summary  [APPROKSIMASI MAD — bukan true iForest]</t>
        </is>
      </c>
    </row>
    <row r="12" ht="30" customHeight="1">
      <c r="A12" s="29" t="inlineStr">
        <is>
          <t>7</t>
        </is>
      </c>
      <c r="B12" s="5" t="inlineStr">
        <is>
          <t>2026-05-30</t>
        </is>
      </c>
      <c r="C12" s="5" t="inlineStr">
        <is>
          <t>M2aLowIrradiance</t>
        </is>
      </c>
      <c r="D12" s="5" t="inlineStr">
        <is>
          <t>Raw_Data_LI, Helpers_LI, M2a_LowIrradiance, LI_Summary (dibangun ulang 2026-09-28: relatif-tetangga)</t>
        </is>
      </c>
    </row>
    <row r="13" ht="30" customHeight="1">
      <c r="A13" s="29" t="inlineStr">
        <is>
          <t>8</t>
        </is>
      </c>
      <c r="B13" s="5" t="inlineStr">
        <is>
          <t>2026-05-30</t>
        </is>
      </c>
      <c r="C13" s="5" t="inlineStr">
        <is>
          <t>M2aShading</t>
        </is>
      </c>
      <c r="D13" s="5" t="inlineStr">
        <is>
          <t>Raw_Data_SH, Helpers_SH, SH_Hourly, M2a_Shading</t>
        </is>
      </c>
    </row>
    <row r="14" ht="30" customHeight="1">
      <c r="A14" s="29" t="inlineStr">
        <is>
          <t>9</t>
        </is>
      </c>
      <c r="B14" s="5" t="inlineStr">
        <is>
          <t>2026-05-30</t>
        </is>
      </c>
      <c r="C14" s="5" t="inlineStr">
        <is>
          <t>M2aSoiling (skeleton)</t>
        </is>
      </c>
      <c r="D14" s="5" t="inlineStr">
        <is>
          <t>Raw_Data_SO, Helpers_SO, SO_Economics, SO_Summary  [SRR=input, ekonomi=live]</t>
        </is>
      </c>
    </row>
    <row r="15" ht="30" customHeight="1">
      <c r="A15" s="29" t="inlineStr">
        <is>
          <t>11</t>
        </is>
      </c>
      <c r="B15" s="5" t="inlineStr">
        <is>
          <t>2026-06-13</t>
        </is>
      </c>
      <c r="C15" s="5" t="inlineStr">
        <is>
          <t>M2bMpptRatio</t>
        </is>
      </c>
      <c r="D15" s="5" t="inlineStr">
        <is>
          <t>Raw_Data_MR, Helpers_MR, M2b_MpptRatio, M2b_MR_StringStatus</t>
        </is>
      </c>
    </row>
    <row r="16" ht="30" customHeight="1">
      <c r="A16" s="24" t="inlineStr">
        <is>
          <t>Cara membaca</t>
        </is>
      </c>
    </row>
    <row r="17">
      <c r="A17" s="30" t="inlineStr">
        <is>
          <t>• Sheet 'Config' adalah single source of truth untuk semua threshold. Edit di sini → seluruh workbook recalc.</t>
        </is>
      </c>
    </row>
    <row r="18">
      <c r="A18" s="30" t="inlineStr">
        <is>
          <t>• Sheet 'Raw_Data' berisi data dummy realistis. Ganti dengan data aktual mu (paste over) untuk pakai workbook ini di lapangan.</t>
        </is>
      </c>
    </row>
    <row r="19">
      <c r="A19" s="30" t="inlineStr">
        <is>
          <t>• Sheet 'Helpers_M2e' adalah JEMBATAN antara Raw_Data dan M2e_Availability. Tiap kolom punya formula yang ekuivalen dengan satu langkah di pv_pipeline/availability.py.</t>
        </is>
      </c>
    </row>
    <row r="20">
      <c r="A20" s="30" t="inlineStr">
        <is>
          <t>• Sheet 'M2e_Availability' menampilkan hasil akhir per inverter &amp; per string + severity. Sheet 'M2e_AllStrings' mereplika output sheet xlsx Python.</t>
        </is>
      </c>
    </row>
    <row r="21">
      <c r="A21" s="30" t="inlineStr">
        <is>
          <t>• Severity dihitung via IFS() dari uptime_pct ke threshold di Config.</t>
        </is>
      </c>
    </row>
    <row r="22">
      <c r="A22" s="30" t="inlineStr">
        <is>
          <t>• Workbook ini akan TUMBUH per iterasi — sheet baru ditambah tanpa mengubah yang lama.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60" customWidth="1" min="4" max="4"/>
  </cols>
  <sheetData>
    <row r="1">
      <c r="A1" s="7" t="inlineStr">
        <is>
          <t>M2 Configuration (mirror config/m2_config.yaml)</t>
        </is>
      </c>
    </row>
    <row r="2"/>
    <row r="3">
      <c r="A3" s="8" t="inlineStr">
        <is>
          <t>Section</t>
        </is>
      </c>
      <c r="B3" s="8" t="inlineStr">
        <is>
          <t>Key</t>
        </is>
      </c>
      <c r="C3" s="8" t="inlineStr">
        <is>
          <t>Value</t>
        </is>
      </c>
      <c r="D3" s="8" t="inlineStr">
        <is>
          <t>Unit / Notes</t>
        </is>
      </c>
    </row>
    <row r="4">
      <c r="A4" s="5" t="inlineStr">
        <is>
          <t>m2e.severity</t>
        </is>
      </c>
      <c r="B4" s="5" t="inlineStr">
        <is>
          <t>critical_below</t>
        </is>
      </c>
      <c r="C4" s="9" t="n">
        <v>90</v>
      </c>
      <c r="D4" s="5" t="inlineStr">
        <is>
          <t>% uptime; &lt; ini → CRITICAL</t>
        </is>
      </c>
    </row>
    <row r="5">
      <c r="A5" s="5" t="inlineStr">
        <is>
          <t>m2e.severity</t>
        </is>
      </c>
      <c r="B5" s="5" t="inlineStr">
        <is>
          <t>high_below</t>
        </is>
      </c>
      <c r="C5" s="9" t="n">
        <v>95</v>
      </c>
      <c r="D5" s="5" t="inlineStr">
        <is>
          <t>% uptime; &lt; ini → HIGH</t>
        </is>
      </c>
    </row>
    <row r="6">
      <c r="A6" s="5" t="inlineStr">
        <is>
          <t>m2e.severity</t>
        </is>
      </c>
      <c r="B6" s="5" t="inlineStr">
        <is>
          <t>medium_below</t>
        </is>
      </c>
      <c r="C6" s="9" t="n">
        <v>97</v>
      </c>
      <c r="D6" s="5" t="inlineStr">
        <is>
          <t>% uptime; &lt; ini → MEDIUM</t>
        </is>
      </c>
    </row>
    <row r="7">
      <c r="A7" s="5" t="inlineStr">
        <is>
          <t>m2e.severity</t>
        </is>
      </c>
      <c r="B7" s="5" t="inlineStr">
        <is>
          <t>info_below</t>
        </is>
      </c>
      <c r="C7" s="9" t="n">
        <v>99</v>
      </c>
      <c r="D7" s="5" t="inlineStr">
        <is>
          <t>% uptime; &lt; ini → INFO; ≥ ini → NORMAL</t>
        </is>
      </c>
    </row>
    <row r="8">
      <c r="A8" s="5" t="inlineStr">
        <is>
          <t>m2e.severity</t>
        </is>
      </c>
      <c r="B8" s="5" t="inlineStr">
        <is>
          <t>emit_normal</t>
        </is>
      </c>
      <c r="C8" s="9" t="n">
        <v>0</v>
      </c>
      <c r="D8" s="5" t="inlineStr">
        <is>
          <t>1=emit NORMAL findings, 0=skip</t>
        </is>
      </c>
    </row>
    <row r="9">
      <c r="A9" s="5" t="inlineStr">
        <is>
          <t>m2e.string_proxy</t>
        </is>
      </c>
      <c r="B9" s="5" t="inlineStr">
        <is>
          <t>pstr_zero_threshold_kw</t>
        </is>
      </c>
      <c r="C9" s="9" t="n">
        <v>0.1</v>
      </c>
      <c r="D9" s="5" t="inlineStr">
        <is>
          <t>kW; PV power &lt; ini → string dianggap mati</t>
        </is>
      </c>
    </row>
    <row r="10">
      <c r="A10" s="5" t="inlineStr">
        <is>
          <t>m2e.string_proxy</t>
        </is>
      </c>
      <c r="B10" s="5" t="inlineStr">
        <is>
          <t>sibling_median_active_kw</t>
        </is>
      </c>
      <c r="C10" s="9" t="n">
        <v>1</v>
      </c>
      <c r="D10" s="5" t="inlineStr">
        <is>
          <t>kW; median sibling &gt;= ini → timestamp 'produktif'</t>
        </is>
      </c>
    </row>
    <row r="11">
      <c r="A11" s="5" t="inlineStr">
        <is>
          <t>m2e.string_proxy</t>
        </is>
      </c>
      <c r="B11" s="5" t="inlineStr">
        <is>
          <t>min_active_siblings_pct</t>
        </is>
      </c>
      <c r="C11" s="9" t="n">
        <v>50</v>
      </c>
      <c r="D11" s="5" t="inlineStr">
        <is>
          <t>%; minimum % sibling aktif → 'qualified' timestamp</t>
        </is>
      </c>
    </row>
    <row r="12">
      <c r="A12" s="5" t="inlineStr">
        <is>
          <t>m2e.string_proxy</t>
        </is>
      </c>
      <c r="B12" s="5" t="inlineStr">
        <is>
          <t>debounce_consecutive_steps</t>
        </is>
      </c>
      <c r="C12" s="9" t="n">
        <v>2</v>
      </c>
      <c r="D12" s="5" t="inlineStr">
        <is>
          <t>step; run candidate &gt;= ini → genuine event. DUMMY=2 (original spec). PRODUKSI IKN=20 (~1h40m persist).</t>
        </is>
      </c>
    </row>
    <row r="13">
      <c r="A13" s="5" t="inlineStr">
        <is>
          <t>system</t>
        </is>
      </c>
      <c r="B13" s="5" t="inlineStr">
        <is>
          <t>interval_minutes</t>
        </is>
      </c>
      <c r="C13" s="9" t="n">
        <v>5</v>
      </c>
      <c r="D13" s="5" t="inlineStr">
        <is>
          <t>menit; median selisih Start Time (auto-detected, override saat dummy)</t>
        </is>
      </c>
    </row>
    <row r="14">
      <c r="A14" s="5" t="inlineStr">
        <is>
          <t>system</t>
        </is>
      </c>
      <c r="B14" s="5" t="inlineStr">
        <is>
          <t>pv_max</t>
        </is>
      </c>
      <c r="C14" s="9" t="n">
        <v>28</v>
      </c>
      <c r="D14" s="5" t="inlineStr">
        <is>
          <t>PV string per inverter (hardcoded Huawei cap)</t>
        </is>
      </c>
    </row>
    <row r="15">
      <c r="A15" s="5" t="inlineStr">
        <is>
          <t>system</t>
        </is>
      </c>
      <c r="B15" s="5" t="inlineStr">
        <is>
          <t>n_pv_total_in_workbook</t>
        </is>
      </c>
      <c r="C15" s="9" t="n">
        <v>5</v>
      </c>
      <c r="D15" s="5" t="inlineStr">
        <is>
          <t>PV string yang ada di sheet ini (PV1..PV5)</t>
        </is>
      </c>
    </row>
    <row r="16">
      <c r="A16" s="5" t="inlineStr">
        <is>
          <t>m2b</t>
        </is>
      </c>
      <c r="B16" s="5" t="inlineStr">
        <is>
          <t>poa_threshold_wm2</t>
        </is>
      </c>
      <c r="C16" s="9" t="n">
        <v>300</v>
      </c>
      <c r="D16" s="5" t="inlineStr">
        <is>
          <t>W/m²; |z| Z-score hanya hitung saat POA &gt; ini (spec 4.2.1)</t>
        </is>
      </c>
    </row>
    <row r="17">
      <c r="A17" s="5" t="inlineStr">
        <is>
          <t>m2b</t>
        </is>
      </c>
      <c r="B17" s="5" t="inlineStr">
        <is>
          <t>poa_floor_wm2</t>
        </is>
      </c>
      <c r="C17" s="9" t="n">
        <v>50</v>
      </c>
      <c r="D17" s="5" t="inlineStr">
        <is>
          <t>W/m²; sunset fix — POA harus &gt; ini (sensor lag protection)</t>
        </is>
      </c>
    </row>
    <row r="18">
      <c r="A18" s="5" t="inlineStr">
        <is>
          <t>m2b</t>
        </is>
      </c>
      <c r="B18" s="5" t="inlineStr">
        <is>
          <t>z_threshold</t>
        </is>
      </c>
      <c r="C18" s="9" t="n">
        <v>2.5</v>
      </c>
      <c r="D18" s="5" t="inlineStr">
        <is>
          <t>|z| &gt; ini → flag suspect (spec 4.2.1)</t>
        </is>
      </c>
    </row>
    <row r="19">
      <c r="A19" s="5" t="inlineStr">
        <is>
          <t>m2b</t>
        </is>
      </c>
      <c r="B19" s="5" t="inlineStr">
        <is>
          <t>z_high_threshold</t>
        </is>
      </c>
      <c r="C19" s="9" t="n">
        <v>3.5</v>
      </c>
      <c r="D19" s="5" t="inlineStr">
        <is>
          <t>|z| &gt; ini → severity HIGH; else MEDIUM</t>
        </is>
      </c>
    </row>
    <row r="20">
      <c r="A20" s="5" t="inlineStr">
        <is>
          <t>m2b</t>
        </is>
      </c>
      <c r="B20" s="5" t="inlineStr">
        <is>
          <t>voc_ratio_threshold</t>
        </is>
      </c>
      <c r="C20" s="9" t="n">
        <v>0.95</v>
      </c>
      <c r="D20" s="5" t="inlineStr">
        <is>
          <t>voc_actual/voc_string_nominal &gt; ini → confirm high_R (spec 4.2.3)</t>
        </is>
      </c>
    </row>
    <row r="21">
      <c r="A21" s="5" t="inlineStr">
        <is>
          <t>m2b</t>
        </is>
      </c>
      <c r="B21" s="5" t="inlineStr">
        <is>
          <t>stat_method</t>
        </is>
      </c>
      <c r="C21" s="9" t="inlineStr">
        <is>
          <t>median</t>
        </is>
      </c>
      <c r="D21" s="5" t="inlineStr">
        <is>
          <t>mean | median | both (z_primary picker)</t>
        </is>
      </c>
    </row>
    <row r="22">
      <c r="A22" s="5" t="inlineStr">
        <is>
          <t>m2b</t>
        </is>
      </c>
      <c r="B22" s="5" t="inlineStr">
        <is>
          <t>min_peer_strings</t>
        </is>
      </c>
      <c r="C22" s="9" t="n">
        <v>3</v>
      </c>
      <c r="D22" s="5" t="inlineStr">
        <is>
          <t>min sibling per inverter untuk valid peer comparison</t>
        </is>
      </c>
    </row>
    <row r="23">
      <c r="A23" s="5" t="inlineStr">
        <is>
          <t>m2b</t>
        </is>
      </c>
      <c r="B23" s="5" t="inlineStr">
        <is>
          <t>min_daylight_samples</t>
        </is>
      </c>
      <c r="C23" s="9" t="n">
        <v>10</v>
      </c>
      <c r="D23" s="5" t="inlineStr">
        <is>
          <t>min samples lulus POA gate per inverter</t>
        </is>
      </c>
    </row>
    <row r="24">
      <c r="A24" s="5" t="inlineStr">
        <is>
          <t>m2b</t>
        </is>
      </c>
      <c r="B24" s="5" t="inlineStr">
        <is>
          <t>i_clip_floor_a</t>
        </is>
      </c>
      <c r="C24" s="9" t="n">
        <v>0.1</v>
      </c>
      <c r="D24" s="5" t="inlineStr">
        <is>
          <t>clip(lower=0.1A) untuk hindari divide-by-zero saat R=V/I</t>
        </is>
      </c>
    </row>
    <row r="25">
      <c r="A25" s="5" t="inlineStr">
        <is>
          <t>voc_estimator</t>
        </is>
      </c>
      <c r="B25" s="5" t="inlineStr">
        <is>
          <t>i_threshold_a</t>
        </is>
      </c>
      <c r="C25" s="9" t="n">
        <v>0.5</v>
      </c>
      <c r="D25" s="5" t="inlineStr">
        <is>
          <t>I &lt; ini → dianggap open-circuit (sunrise/sunset)</t>
        </is>
      </c>
    </row>
    <row r="26">
      <c r="A26" s="5" t="inlineStr">
        <is>
          <t>voc_estimator</t>
        </is>
      </c>
      <c r="B26" s="5" t="inlineStr">
        <is>
          <t>min_voc_v</t>
        </is>
      </c>
      <c r="C26" s="9" t="n">
        <v>10</v>
      </c>
      <c r="D26" s="5" t="inlineStr">
        <is>
          <t>V &gt; ini → buang zero-reading sample</t>
        </is>
      </c>
    </row>
    <row r="27">
      <c r="A27" s="5" t="inlineStr">
        <is>
          <t>voc_estimator</t>
        </is>
      </c>
      <c r="B27" s="5" t="inlineStr">
        <is>
          <t>min_samples</t>
        </is>
      </c>
      <c r="C27" s="9" t="n">
        <v>3</v>
      </c>
      <c r="D27" s="5" t="inlineStr">
        <is>
          <t>minimum samples valid untuk median voc</t>
        </is>
      </c>
    </row>
    <row r="28">
      <c r="A28" s="5" t="inlineStr">
        <is>
          <t>preprocessing</t>
        </is>
      </c>
      <c r="B28" s="5" t="inlineStr">
        <is>
          <t>hampel_window</t>
        </is>
      </c>
      <c r="C28" s="9" t="n">
        <v>15</v>
      </c>
      <c r="D28" s="5" t="inlineStr">
        <is>
          <t>samples; rolling window (75 menit @ 5-min)</t>
        </is>
      </c>
    </row>
    <row r="29">
      <c r="A29" s="5" t="inlineStr">
        <is>
          <t>preprocessing</t>
        </is>
      </c>
      <c r="B29" s="5" t="inlineStr">
        <is>
          <t>hampel_max_deviation</t>
        </is>
      </c>
      <c r="C29" s="9" t="n">
        <v>3</v>
      </c>
      <c r="D29" s="5" t="inlineStr">
        <is>
          <t>MAD-sigma; |x - median| / MAD &gt; ini → outlier</t>
        </is>
      </c>
    </row>
    <row r="30">
      <c r="A30" s="5" t="inlineStr">
        <is>
          <t>preprocessing</t>
        </is>
      </c>
      <c r="B30" s="5" t="inlineStr">
        <is>
          <t>enabled</t>
        </is>
      </c>
      <c r="C30" s="9" t="n">
        <v>0</v>
      </c>
      <c r="D30" s="5" t="inlineStr">
        <is>
          <t>1=apply Hampel cleaning, 0=skip (raw V/I)</t>
        </is>
      </c>
    </row>
    <row r="31">
      <c r="A31" s="5" t="inlineStr">
        <is>
          <t>poa</t>
        </is>
      </c>
      <c r="B31" s="5" t="inlineStr">
        <is>
          <t>default_source</t>
        </is>
      </c>
      <c r="C31" s="9" t="inlineStr">
        <is>
          <t>pyranometer_avg</t>
        </is>
      </c>
      <c r="D31" s="5" t="inlineStr">
        <is>
          <t>single source di dummy (production: 5 sources)</t>
        </is>
      </c>
    </row>
    <row r="32">
      <c r="A32" s="5" t="inlineStr">
        <is>
          <t>m2b_open_circuit</t>
        </is>
      </c>
      <c r="B32" s="5" t="inlineStr">
        <is>
          <t>poa_threshold_wm2</t>
        </is>
      </c>
      <c r="C32" s="22" t="n">
        <v>700</v>
      </c>
      <c r="D32" s="5" t="inlineStr">
        <is>
          <t>W/m²; daylight gate utama (config override; spec 4.2.3 tulis 200)</t>
        </is>
      </c>
    </row>
    <row r="33">
      <c r="A33" s="5" t="inlineStr">
        <is>
          <t>m2b_open_circuit</t>
        </is>
      </c>
      <c r="B33" s="5" t="inlineStr">
        <is>
          <t>poa_floor_wm2</t>
        </is>
      </c>
      <c r="C33" s="22" t="n">
        <v>50</v>
      </c>
      <c r="D33" s="5" t="inlineStr">
        <is>
          <t>W/m²; hard floor sunset/twilight (sensor-lag protection)</t>
        </is>
      </c>
    </row>
    <row r="34">
      <c r="A34" s="5" t="inlineStr">
        <is>
          <t>m2b_open_circuit</t>
        </is>
      </c>
      <c r="B34" s="5" t="inlineStr">
        <is>
          <t>i_ratio_threshold</t>
        </is>
      </c>
      <c r="C34" s="22" t="n">
        <v>0.05</v>
      </c>
      <c r="D34" s="5" t="inlineStr">
        <is>
          <t>I_string/I_q95 &lt; ini → qualifying (spec 4.2.3: &lt;5%)</t>
        </is>
      </c>
    </row>
    <row r="35">
      <c r="A35" s="5" t="inlineStr">
        <is>
          <t>m2b_open_circuit</t>
        </is>
      </c>
      <c r="B35" s="5" t="inlineStr">
        <is>
          <t>debounce_consecutive_steps</t>
        </is>
      </c>
      <c r="C35" s="22" t="n">
        <v>20</v>
      </c>
      <c r="D35" s="5" t="inlineStr">
        <is>
          <t>qualifying harus ≥N step konsekutif → genuine event (~100min @5-min)</t>
        </is>
      </c>
    </row>
    <row r="36">
      <c r="A36" s="5" t="inlineStr">
        <is>
          <t>m2b_open_circuit</t>
        </is>
      </c>
      <c r="B36" s="5" t="inlineStr">
        <is>
          <t>confidence_pct</t>
        </is>
      </c>
      <c r="C36" s="22" t="n">
        <v>95</v>
      </c>
      <c r="D36" s="5" t="inlineStr">
        <is>
          <t>confidence finding (spec 4.2.3)</t>
        </is>
      </c>
    </row>
    <row r="37">
      <c r="A37" s="5" t="inlineStr">
        <is>
          <t>m2b_open_circuit</t>
        </is>
      </c>
      <c r="B37" s="5" t="inlineStr">
        <is>
          <t>iq95_clip_floor_a</t>
        </is>
      </c>
      <c r="C37" s="22" t="n">
        <v>0.01</v>
      </c>
      <c r="D37" s="5" t="inlineStr">
        <is>
          <t>clip(lower) I_q95 untuk hindari div-by-zero</t>
        </is>
      </c>
    </row>
    <row r="38">
      <c r="A38" s="5" t="inlineStr">
        <is>
          <t>m2b_ground_fault</t>
        </is>
      </c>
      <c r="B38" s="5" t="inlineStr">
        <is>
          <t>poa_threshold_wm2</t>
        </is>
      </c>
      <c r="C38" s="22" t="n">
        <v>200</v>
      </c>
      <c r="D38" s="5" t="inlineStr">
        <is>
          <t>W/m²; daylight gate (selaras spec 4.2.3 &amp; default kode)</t>
        </is>
      </c>
    </row>
    <row r="39">
      <c r="A39" s="5" t="inlineStr">
        <is>
          <t>m2b_ground_fault</t>
        </is>
      </c>
      <c r="B39" s="5" t="inlineStr">
        <is>
          <t>poa_floor_wm2</t>
        </is>
      </c>
      <c r="C39" s="22" t="n">
        <v>50</v>
      </c>
      <c r="D39" s="5" t="inlineStr">
        <is>
          <t>W/m²; hard floor sunset/twilight</t>
        </is>
      </c>
    </row>
    <row r="40">
      <c r="A40" s="5" t="inlineStr">
        <is>
          <t>m2b_ground_fault</t>
        </is>
      </c>
      <c r="B40" s="5" t="inlineStr">
        <is>
          <t>v_to_ground_abs_threshold_v</t>
        </is>
      </c>
      <c r="C40" s="22" t="n">
        <v>50</v>
      </c>
      <c r="D40" s="5" t="inlineStr">
        <is>
          <t>MAX|V_PV-ground| &gt; ini → trigger 'absolute'</t>
        </is>
      </c>
    </row>
    <row r="41">
      <c r="A41" s="5" t="inlineStr">
        <is>
          <t>m2b_ground_fault</t>
        </is>
      </c>
      <c r="B41" s="5" t="inlineStr">
        <is>
          <t>adaptive_z_threshold</t>
        </is>
      </c>
      <c r="C41" s="22" t="n">
        <v>3</v>
      </c>
      <c r="D41" s="5" t="inlineStr">
        <is>
          <t>|median-fleet|/std &gt; ini → trigger 'adaptive'</t>
        </is>
      </c>
    </row>
    <row r="42">
      <c r="A42" s="5" t="inlineStr">
        <is>
          <t>m2b_ground_fault</t>
        </is>
      </c>
      <c r="B42" s="5" t="inlineStr">
        <is>
          <t>voc_ratio_threshold</t>
        </is>
      </c>
      <c r="C42" s="22" t="n">
        <v>0.85</v>
      </c>
      <c r="D42" s="5" t="inlineStr">
        <is>
          <t>voc_ratio &lt; ini (+i_z&gt;2) → trigger 'spec_4.2.3'</t>
        </is>
      </c>
    </row>
    <row r="43">
      <c r="A43" s="5" t="inlineStr">
        <is>
          <t>m2b_ground_fault</t>
        </is>
      </c>
      <c r="B43" s="5" t="inlineStr">
        <is>
          <t>i_high_z_threshold</t>
        </is>
      </c>
      <c r="C43" s="22" t="n">
        <v>2</v>
      </c>
      <c r="D43" s="5" t="inlineStr">
        <is>
          <t>peer I z-score &gt; ini → arus abnormal tinggi (spec)</t>
        </is>
      </c>
    </row>
    <row r="44">
      <c r="A44" s="5" t="inlineStr">
        <is>
          <t>m2b_ground_fault</t>
        </is>
      </c>
      <c r="B44" s="5" t="inlineStr">
        <is>
          <t>fleet_v_gnd_median_v</t>
        </is>
      </c>
      <c r="C44" s="22" t="n">
        <v>0</v>
      </c>
      <c r="D44" s="5" t="inlineStr">
        <is>
          <t>INPUT: median V_gnd fleet (~200 inv IKN); demo tak reproduksi fleet penuh</t>
        </is>
      </c>
    </row>
    <row r="45">
      <c r="A45" s="5" t="inlineStr">
        <is>
          <t>m2b_ground_fault</t>
        </is>
      </c>
      <c r="B45" s="5" t="inlineStr">
        <is>
          <t>fleet_v_gnd_std_v</t>
        </is>
      </c>
      <c r="C45" s="22" t="n">
        <v>8</v>
      </c>
      <c r="D45" s="5" t="inlineStr">
        <is>
          <t>INPUT: std V_gnd fleet; lihat catatan limitasi §5</t>
        </is>
      </c>
    </row>
    <row r="46">
      <c r="A46" s="5" t="inlineStr">
        <is>
          <t>m2_iforest</t>
        </is>
      </c>
      <c r="B46" s="5" t="inlineStr">
        <is>
          <t>contamination_demo</t>
        </is>
      </c>
      <c r="C46" s="22" t="n">
        <v>0.05</v>
      </c>
      <c r="D46" s="5" t="inlineStr">
        <is>
          <t>fraksi anomali demo (default produksi 0.01)</t>
        </is>
      </c>
    </row>
    <row r="47">
      <c r="A47" s="5" t="inlineStr">
        <is>
          <t>m2_iforest</t>
        </is>
      </c>
      <c r="B47" s="5" t="inlineStr">
        <is>
          <t>r_current_floor_a</t>
        </is>
      </c>
      <c r="C47" s="22" t="n">
        <v>0.1</v>
      </c>
      <c r="D47" s="5" t="inlineStr">
        <is>
          <t>R = V / MAX(I, ini)  (proxy resistansi)</t>
        </is>
      </c>
    </row>
    <row r="48">
      <c r="A48" s="5" t="inlineStr">
        <is>
          <t>m2_iforest</t>
        </is>
      </c>
      <c r="B48" s="5" t="inlineStr">
        <is>
          <t>mad_scale</t>
        </is>
      </c>
      <c r="C48" s="22" t="n">
        <v>1.4826</v>
      </c>
      <c r="D48" s="5" t="inlineStr">
        <is>
          <t>MAD → sigma (konsistensi normal): z = |x-med|/(1.4826·MAD)</t>
        </is>
      </c>
    </row>
    <row r="49">
      <c r="A49" s="5" t="inlineStr">
        <is>
          <t>m2_iforest</t>
        </is>
      </c>
      <c r="B49" s="5" t="inlineStr">
        <is>
          <t>real_contamination</t>
        </is>
      </c>
      <c r="C49" s="22" t="n">
        <v>0.01</v>
      </c>
      <c r="D49" s="5" t="inlineStr">
        <is>
          <t>DOKUMENTASI: contamination iForest asli (sklearn)</t>
        </is>
      </c>
    </row>
    <row r="50">
      <c r="A50" s="5" t="inlineStr">
        <is>
          <t>m2_iforest</t>
        </is>
      </c>
      <c r="B50" s="5" t="inlineStr">
        <is>
          <t>real_n_estimators</t>
        </is>
      </c>
      <c r="C50" s="22" t="n">
        <v>100</v>
      </c>
      <c r="D50" s="5" t="inlineStr">
        <is>
          <t>DOKUMENTASI: n_estimators iForest asli</t>
        </is>
      </c>
    </row>
    <row r="51">
      <c r="A51" s="5" t="inlineStr">
        <is>
          <t>m2_iforest</t>
        </is>
      </c>
      <c r="B51" s="5" t="inlineStr">
        <is>
          <t>real_random_state</t>
        </is>
      </c>
      <c r="C51" s="22" t="n">
        <v>42</v>
      </c>
      <c r="D51" s="5" t="inlineStr">
        <is>
          <t>DOKUMENTASI: random_state iForest asli (reproducible)</t>
        </is>
      </c>
    </row>
    <row r="52">
      <c r="A52" s="5" t="inlineStr">
        <is>
          <t>m2a_low_irradiance</t>
        </is>
      </c>
      <c r="B52" s="5" t="inlineStr">
        <is>
          <t>poa_low_min</t>
        </is>
      </c>
      <c r="C52" s="22" t="n">
        <v>50</v>
      </c>
      <c r="D52" s="5" t="inlineStr">
        <is>
          <t>band low POA min (W/m²)</t>
        </is>
      </c>
    </row>
    <row r="53">
      <c r="A53" s="5" t="inlineStr">
        <is>
          <t>m2a_low_irradiance</t>
        </is>
      </c>
      <c r="B53" s="5" t="inlineStr">
        <is>
          <t>poa_low_max</t>
        </is>
      </c>
      <c r="C53" s="22" t="n">
        <v>250</v>
      </c>
      <c r="D53" s="5" t="inlineStr">
        <is>
          <t>band low POA max</t>
        </is>
      </c>
    </row>
    <row r="54">
      <c r="A54" s="5" t="inlineStr">
        <is>
          <t>m2a_low_irradiance</t>
        </is>
      </c>
      <c r="B54" s="5" t="inlineStr">
        <is>
          <t>poa_mid_min</t>
        </is>
      </c>
      <c r="C54" s="22" t="n">
        <v>300</v>
      </c>
      <c r="D54" s="5" t="inlineStr">
        <is>
          <t>band mid POA min (cross-check soiling)</t>
        </is>
      </c>
    </row>
    <row r="55">
      <c r="A55" s="5" t="inlineStr">
        <is>
          <t>m2a_low_irradiance</t>
        </is>
      </c>
      <c r="B55" s="5" t="inlineStr">
        <is>
          <t>poa_mid_max</t>
        </is>
      </c>
      <c r="C55" s="22" t="n">
        <v>800</v>
      </c>
      <c r="D55" s="5" t="inlineStr">
        <is>
          <t>band mid POA max</t>
        </is>
      </c>
    </row>
    <row r="56">
      <c r="A56" s="5" t="inlineStr">
        <is>
          <t>m2a_low_irradiance</t>
        </is>
      </c>
      <c r="B56" s="5" t="inlineStr">
        <is>
          <t>low_ratio_threshold</t>
        </is>
      </c>
      <c r="C56" s="22" t="n">
        <v>0.9</v>
      </c>
      <c r="D56" s="5" t="inlineStr">
        <is>
          <t>low_ratio &lt; ini -&gt; kandidat flag (relatif median tetangga se-WB)</t>
        </is>
      </c>
    </row>
    <row r="57">
      <c r="A57" s="5" t="inlineStr">
        <is>
          <t>m2a_low_irradiance</t>
        </is>
      </c>
      <c r="B57" s="5" t="inlineStr">
        <is>
          <t>robust_z_min</t>
        </is>
      </c>
      <c r="C57" s="22" t="n">
        <v>3</v>
      </c>
      <c r="D57" s="5" t="inlineStr">
        <is>
          <t>...DAN robust-z &lt; -nilai ini terhadap inverter se-WB-hari</t>
        </is>
      </c>
    </row>
    <row r="58">
      <c r="A58" s="5" t="inlineStr">
        <is>
          <t>m2a_low_irradiance</t>
        </is>
      </c>
      <c r="B58" s="5" t="inlineStr">
        <is>
          <t>min_low_samples</t>
        </is>
      </c>
      <c r="C58" s="22" t="n">
        <v>12</v>
      </c>
      <c r="D58" s="5" t="inlineStr">
        <is>
          <t>min sampel pita rendah bermatahari tinggi (1 jam @5 menit)</t>
        </is>
      </c>
    </row>
    <row r="59">
      <c r="A59" s="5" t="inlineStr">
        <is>
          <t>m2a_shading</t>
        </is>
      </c>
      <c r="B59" s="5" t="inlineStr">
        <is>
          <t>poa_threshold_wm2</t>
        </is>
      </c>
      <c r="C59" s="22" t="n">
        <v>100</v>
      </c>
      <c r="D59" s="5" t="inlineStr">
        <is>
          <t>gate daylight (W/m²)</t>
        </is>
      </c>
    </row>
    <row r="60">
      <c r="A60" s="5" t="inlineStr">
        <is>
          <t>m2a_shading</t>
        </is>
      </c>
      <c r="B60" s="5" t="inlineStr">
        <is>
          <t>cv_low_multiplier</t>
        </is>
      </c>
      <c r="C60" s="22" t="n">
        <v>0.5</v>
      </c>
      <c r="D60" s="5" t="inlineStr">
        <is>
          <t>cv_hour &lt; ini·median(cv) → CV rendah (uniform)</t>
        </is>
      </c>
    </row>
    <row r="61">
      <c r="A61" s="5" t="inlineStr">
        <is>
          <t>m2a_shading</t>
        </is>
      </c>
      <c r="B61" s="5" t="inlineStr">
        <is>
          <t>pr_low_multiplier</t>
        </is>
      </c>
      <c r="C61" s="22" t="n">
        <v>0.85</v>
      </c>
      <c r="D61" s="5" t="inlineStr">
        <is>
          <t>pr_hour &lt; ini·median(pr) → underperform</t>
        </is>
      </c>
    </row>
    <row r="62">
      <c r="A62" s="5" t="inlineStr">
        <is>
          <t>m2a_shading</t>
        </is>
      </c>
      <c r="B62" s="5" t="inlineStr">
        <is>
          <t>am_pm_split_hour</t>
        </is>
      </c>
      <c r="C62" s="22" t="n">
        <v>12</v>
      </c>
      <c r="D62" s="5" t="inlineStr">
        <is>
          <t>batas AM/PM untuk asimetri diurnal</t>
        </is>
      </c>
    </row>
    <row r="63">
      <c r="A63" s="5" t="inlineStr">
        <is>
          <t>m2a_shading</t>
        </is>
      </c>
      <c r="B63" s="5" t="inlineStr">
        <is>
          <t>asymmetry_threshold</t>
        </is>
      </c>
      <c r="C63" s="22" t="n">
        <v>0.5</v>
      </c>
      <c r="D63" s="5" t="inlineStr">
        <is>
          <t>asimetri &lt; ini → uniform (soiling/awan), bukan terrain</t>
        </is>
      </c>
    </row>
    <row r="64">
      <c r="A64" s="5" t="inlineStr">
        <is>
          <t>m2a_shading</t>
        </is>
      </c>
      <c r="B64" s="5" t="inlineStr">
        <is>
          <t>min_hours_for_analysis</t>
        </is>
      </c>
      <c r="C64" s="22" t="n">
        <v>4</v>
      </c>
      <c r="D64" s="5" t="inlineStr">
        <is>
          <t>min jam untuk median referensi</t>
        </is>
      </c>
    </row>
    <row r="65">
      <c r="A65" s="5" t="inlineStr">
        <is>
          <t>m2a_shading</t>
        </is>
      </c>
      <c r="B65" s="5" t="inlineStr">
        <is>
          <t>min_samples_per_hour</t>
        </is>
      </c>
      <c r="C65" s="22" t="n">
        <v>5</v>
      </c>
      <c r="D65" s="5" t="inlineStr">
        <is>
          <t>min sampel (PV×ts) per jam</t>
        </is>
      </c>
    </row>
    <row r="66">
      <c r="A66" s="5" t="inlineStr">
        <is>
          <t>m2a_soiling</t>
        </is>
      </c>
      <c r="B66" s="5" t="inlineStr">
        <is>
          <t>min_days</t>
        </is>
      </c>
      <c r="C66" s="22" t="n">
        <v>90</v>
      </c>
      <c r="D66" s="5" t="inlineStr">
        <is>
          <t>min window hari untuk SRR (skeleton gate)</t>
        </is>
      </c>
    </row>
    <row r="67">
      <c r="A67" s="5" t="inlineStr">
        <is>
          <t>m2a_soiling</t>
        </is>
      </c>
      <c r="B67" s="5" t="inlineStr">
        <is>
          <t>capacity_kwp</t>
        </is>
      </c>
      <c r="C67" s="22" t="n">
        <v>71500</v>
      </c>
      <c r="D67" s="5" t="inlineStr">
        <is>
          <t>kapasitas DC site PLTS-IKN (PR denominator)</t>
        </is>
      </c>
    </row>
    <row r="68">
      <c r="A68" s="5" t="inlineStr">
        <is>
          <t>m2a_soiling</t>
        </is>
      </c>
      <c r="B68" s="5" t="inlineStr">
        <is>
          <t>electricity_tariff_idr</t>
        </is>
      </c>
      <c r="C68" s="22" t="n">
        <v>1500</v>
      </c>
      <c r="D68" s="5" t="inlineStr">
        <is>
          <t>tarif PPA (IDR/kWh)</t>
        </is>
      </c>
    </row>
    <row r="69">
      <c r="A69" s="5" t="inlineStr">
        <is>
          <t>m2a_soiling</t>
        </is>
      </c>
      <c r="B69" s="5" t="inlineStr">
        <is>
          <t>cleaning_cost_idr</t>
        </is>
      </c>
      <c r="C69" s="22" t="n">
        <v>50000000</v>
      </c>
      <c r="D69" s="5" t="inlineStr">
        <is>
          <t>biaya 1 cleaning (DEMO; default 0 = user wajib isi)</t>
        </is>
      </c>
    </row>
    <row r="70">
      <c r="A70" s="5" t="inlineStr">
        <is>
          <t>m2a_soiling</t>
        </is>
      </c>
      <c r="B70" s="5" t="inlineStr">
        <is>
          <t>payback_threshold_days</t>
        </is>
      </c>
      <c r="C70" s="22" t="n">
        <v>30</v>
      </c>
      <c r="D70" s="5" t="inlineStr">
        <is>
          <t>payback &lt; ini → recommend cleaning</t>
        </is>
      </c>
    </row>
    <row r="71">
      <c r="A71" s="5" t="inlineStr">
        <is>
          <t>m2b_mppt_ratio</t>
        </is>
      </c>
      <c r="B71" s="5" t="inlineStr">
        <is>
          <t>poa_threshold_wm2</t>
        </is>
      </c>
      <c r="C71" s="22" t="n">
        <v>300</v>
      </c>
      <c r="D71" s="5" t="inlineStr">
        <is>
          <t>moderate sun gate</t>
        </is>
      </c>
    </row>
    <row r="72">
      <c r="A72" s="5" t="inlineStr">
        <is>
          <t>m2b_mppt_ratio</t>
        </is>
      </c>
      <c r="B72" s="5" t="inlineStr">
        <is>
          <t>poa_floor_wm2</t>
        </is>
      </c>
      <c r="C72" s="22" t="n">
        <v>50</v>
      </c>
      <c r="D72" s="5" t="inlineStr">
        <is>
          <t>hard floor twilight</t>
        </is>
      </c>
    </row>
    <row r="73">
      <c r="A73" s="5" t="inlineStr">
        <is>
          <t>m2b_mppt_ratio</t>
        </is>
      </c>
      <c r="B73" s="5" t="inlineStr">
        <is>
          <t>ratio_threshold</t>
        </is>
      </c>
      <c r="C73" s="22" t="n">
        <v>0.85</v>
      </c>
      <c r="D73" s="5" t="inlineStr">
        <is>
          <t>I&lt;85% median partner -&gt; qualifying</t>
        </is>
      </c>
    </row>
    <row r="74">
      <c r="A74" s="5" t="inlineStr">
        <is>
          <t>m2b_mppt_ratio</t>
        </is>
      </c>
      <c r="B74" s="5" t="inlineStr">
        <is>
          <t>ratio_high</t>
        </is>
      </c>
      <c r="C74" s="22" t="n">
        <v>0.5</v>
      </c>
      <c r="D74" s="5" t="inlineStr">
        <is>
          <t>event_median&lt;0.50 -&gt; HIGH</t>
        </is>
      </c>
    </row>
    <row r="75">
      <c r="A75" s="5" t="inlineStr">
        <is>
          <t>m2b_mppt_ratio</t>
        </is>
      </c>
      <c r="B75" s="5" t="inlineStr">
        <is>
          <t>ratio_critical</t>
        </is>
      </c>
      <c r="C75" s="22" t="n">
        <v>0.2</v>
      </c>
      <c r="D75" s="5" t="inlineStr">
        <is>
          <t>event_median&lt;0.20 -&gt; CRITICAL</t>
        </is>
      </c>
    </row>
    <row r="76">
      <c r="A76" s="5" t="inlineStr">
        <is>
          <t>m2b_mppt_ratio</t>
        </is>
      </c>
      <c r="B76" s="5" t="inlineStr">
        <is>
          <t>debounce_consecutive_steps</t>
        </is>
      </c>
      <c r="C76" s="22" t="n">
        <v>20</v>
      </c>
      <c r="D76" s="5" t="inlineStr">
        <is>
          <t>~100 menit @ 5-min</t>
        </is>
      </c>
    </row>
    <row r="77">
      <c r="A77" s="5" t="inlineStr">
        <is>
          <t>m2b_mppt_ratio</t>
        </is>
      </c>
      <c r="B77" s="5" t="inlineStr">
        <is>
          <t>min_partner_strings</t>
        </is>
      </c>
      <c r="C77" s="22" t="n">
        <v>1</v>
      </c>
      <c r="D77" s="5" t="inlineStr">
        <is>
          <t>grup 2-string tetap dianalisis</t>
        </is>
      </c>
    </row>
    <row r="78">
      <c r="A78" s="5" t="inlineStr">
        <is>
          <t>m2b_mppt_ratio</t>
        </is>
      </c>
      <c r="B78" s="5" t="inlineStr">
        <is>
          <t>partner_clip</t>
        </is>
      </c>
      <c r="C78" s="22" t="n">
        <v>0.01</v>
      </c>
      <c r="D78" s="5" t="inlineStr">
        <is>
          <t>clip(lower=0.01) divide-by-zero guard</t>
        </is>
      </c>
    </row>
    <row r="79">
      <c r="A79" s="5" t="inlineStr">
        <is>
          <t>m2a_low_irradiance</t>
        </is>
      </c>
      <c r="B79" s="5" t="inlineStr">
        <is>
          <t>low_band_min_elevation_deg</t>
        </is>
      </c>
      <c r="C79" s="22" t="n">
        <v>30</v>
      </c>
      <c r="D79" s="5" t="inlineStr">
        <is>
          <t>pita rendah hanya saat matahari &gt;= ini (awan siang, bukan matahari rendah)</t>
        </is>
      </c>
    </row>
    <row r="80">
      <c r="A80" s="5" t="inlineStr">
        <is>
          <t>m2a_low_irradiance</t>
        </is>
      </c>
      <c r="B80" s="5" t="inlineStr">
        <is>
          <t>min_peers</t>
        </is>
      </c>
      <c r="C80" s="22" t="n">
        <v>5</v>
      </c>
      <c r="D80" s="5" t="inlineStr">
        <is>
          <t>min inverter se-WB per timestamp untuk median tetangga</t>
        </is>
      </c>
    </row>
    <row r="81">
      <c r="A81" s="5" t="inlineStr">
        <is>
          <t>m2a_low_irradiance</t>
        </is>
      </c>
      <c r="B81" s="5" t="inlineStr">
        <is>
          <t>min_mid_samples</t>
        </is>
      </c>
      <c r="C81" s="22" t="n">
        <v>30</v>
      </c>
      <c r="D81" s="5" t="inlineStr">
        <is>
          <t>min sampel pita menengah (normalisasi 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7" t="inlineStr">
        <is>
          <t>Raw_Data (dummy realistis — 2 inverter × 12 timestep)</t>
        </is>
      </c>
    </row>
    <row r="2">
      <c r="A2" s="2" t="inlineStr">
        <is>
          <t>Skenario: INV01 punya PV3 fault 6-timestep; INV02 down 4-timestep. PV5 (kedua inverter) ada di EmptyPVMap.</t>
        </is>
      </c>
    </row>
    <row r="4">
      <c r="A4" s="10" t="inlineStr">
        <is>
          <t>Inverter_ID</t>
        </is>
      </c>
      <c r="B4" s="10" t="inlineStr">
        <is>
          <t>Start Time</t>
        </is>
      </c>
      <c r="C4" s="10" t="inlineStr">
        <is>
          <t>Inverter status</t>
        </is>
      </c>
      <c r="D4" s="10" t="inlineStr">
        <is>
          <t>PV1 Power(kW)</t>
        </is>
      </c>
      <c r="E4" s="10" t="inlineStr">
        <is>
          <t>PV2 Power(kW)</t>
        </is>
      </c>
      <c r="F4" s="10" t="inlineStr">
        <is>
          <t>PV3 Power(kW)</t>
        </is>
      </c>
      <c r="G4" s="10" t="inlineStr">
        <is>
          <t>PV4 Power(kW)</t>
        </is>
      </c>
      <c r="H4" s="10" t="inlineStr">
        <is>
          <t>PV5 Power(kW)</t>
        </is>
      </c>
    </row>
    <row r="5">
      <c r="A5" s="5" t="inlineStr">
        <is>
          <t>WB02-INV01</t>
        </is>
      </c>
      <c r="B5" s="16" t="n">
        <v>46156.41666666666</v>
      </c>
      <c r="C5" s="5" t="inlineStr">
        <is>
          <t>Grid connected</t>
        </is>
      </c>
      <c r="D5" s="17" t="n">
        <v>5</v>
      </c>
      <c r="E5" s="17" t="n">
        <v>4.9</v>
      </c>
      <c r="F5" s="17" t="n">
        <v>5.1</v>
      </c>
      <c r="G5" s="17" t="n">
        <v>5</v>
      </c>
      <c r="H5" s="17" t="n">
        <v>0</v>
      </c>
    </row>
    <row r="6">
      <c r="A6" s="5" t="inlineStr">
        <is>
          <t>WB02-INV01</t>
        </is>
      </c>
      <c r="B6" s="16" t="n">
        <v>46156.42013888889</v>
      </c>
      <c r="C6" s="5" t="inlineStr">
        <is>
          <t>Grid connected</t>
        </is>
      </c>
      <c r="D6" s="17" t="n">
        <v>5.05</v>
      </c>
      <c r="E6" s="17" t="n">
        <v>4.94</v>
      </c>
      <c r="F6" s="17" t="n">
        <v>5.1</v>
      </c>
      <c r="G6" s="17" t="n">
        <v>5.03</v>
      </c>
      <c r="H6" s="17" t="n">
        <v>0</v>
      </c>
    </row>
    <row r="7">
      <c r="A7" s="5" t="inlineStr">
        <is>
          <t>WB02-INV01</t>
        </is>
      </c>
      <c r="B7" s="16" t="n">
        <v>46156.42361111111</v>
      </c>
      <c r="C7" s="5" t="inlineStr">
        <is>
          <t>Grid connected</t>
        </is>
      </c>
      <c r="D7" s="17" t="n">
        <v>5.1</v>
      </c>
      <c r="E7" s="17" t="n">
        <v>4.98</v>
      </c>
      <c r="F7" s="17" t="n">
        <v>5.1</v>
      </c>
      <c r="G7" s="17" t="n">
        <v>5.06</v>
      </c>
      <c r="H7" s="17" t="n">
        <v>0</v>
      </c>
    </row>
    <row r="8">
      <c r="A8" s="5" t="inlineStr">
        <is>
          <t>WB02-INV01</t>
        </is>
      </c>
      <c r="B8" s="16" t="n">
        <v>46156.42708333334</v>
      </c>
      <c r="C8" s="5" t="inlineStr">
        <is>
          <t>Grid connected</t>
        </is>
      </c>
      <c r="D8" s="17" t="n">
        <v>5.15</v>
      </c>
      <c r="E8" s="17" t="n">
        <v>5.02</v>
      </c>
      <c r="F8" s="17" t="n">
        <v>0</v>
      </c>
      <c r="G8" s="17" t="n">
        <v>5</v>
      </c>
      <c r="H8" s="17" t="n">
        <v>0</v>
      </c>
    </row>
    <row r="9">
      <c r="A9" s="5" t="inlineStr">
        <is>
          <t>WB02-INV01</t>
        </is>
      </c>
      <c r="B9" s="16" t="n">
        <v>46156.43055555555</v>
      </c>
      <c r="C9" s="5" t="inlineStr">
        <is>
          <t>Grid connected</t>
        </is>
      </c>
      <c r="D9" s="17" t="n">
        <v>5</v>
      </c>
      <c r="E9" s="17" t="n">
        <v>5.06</v>
      </c>
      <c r="F9" s="17" t="n">
        <v>0</v>
      </c>
      <c r="G9" s="17" t="n">
        <v>5.03</v>
      </c>
      <c r="H9" s="17" t="n">
        <v>0</v>
      </c>
    </row>
    <row r="10">
      <c r="A10" s="5" t="inlineStr">
        <is>
          <t>WB02-INV01</t>
        </is>
      </c>
      <c r="B10" s="16" t="n">
        <v>46156.43402777778</v>
      </c>
      <c r="C10" s="5" t="inlineStr">
        <is>
          <t>Grid connected</t>
        </is>
      </c>
      <c r="D10" s="17" t="n">
        <v>5.05</v>
      </c>
      <c r="E10" s="17" t="n">
        <v>4.9</v>
      </c>
      <c r="F10" s="17" t="n">
        <v>0</v>
      </c>
      <c r="G10" s="17" t="n">
        <v>5.06</v>
      </c>
      <c r="H10" s="17" t="n">
        <v>0</v>
      </c>
    </row>
    <row r="11">
      <c r="A11" s="5" t="inlineStr">
        <is>
          <t>WB02-INV01</t>
        </is>
      </c>
      <c r="B11" s="16" t="n">
        <v>46156.4375</v>
      </c>
      <c r="C11" s="5" t="inlineStr">
        <is>
          <t>Grid connected</t>
        </is>
      </c>
      <c r="D11" s="17" t="n">
        <v>5.1</v>
      </c>
      <c r="E11" s="17" t="n">
        <v>4.94</v>
      </c>
      <c r="F11" s="17" t="n">
        <v>0</v>
      </c>
      <c r="G11" s="17" t="n">
        <v>5</v>
      </c>
      <c r="H11" s="17" t="n">
        <v>0</v>
      </c>
    </row>
    <row r="12">
      <c r="A12" s="5" t="inlineStr">
        <is>
          <t>WB02-INV01</t>
        </is>
      </c>
      <c r="B12" s="16" t="n">
        <v>46156.44097222222</v>
      </c>
      <c r="C12" s="5" t="inlineStr">
        <is>
          <t>Grid connected</t>
        </is>
      </c>
      <c r="D12" s="17" t="n">
        <v>5.15</v>
      </c>
      <c r="E12" s="17" t="n">
        <v>4.98</v>
      </c>
      <c r="F12" s="17" t="n">
        <v>0</v>
      </c>
      <c r="G12" s="17" t="n">
        <v>5.03</v>
      </c>
      <c r="H12" s="17" t="n">
        <v>0</v>
      </c>
    </row>
    <row r="13">
      <c r="A13" s="5" t="inlineStr">
        <is>
          <t>WB02-INV01</t>
        </is>
      </c>
      <c r="B13" s="16" t="n">
        <v>46156.44444444445</v>
      </c>
      <c r="C13" s="5" t="inlineStr">
        <is>
          <t>Grid connected</t>
        </is>
      </c>
      <c r="D13" s="17" t="n">
        <v>5</v>
      </c>
      <c r="E13" s="17" t="n">
        <v>5.02</v>
      </c>
      <c r="F13" s="17" t="n">
        <v>0</v>
      </c>
      <c r="G13" s="17" t="n">
        <v>5.06</v>
      </c>
      <c r="H13" s="17" t="n">
        <v>0</v>
      </c>
    </row>
    <row r="14">
      <c r="A14" s="5" t="inlineStr">
        <is>
          <t>WB02-INV01</t>
        </is>
      </c>
      <c r="B14" s="16" t="n">
        <v>46156.44791666666</v>
      </c>
      <c r="C14" s="5" t="inlineStr">
        <is>
          <t>Grid connected</t>
        </is>
      </c>
      <c r="D14" s="17" t="n">
        <v>5.05</v>
      </c>
      <c r="E14" s="17" t="n">
        <v>5.06</v>
      </c>
      <c r="F14" s="17" t="n">
        <v>5.1</v>
      </c>
      <c r="G14" s="17" t="n">
        <v>5</v>
      </c>
      <c r="H14" s="17" t="n">
        <v>0</v>
      </c>
    </row>
    <row r="15">
      <c r="A15" s="5" t="inlineStr">
        <is>
          <t>WB02-INV01</t>
        </is>
      </c>
      <c r="B15" s="16" t="n">
        <v>46156.45138888889</v>
      </c>
      <c r="C15" s="5" t="inlineStr">
        <is>
          <t>Grid connected</t>
        </is>
      </c>
      <c r="D15" s="17" t="n">
        <v>5.1</v>
      </c>
      <c r="E15" s="17" t="n">
        <v>4.9</v>
      </c>
      <c r="F15" s="17" t="n">
        <v>5.1</v>
      </c>
      <c r="G15" s="17" t="n">
        <v>5.03</v>
      </c>
      <c r="H15" s="17" t="n">
        <v>0</v>
      </c>
    </row>
    <row r="16">
      <c r="A16" s="5" t="inlineStr">
        <is>
          <t>WB02-INV01</t>
        </is>
      </c>
      <c r="B16" s="16" t="n">
        <v>46156.45486111111</v>
      </c>
      <c r="C16" s="5" t="inlineStr">
        <is>
          <t>Grid connected</t>
        </is>
      </c>
      <c r="D16" s="17" t="n">
        <v>5.15</v>
      </c>
      <c r="E16" s="17" t="n">
        <v>4.94</v>
      </c>
      <c r="F16" s="17" t="n">
        <v>5.1</v>
      </c>
      <c r="G16" s="17" t="n">
        <v>5.06</v>
      </c>
      <c r="H16" s="17" t="n">
        <v>0</v>
      </c>
    </row>
    <row r="17">
      <c r="A17" s="5" t="inlineStr">
        <is>
          <t>WB02-INV02</t>
        </is>
      </c>
      <c r="B17" s="16" t="n">
        <v>46156.41666666666</v>
      </c>
      <c r="C17" s="5" t="inlineStr">
        <is>
          <t>Grid connected</t>
        </is>
      </c>
      <c r="D17" s="17" t="n">
        <v>5</v>
      </c>
      <c r="E17" s="17" t="n">
        <v>5</v>
      </c>
      <c r="F17" s="17" t="n">
        <v>5</v>
      </c>
      <c r="G17" s="17" t="n">
        <v>5</v>
      </c>
      <c r="H17" s="17" t="n">
        <v>0</v>
      </c>
    </row>
    <row r="18">
      <c r="A18" s="5" t="inlineStr">
        <is>
          <t>WB02-INV02</t>
        </is>
      </c>
      <c r="B18" s="16" t="n">
        <v>46156.42013888889</v>
      </c>
      <c r="C18" s="5" t="inlineStr">
        <is>
          <t>Grid connected</t>
        </is>
      </c>
      <c r="D18" s="17" t="n">
        <v>5</v>
      </c>
      <c r="E18" s="17" t="n">
        <v>5</v>
      </c>
      <c r="F18" s="17" t="n">
        <v>5</v>
      </c>
      <c r="G18" s="17" t="n">
        <v>5</v>
      </c>
      <c r="H18" s="17" t="n">
        <v>0</v>
      </c>
    </row>
    <row r="19">
      <c r="A19" s="5" t="inlineStr">
        <is>
          <t>WB02-INV02</t>
        </is>
      </c>
      <c r="B19" s="16" t="n">
        <v>46156.42361111111</v>
      </c>
      <c r="C19" s="5" t="inlineStr">
        <is>
          <t>Grid connected</t>
        </is>
      </c>
      <c r="D19" s="17" t="n">
        <v>5</v>
      </c>
      <c r="E19" s="17" t="n">
        <v>5</v>
      </c>
      <c r="F19" s="17" t="n">
        <v>5</v>
      </c>
      <c r="G19" s="17" t="n">
        <v>5</v>
      </c>
      <c r="H19" s="17" t="n">
        <v>0</v>
      </c>
    </row>
    <row r="20">
      <c r="A20" s="5" t="inlineStr">
        <is>
          <t>WB02-INV02</t>
        </is>
      </c>
      <c r="B20" s="16" t="n">
        <v>46156.42708333334</v>
      </c>
      <c r="C20" s="5" t="inlineStr">
        <is>
          <t>Grid connected</t>
        </is>
      </c>
      <c r="D20" s="17" t="n">
        <v>5</v>
      </c>
      <c r="E20" s="17" t="n">
        <v>5</v>
      </c>
      <c r="F20" s="17" t="n">
        <v>5</v>
      </c>
      <c r="G20" s="17" t="n">
        <v>5</v>
      </c>
      <c r="H20" s="17" t="n">
        <v>0</v>
      </c>
    </row>
    <row r="21">
      <c r="A21" s="5" t="inlineStr">
        <is>
          <t>WB02-INV02</t>
        </is>
      </c>
      <c r="B21" s="16" t="n">
        <v>46156.43055555555</v>
      </c>
      <c r="C21" s="5" t="inlineStr">
        <is>
          <t>Shutdown command</t>
        </is>
      </c>
      <c r="D21" s="17" t="n">
        <v>0</v>
      </c>
      <c r="E21" s="17" t="n">
        <v>0</v>
      </c>
      <c r="F21" s="17" t="n">
        <v>0</v>
      </c>
      <c r="G21" s="17" t="n">
        <v>0</v>
      </c>
      <c r="H21" s="17" t="n">
        <v>0</v>
      </c>
    </row>
    <row r="22">
      <c r="A22" s="5" t="inlineStr">
        <is>
          <t>WB02-INV02</t>
        </is>
      </c>
      <c r="B22" s="16" t="n">
        <v>46156.43402777778</v>
      </c>
      <c r="C22" s="5" t="inlineStr">
        <is>
          <t>Shutdown command</t>
        </is>
      </c>
      <c r="D22" s="17" t="n">
        <v>0</v>
      </c>
      <c r="E22" s="17" t="n">
        <v>0</v>
      </c>
      <c r="F22" s="17" t="n">
        <v>0</v>
      </c>
      <c r="G22" s="17" t="n">
        <v>0</v>
      </c>
      <c r="H22" s="17" t="n">
        <v>0</v>
      </c>
    </row>
    <row r="23">
      <c r="A23" s="5" t="inlineStr">
        <is>
          <t>WB02-INV02</t>
        </is>
      </c>
      <c r="B23" s="16" t="n">
        <v>46156.4375</v>
      </c>
      <c r="C23" s="5" t="inlineStr">
        <is>
          <t>Shutdown command</t>
        </is>
      </c>
      <c r="D23" s="17" t="n">
        <v>0</v>
      </c>
      <c r="E23" s="17" t="n">
        <v>0</v>
      </c>
      <c r="F23" s="17" t="n">
        <v>0</v>
      </c>
      <c r="G23" s="17" t="n">
        <v>0</v>
      </c>
      <c r="H23" s="17" t="n">
        <v>0</v>
      </c>
    </row>
    <row r="24">
      <c r="A24" s="5" t="inlineStr">
        <is>
          <t>WB02-INV02</t>
        </is>
      </c>
      <c r="B24" s="16" t="n">
        <v>46156.44097222222</v>
      </c>
      <c r="C24" s="5" t="inlineStr">
        <is>
          <t>Shutdown command</t>
        </is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</row>
    <row r="25">
      <c r="A25" s="5" t="inlineStr">
        <is>
          <t>WB02-INV02</t>
        </is>
      </c>
      <c r="B25" s="16" t="n">
        <v>46156.44444444445</v>
      </c>
      <c r="C25" s="5" t="inlineStr">
        <is>
          <t>Grid connected</t>
        </is>
      </c>
      <c r="D25" s="17" t="n">
        <v>5</v>
      </c>
      <c r="E25" s="17" t="n">
        <v>5</v>
      </c>
      <c r="F25" s="17" t="n">
        <v>5</v>
      </c>
      <c r="G25" s="17" t="n">
        <v>5</v>
      </c>
      <c r="H25" s="17" t="n">
        <v>0</v>
      </c>
    </row>
    <row r="26">
      <c r="A26" s="5" t="inlineStr">
        <is>
          <t>WB02-INV02</t>
        </is>
      </c>
      <c r="B26" s="16" t="n">
        <v>46156.44791666666</v>
      </c>
      <c r="C26" s="5" t="inlineStr">
        <is>
          <t>Grid connected</t>
        </is>
      </c>
      <c r="D26" s="17" t="n">
        <v>5</v>
      </c>
      <c r="E26" s="17" t="n">
        <v>5</v>
      </c>
      <c r="F26" s="17" t="n">
        <v>5</v>
      </c>
      <c r="G26" s="17" t="n">
        <v>5</v>
      </c>
      <c r="H26" s="17" t="n">
        <v>0</v>
      </c>
    </row>
    <row r="27">
      <c r="A27" s="5" t="inlineStr">
        <is>
          <t>WB02-INV02</t>
        </is>
      </c>
      <c r="B27" s="16" t="n">
        <v>46156.45138888889</v>
      </c>
      <c r="C27" s="5" t="inlineStr">
        <is>
          <t>Grid connected</t>
        </is>
      </c>
      <c r="D27" s="17" t="n">
        <v>5</v>
      </c>
      <c r="E27" s="17" t="n">
        <v>5</v>
      </c>
      <c r="F27" s="17" t="n">
        <v>5</v>
      </c>
      <c r="G27" s="17" t="n">
        <v>5</v>
      </c>
      <c r="H27" s="17" t="n">
        <v>0</v>
      </c>
    </row>
    <row r="28">
      <c r="A28" s="5" t="inlineStr">
        <is>
          <t>WB02-INV02</t>
        </is>
      </c>
      <c r="B28" s="16" t="n">
        <v>46156.45486111111</v>
      </c>
      <c r="C28" s="5" t="inlineStr">
        <is>
          <t>Grid connected</t>
        </is>
      </c>
      <c r="D28" s="17" t="n">
        <v>5</v>
      </c>
      <c r="E28" s="17" t="n">
        <v>5</v>
      </c>
      <c r="F28" s="17" t="n">
        <v>5</v>
      </c>
      <c r="G28" s="17" t="n">
        <v>5</v>
      </c>
      <c r="H28" s="1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60" customWidth="1" min="3" max="3"/>
  </cols>
  <sheetData>
    <row r="1">
      <c r="A1" s="7" t="inlineStr">
        <is>
          <t>EmptyPVMap — slot PV yang fisik tidak terpasang (skip dari peer comparison)</t>
        </is>
      </c>
    </row>
    <row r="2">
      <c r="A2" s="2" t="inlineStr">
        <is>
          <t>Replica config/strings.yaml (245 inverter dalam file aktual). Di sini hanya entry yang relevan untuk dummy.</t>
        </is>
      </c>
    </row>
    <row r="4">
      <c r="A4" s="10" t="inlineStr">
        <is>
          <t>Inverter_ID</t>
        </is>
      </c>
      <c r="B4" s="10" t="inlineStr">
        <is>
          <t>Empty PV indices (CSV)</t>
        </is>
      </c>
      <c r="C4" s="10" t="inlineStr">
        <is>
          <t>Note</t>
        </is>
      </c>
    </row>
    <row r="5">
      <c r="A5" s="5" t="inlineStr">
        <is>
          <t>WB02-INV01</t>
        </is>
      </c>
      <c r="B5" s="5" t="inlineStr">
        <is>
          <t>5</t>
        </is>
      </c>
      <c r="C5" s="5" t="inlineStr">
        <is>
          <t>DEMO: PV5 EMPTY by design</t>
        </is>
      </c>
    </row>
    <row r="6">
      <c r="A6" s="5" t="inlineStr">
        <is>
          <t>WB02-INV02</t>
        </is>
      </c>
      <c r="B6" s="5" t="inlineStr">
        <is>
          <t>5</t>
        </is>
      </c>
      <c r="C6" s="5" t="inlineStr">
        <is>
          <t>DEMO: PV5 EMPTY by design</t>
        </is>
      </c>
    </row>
    <row r="7">
      <c r="A7" s="5" t="inlineStr">
        <is>
          <t>WB01-INV01</t>
        </is>
      </c>
      <c r="B7" s="5" t="inlineStr">
        <is>
          <t>19,20,21,22,23,24,25,26,27,28</t>
        </is>
      </c>
      <c r="C7" s="5" t="inlineStr">
        <is>
          <t>Pola WB01 produksi (PV19-28 kosong)</t>
        </is>
      </c>
    </row>
    <row r="8">
      <c r="A8" s="5" t="inlineStr">
        <is>
          <t>WB03-INV01</t>
        </is>
      </c>
      <c r="B8" s="5" t="inlineStr"/>
      <c r="C8" s="5" t="inlineStr">
        <is>
          <t>(contoh: tidak ada slot kosong)</t>
        </is>
      </c>
    </row>
    <row r="9">
      <c r="A9" s="5" t="inlineStr">
        <is>
          <t>WB05-INV05</t>
        </is>
      </c>
      <c r="B9" s="5" t="inlineStr">
        <is>
          <t>5</t>
        </is>
      </c>
      <c r="C9" s="5" t="inlineStr">
        <is>
          <t>DEMO M2b: PV5 EMPTY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9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7" t="inlineStr">
        <is>
          <t>Helpers_M2e — derived columns dari Raw_Data (per-row formulas)</t>
        </is>
      </c>
    </row>
    <row r="2">
      <c r="A2" s="2" t="inlineStr">
        <is>
          <t>Setiap kolom = 1 langkah di pv_pipeline/availability.py. Edit Raw_Data → recalc otomatis.</t>
        </is>
      </c>
    </row>
    <row r="4">
      <c r="A4" s="10" t="inlineStr">
        <is>
          <t>Inverter_ID</t>
        </is>
      </c>
      <c r="B4" s="10" t="inlineStr">
        <is>
          <t>Start Time</t>
        </is>
      </c>
      <c r="C4" s="10" t="inlineStr">
        <is>
          <t>status_raw</t>
        </is>
      </c>
      <c r="D4" s="10" t="inlineStr">
        <is>
          <t>_status_class</t>
        </is>
      </c>
      <c r="E4" s="10" t="inlineStr">
        <is>
          <t>sib_median_kW</t>
        </is>
      </c>
      <c r="F4" s="10" t="inlineStr">
        <is>
          <t>active_count</t>
        </is>
      </c>
      <c r="G4" s="10" t="inlineStr">
        <is>
          <t>active_pct</t>
        </is>
      </c>
      <c r="H4" s="10" t="inlineStr">
        <is>
          <t>qualified</t>
        </is>
      </c>
      <c r="I4" s="10" t="inlineStr">
        <is>
          <t>is_on</t>
        </is>
      </c>
      <c r="J4" s="10" t="inlineStr">
        <is>
          <t>cand_PV1</t>
        </is>
      </c>
      <c r="K4" s="10" t="inlineStr">
        <is>
          <t>run_id_PV1</t>
        </is>
      </c>
      <c r="L4" s="10" t="inlineStr">
        <is>
          <t>run_len_PV1</t>
        </is>
      </c>
      <c r="M4" s="10" t="inlineStr">
        <is>
          <t>in_event_PV1</t>
        </is>
      </c>
      <c r="N4" s="10" t="inlineStr">
        <is>
          <t>cand_PV2</t>
        </is>
      </c>
      <c r="O4" s="10" t="inlineStr">
        <is>
          <t>run_id_PV2</t>
        </is>
      </c>
      <c r="P4" s="10" t="inlineStr">
        <is>
          <t>run_len_PV2</t>
        </is>
      </c>
      <c r="Q4" s="10" t="inlineStr">
        <is>
          <t>in_event_PV2</t>
        </is>
      </c>
      <c r="R4" s="10" t="inlineStr">
        <is>
          <t>cand_PV3</t>
        </is>
      </c>
      <c r="S4" s="10" t="inlineStr">
        <is>
          <t>run_id_PV3</t>
        </is>
      </c>
      <c r="T4" s="10" t="inlineStr">
        <is>
          <t>run_len_PV3</t>
        </is>
      </c>
      <c r="U4" s="10" t="inlineStr">
        <is>
          <t>in_event_PV3</t>
        </is>
      </c>
      <c r="V4" s="10" t="inlineStr">
        <is>
          <t>cand_PV4</t>
        </is>
      </c>
      <c r="W4" s="10" t="inlineStr">
        <is>
          <t>run_id_PV4</t>
        </is>
      </c>
      <c r="X4" s="10" t="inlineStr">
        <is>
          <t>run_len_PV4</t>
        </is>
      </c>
      <c r="Y4" s="10" t="inlineStr">
        <is>
          <t>in_event_PV4</t>
        </is>
      </c>
      <c r="Z4" s="10" t="inlineStr">
        <is>
          <t>cand_PV5</t>
        </is>
      </c>
      <c r="AA4" s="10" t="inlineStr">
        <is>
          <t>run_id_PV5</t>
        </is>
      </c>
      <c r="AB4" s="10" t="inlineStr">
        <is>
          <t>run_len_PV5</t>
        </is>
      </c>
      <c r="AC4" s="10" t="inlineStr">
        <is>
          <t>in_event_PV5</t>
        </is>
      </c>
    </row>
    <row r="5">
      <c r="A5" s="5">
        <f>Raw_Data!A5</f>
        <v/>
      </c>
      <c r="B5" s="16">
        <f>Raw_Data!B5</f>
        <v/>
      </c>
      <c r="C5" s="5">
        <f>Raw_Data!C5</f>
        <v/>
      </c>
      <c r="D5" s="5">
        <f>IF(ISNUMBER(SEARCH("shutdown",LOWER(C5)))+ISNUMBER(SEARCH("fault",LOWER(C5))),"DOWN",IF(ISNUMBER(SEARCH("grid connected",LOWER(C5)))+ISNUMBER(SEARCH("on-grid",LOWER(C5))),"ON",IF(ISNUMBER(SEARCH("standby",LOWER(C5)))+ISNUMBER(SEARCH("no sunlight",LOWER(C5))),"TRANSITIONAL","UNKNOWN")))</f>
        <v/>
      </c>
      <c r="E5" s="17">
        <f>MEDIAN(Raw_Data!D5:H5)</f>
        <v/>
      </c>
      <c r="F5" s="5">
        <f>COUNTIF(Raw_Data!D5:H5, "&gt;"&amp;cfg_pstr_zero_threshold_kw)</f>
        <v/>
      </c>
      <c r="G5" s="18">
        <f>100*F5/cfg_n_pv_total_in_workbook</f>
        <v/>
      </c>
      <c r="H5" s="5">
        <f>IF(AND(E5&gt;=cfg_sibling_median_active_kw, G5&gt;=cfg_min_active_siblings_pct),1,0)</f>
        <v/>
      </c>
      <c r="I5" s="5">
        <f>IF(D5="ON",1,0)</f>
        <v/>
      </c>
      <c r="J5" s="5">
        <f>IF(AND(I5=1, H5=1, Raw_Data!D5&lt;cfg_pstr_zero_threshold_kw),1,0)</f>
        <v/>
      </c>
      <c r="K5" s="5">
        <f>IF(J5=1,1,0)</f>
        <v/>
      </c>
      <c r="L5" s="5">
        <f>IF(J5=1,COUNTIFS($A$5:$A$28,A5,$K$5:$K$28,K5,$J$5:$J$28,1),0)</f>
        <v/>
      </c>
      <c r="M5" s="5">
        <f>IF(AND(J5=1, L5&gt;=cfg_debounce_consecutive_steps),1,0)</f>
        <v/>
      </c>
      <c r="N5" s="5">
        <f>IF(AND(I5=1, H5=1, Raw_Data!E5&lt;cfg_pstr_zero_threshold_kw),1,0)</f>
        <v/>
      </c>
      <c r="O5" s="5">
        <f>IF(N5=1,1,0)</f>
        <v/>
      </c>
      <c r="P5" s="5">
        <f>IF(N5=1,COUNTIFS($A$5:$A$28,A5,$O$5:$O$28,O5,$N$5:$N$28,1),0)</f>
        <v/>
      </c>
      <c r="Q5" s="5">
        <f>IF(AND(N5=1, P5&gt;=cfg_debounce_consecutive_steps),1,0)</f>
        <v/>
      </c>
      <c r="R5" s="5">
        <f>IF(AND(I5=1, H5=1, Raw_Data!F5&lt;cfg_pstr_zero_threshold_kw),1,0)</f>
        <v/>
      </c>
      <c r="S5" s="5">
        <f>IF(R5=1,1,0)</f>
        <v/>
      </c>
      <c r="T5" s="5">
        <f>IF(R5=1,COUNTIFS($A$5:$A$28,A5,$S$5:$S$28,S5,$R$5:$R$28,1),0)</f>
        <v/>
      </c>
      <c r="U5" s="5">
        <f>IF(AND(R5=1, T5&gt;=cfg_debounce_consecutive_steps),1,0)</f>
        <v/>
      </c>
      <c r="V5" s="5">
        <f>IF(AND(I5=1, H5=1, Raw_Data!G5&lt;cfg_pstr_zero_threshold_kw),1,0)</f>
        <v/>
      </c>
      <c r="W5" s="5">
        <f>IF(V5=1,1,0)</f>
        <v/>
      </c>
      <c r="X5" s="5">
        <f>IF(V5=1,COUNTIFS($A$5:$A$28,A5,$W$5:$W$28,W5,$V$5:$V$28,1),0)</f>
        <v/>
      </c>
      <c r="Y5" s="5">
        <f>IF(AND(V5=1, X5&gt;=cfg_debounce_consecutive_steps),1,0)</f>
        <v/>
      </c>
      <c r="Z5" s="5">
        <f>IF(AND(I5=1, H5=1, Raw_Data!H5&lt;cfg_pstr_zero_threshold_kw),1,0)</f>
        <v/>
      </c>
      <c r="AA5" s="5">
        <f>IF(Z5=1,1,0)</f>
        <v/>
      </c>
      <c r="AB5" s="5">
        <f>IF(Z5=1,COUNTIFS($A$5:$A$28,A5,$AA$5:$AA$28,AA5,$Z$5:$Z$28,1),0)</f>
        <v/>
      </c>
      <c r="AC5" s="5">
        <f>IF(AND(Z5=1, AB5&gt;=cfg_debounce_consecutive_steps),1,0)</f>
        <v/>
      </c>
    </row>
    <row r="6">
      <c r="A6" s="5">
        <f>Raw_Data!A6</f>
        <v/>
      </c>
      <c r="B6" s="16">
        <f>Raw_Data!B6</f>
        <v/>
      </c>
      <c r="C6" s="5">
        <f>Raw_Data!C6</f>
        <v/>
      </c>
      <c r="D6" s="5">
        <f>IF(ISNUMBER(SEARCH("shutdown",LOWER(C6)))+ISNUMBER(SEARCH("fault",LOWER(C6))),"DOWN",IF(ISNUMBER(SEARCH("grid connected",LOWER(C6)))+ISNUMBER(SEARCH("on-grid",LOWER(C6))),"ON",IF(ISNUMBER(SEARCH("standby",LOWER(C6)))+ISNUMBER(SEARCH("no sunlight",LOWER(C6))),"TRANSITIONAL","UNKNOWN")))</f>
        <v/>
      </c>
      <c r="E6" s="17">
        <f>MEDIAN(Raw_Data!D6:H6)</f>
        <v/>
      </c>
      <c r="F6" s="5">
        <f>COUNTIF(Raw_Data!D6:H6, "&gt;"&amp;cfg_pstr_zero_threshold_kw)</f>
        <v/>
      </c>
      <c r="G6" s="18">
        <f>100*F6/cfg_n_pv_total_in_workbook</f>
        <v/>
      </c>
      <c r="H6" s="5">
        <f>IF(AND(E6&gt;=cfg_sibling_median_active_kw, G6&gt;=cfg_min_active_siblings_pct),1,0)</f>
        <v/>
      </c>
      <c r="I6" s="5">
        <f>IF(D6="ON",1,0)</f>
        <v/>
      </c>
      <c r="J6" s="5">
        <f>IF(AND(I6=1, H6=1, Raw_Data!D6&lt;cfg_pstr_zero_threshold_kw),1,0)</f>
        <v/>
      </c>
      <c r="K6" s="5">
        <f>IF(A6&lt;&gt;A5,IF(J6=1, MAX($K$5:K5)+1, 0),IF(AND(J6=1, J5=0), K5+1,IF(J6=1, K5, K5)))</f>
        <v/>
      </c>
      <c r="L6" s="5">
        <f>IF(J6=1,COUNTIFS($A$5:$A$28,A6,$K$5:$K$28,K6,$J$5:$J$28,1),0)</f>
        <v/>
      </c>
      <c r="M6" s="5">
        <f>IF(AND(J6=1, L6&gt;=cfg_debounce_consecutive_steps),1,0)</f>
        <v/>
      </c>
      <c r="N6" s="5">
        <f>IF(AND(I6=1, H6=1, Raw_Data!E6&lt;cfg_pstr_zero_threshold_kw),1,0)</f>
        <v/>
      </c>
      <c r="O6" s="5">
        <f>IF(A6&lt;&gt;A5,IF(N6=1, MAX($O$5:O5)+1, 0),IF(AND(N6=1, N5=0), O5+1,IF(N6=1, O5, O5)))</f>
        <v/>
      </c>
      <c r="P6" s="5">
        <f>IF(N6=1,COUNTIFS($A$5:$A$28,A6,$O$5:$O$28,O6,$N$5:$N$28,1),0)</f>
        <v/>
      </c>
      <c r="Q6" s="5">
        <f>IF(AND(N6=1, P6&gt;=cfg_debounce_consecutive_steps),1,0)</f>
        <v/>
      </c>
      <c r="R6" s="5">
        <f>IF(AND(I6=1, H6=1, Raw_Data!F6&lt;cfg_pstr_zero_threshold_kw),1,0)</f>
        <v/>
      </c>
      <c r="S6" s="5">
        <f>IF(A6&lt;&gt;A5,IF(R6=1, MAX($S$5:S5)+1, 0),IF(AND(R6=1, R5=0), S5+1,IF(R6=1, S5, S5)))</f>
        <v/>
      </c>
      <c r="T6" s="5">
        <f>IF(R6=1,COUNTIFS($A$5:$A$28,A6,$S$5:$S$28,S6,$R$5:$R$28,1),0)</f>
        <v/>
      </c>
      <c r="U6" s="5">
        <f>IF(AND(R6=1, T6&gt;=cfg_debounce_consecutive_steps),1,0)</f>
        <v/>
      </c>
      <c r="V6" s="5">
        <f>IF(AND(I6=1, H6=1, Raw_Data!G6&lt;cfg_pstr_zero_threshold_kw),1,0)</f>
        <v/>
      </c>
      <c r="W6" s="5">
        <f>IF(A6&lt;&gt;A5,IF(V6=1, MAX($W$5:W5)+1, 0),IF(AND(V6=1, V5=0), W5+1,IF(V6=1, W5, W5)))</f>
        <v/>
      </c>
      <c r="X6" s="5">
        <f>IF(V6=1,COUNTIFS($A$5:$A$28,A6,$W$5:$W$28,W6,$V$5:$V$28,1),0)</f>
        <v/>
      </c>
      <c r="Y6" s="5">
        <f>IF(AND(V6=1, X6&gt;=cfg_debounce_consecutive_steps),1,0)</f>
        <v/>
      </c>
      <c r="Z6" s="5">
        <f>IF(AND(I6=1, H6=1, Raw_Data!H6&lt;cfg_pstr_zero_threshold_kw),1,0)</f>
        <v/>
      </c>
      <c r="AA6" s="5">
        <f>IF(A6&lt;&gt;A5,IF(Z6=1, MAX($AA$5:AA5)+1, 0),IF(AND(Z6=1, Z5=0), AA5+1,IF(Z6=1, AA5, AA5)))</f>
        <v/>
      </c>
      <c r="AB6" s="5">
        <f>IF(Z6=1,COUNTIFS($A$5:$A$28,A6,$AA$5:$AA$28,AA6,$Z$5:$Z$28,1),0)</f>
        <v/>
      </c>
      <c r="AC6" s="5">
        <f>IF(AND(Z6=1, AB6&gt;=cfg_debounce_consecutive_steps),1,0)</f>
        <v/>
      </c>
    </row>
    <row r="7">
      <c r="A7" s="5">
        <f>Raw_Data!A7</f>
        <v/>
      </c>
      <c r="B7" s="16">
        <f>Raw_Data!B7</f>
        <v/>
      </c>
      <c r="C7" s="5">
        <f>Raw_Data!C7</f>
        <v/>
      </c>
      <c r="D7" s="5">
        <f>IF(ISNUMBER(SEARCH("shutdown",LOWER(C7)))+ISNUMBER(SEARCH("fault",LOWER(C7))),"DOWN",IF(ISNUMBER(SEARCH("grid connected",LOWER(C7)))+ISNUMBER(SEARCH("on-grid",LOWER(C7))),"ON",IF(ISNUMBER(SEARCH("standby",LOWER(C7)))+ISNUMBER(SEARCH("no sunlight",LOWER(C7))),"TRANSITIONAL","UNKNOWN")))</f>
        <v/>
      </c>
      <c r="E7" s="17">
        <f>MEDIAN(Raw_Data!D7:H7)</f>
        <v/>
      </c>
      <c r="F7" s="5">
        <f>COUNTIF(Raw_Data!D7:H7, "&gt;"&amp;cfg_pstr_zero_threshold_kw)</f>
        <v/>
      </c>
      <c r="G7" s="18">
        <f>100*F7/cfg_n_pv_total_in_workbook</f>
        <v/>
      </c>
      <c r="H7" s="5">
        <f>IF(AND(E7&gt;=cfg_sibling_median_active_kw, G7&gt;=cfg_min_active_siblings_pct),1,0)</f>
        <v/>
      </c>
      <c r="I7" s="5">
        <f>IF(D7="ON",1,0)</f>
        <v/>
      </c>
      <c r="J7" s="5">
        <f>IF(AND(I7=1, H7=1, Raw_Data!D7&lt;cfg_pstr_zero_threshold_kw),1,0)</f>
        <v/>
      </c>
      <c r="K7" s="5">
        <f>IF(A7&lt;&gt;A6,IF(J7=1, MAX($K$5:K6)+1, 0),IF(AND(J7=1, J6=0), K6+1,IF(J7=1, K6, K6)))</f>
        <v/>
      </c>
      <c r="L7" s="5">
        <f>IF(J7=1,COUNTIFS($A$5:$A$28,A7,$K$5:$K$28,K7,$J$5:$J$28,1),0)</f>
        <v/>
      </c>
      <c r="M7" s="5">
        <f>IF(AND(J7=1, L7&gt;=cfg_debounce_consecutive_steps),1,0)</f>
        <v/>
      </c>
      <c r="N7" s="5">
        <f>IF(AND(I7=1, H7=1, Raw_Data!E7&lt;cfg_pstr_zero_threshold_kw),1,0)</f>
        <v/>
      </c>
      <c r="O7" s="5">
        <f>IF(A7&lt;&gt;A6,IF(N7=1, MAX($O$5:O6)+1, 0),IF(AND(N7=1, N6=0), O6+1,IF(N7=1, O6, O6)))</f>
        <v/>
      </c>
      <c r="P7" s="5">
        <f>IF(N7=1,COUNTIFS($A$5:$A$28,A7,$O$5:$O$28,O7,$N$5:$N$28,1),0)</f>
        <v/>
      </c>
      <c r="Q7" s="5">
        <f>IF(AND(N7=1, P7&gt;=cfg_debounce_consecutive_steps),1,0)</f>
        <v/>
      </c>
      <c r="R7" s="5">
        <f>IF(AND(I7=1, H7=1, Raw_Data!F7&lt;cfg_pstr_zero_threshold_kw),1,0)</f>
        <v/>
      </c>
      <c r="S7" s="5">
        <f>IF(A7&lt;&gt;A6,IF(R7=1, MAX($S$5:S6)+1, 0),IF(AND(R7=1, R6=0), S6+1,IF(R7=1, S6, S6)))</f>
        <v/>
      </c>
      <c r="T7" s="5">
        <f>IF(R7=1,COUNTIFS($A$5:$A$28,A7,$S$5:$S$28,S7,$R$5:$R$28,1),0)</f>
        <v/>
      </c>
      <c r="U7" s="5">
        <f>IF(AND(R7=1, T7&gt;=cfg_debounce_consecutive_steps),1,0)</f>
        <v/>
      </c>
      <c r="V7" s="5">
        <f>IF(AND(I7=1, H7=1, Raw_Data!G7&lt;cfg_pstr_zero_threshold_kw),1,0)</f>
        <v/>
      </c>
      <c r="W7" s="5">
        <f>IF(A7&lt;&gt;A6,IF(V7=1, MAX($W$5:W6)+1, 0),IF(AND(V7=1, V6=0), W6+1,IF(V7=1, W6, W6)))</f>
        <v/>
      </c>
      <c r="X7" s="5">
        <f>IF(V7=1,COUNTIFS($A$5:$A$28,A7,$W$5:$W$28,W7,$V$5:$V$28,1),0)</f>
        <v/>
      </c>
      <c r="Y7" s="5">
        <f>IF(AND(V7=1, X7&gt;=cfg_debounce_consecutive_steps),1,0)</f>
        <v/>
      </c>
      <c r="Z7" s="5">
        <f>IF(AND(I7=1, H7=1, Raw_Data!H7&lt;cfg_pstr_zero_threshold_kw),1,0)</f>
        <v/>
      </c>
      <c r="AA7" s="5">
        <f>IF(A7&lt;&gt;A6,IF(Z7=1, MAX($AA$5:AA6)+1, 0),IF(AND(Z7=1, Z6=0), AA6+1,IF(Z7=1, AA6, AA6)))</f>
        <v/>
      </c>
      <c r="AB7" s="5">
        <f>IF(Z7=1,COUNTIFS($A$5:$A$28,A7,$AA$5:$AA$28,AA7,$Z$5:$Z$28,1),0)</f>
        <v/>
      </c>
      <c r="AC7" s="5">
        <f>IF(AND(Z7=1, AB7&gt;=cfg_debounce_consecutive_steps),1,0)</f>
        <v/>
      </c>
    </row>
    <row r="8">
      <c r="A8" s="5">
        <f>Raw_Data!A8</f>
        <v/>
      </c>
      <c r="B8" s="16">
        <f>Raw_Data!B8</f>
        <v/>
      </c>
      <c r="C8" s="5">
        <f>Raw_Data!C8</f>
        <v/>
      </c>
      <c r="D8" s="5">
        <f>IF(ISNUMBER(SEARCH("shutdown",LOWER(C8)))+ISNUMBER(SEARCH("fault",LOWER(C8))),"DOWN",IF(ISNUMBER(SEARCH("grid connected",LOWER(C8)))+ISNUMBER(SEARCH("on-grid",LOWER(C8))),"ON",IF(ISNUMBER(SEARCH("standby",LOWER(C8)))+ISNUMBER(SEARCH("no sunlight",LOWER(C8))),"TRANSITIONAL","UNKNOWN")))</f>
        <v/>
      </c>
      <c r="E8" s="17">
        <f>MEDIAN(Raw_Data!D8:H8)</f>
        <v/>
      </c>
      <c r="F8" s="5">
        <f>COUNTIF(Raw_Data!D8:H8, "&gt;"&amp;cfg_pstr_zero_threshold_kw)</f>
        <v/>
      </c>
      <c r="G8" s="18">
        <f>100*F8/cfg_n_pv_total_in_workbook</f>
        <v/>
      </c>
      <c r="H8" s="5">
        <f>IF(AND(E8&gt;=cfg_sibling_median_active_kw, G8&gt;=cfg_min_active_siblings_pct),1,0)</f>
        <v/>
      </c>
      <c r="I8" s="5">
        <f>IF(D8="ON",1,0)</f>
        <v/>
      </c>
      <c r="J8" s="5">
        <f>IF(AND(I8=1, H8=1, Raw_Data!D8&lt;cfg_pstr_zero_threshold_kw),1,0)</f>
        <v/>
      </c>
      <c r="K8" s="5">
        <f>IF(A8&lt;&gt;A7,IF(J8=1, MAX($K$5:K7)+1, 0),IF(AND(J8=1, J7=0), K7+1,IF(J8=1, K7, K7)))</f>
        <v/>
      </c>
      <c r="L8" s="5">
        <f>IF(J8=1,COUNTIFS($A$5:$A$28,A8,$K$5:$K$28,K8,$J$5:$J$28,1),0)</f>
        <v/>
      </c>
      <c r="M8" s="5">
        <f>IF(AND(J8=1, L8&gt;=cfg_debounce_consecutive_steps),1,0)</f>
        <v/>
      </c>
      <c r="N8" s="5">
        <f>IF(AND(I8=1, H8=1, Raw_Data!E8&lt;cfg_pstr_zero_threshold_kw),1,0)</f>
        <v/>
      </c>
      <c r="O8" s="5">
        <f>IF(A8&lt;&gt;A7,IF(N8=1, MAX($O$5:O7)+1, 0),IF(AND(N8=1, N7=0), O7+1,IF(N8=1, O7, O7)))</f>
        <v/>
      </c>
      <c r="P8" s="5">
        <f>IF(N8=1,COUNTIFS($A$5:$A$28,A8,$O$5:$O$28,O8,$N$5:$N$28,1),0)</f>
        <v/>
      </c>
      <c r="Q8" s="5">
        <f>IF(AND(N8=1, P8&gt;=cfg_debounce_consecutive_steps),1,0)</f>
        <v/>
      </c>
      <c r="R8" s="5">
        <f>IF(AND(I8=1, H8=1, Raw_Data!F8&lt;cfg_pstr_zero_threshold_kw),1,0)</f>
        <v/>
      </c>
      <c r="S8" s="5">
        <f>IF(A8&lt;&gt;A7,IF(R8=1, MAX($S$5:S7)+1, 0),IF(AND(R8=1, R7=0), S7+1,IF(R8=1, S7, S7)))</f>
        <v/>
      </c>
      <c r="T8" s="5">
        <f>IF(R8=1,COUNTIFS($A$5:$A$28,A8,$S$5:$S$28,S8,$R$5:$R$28,1),0)</f>
        <v/>
      </c>
      <c r="U8" s="5">
        <f>IF(AND(R8=1, T8&gt;=cfg_debounce_consecutive_steps),1,0)</f>
        <v/>
      </c>
      <c r="V8" s="5">
        <f>IF(AND(I8=1, H8=1, Raw_Data!G8&lt;cfg_pstr_zero_threshold_kw),1,0)</f>
        <v/>
      </c>
      <c r="W8" s="5">
        <f>IF(A8&lt;&gt;A7,IF(V8=1, MAX($W$5:W7)+1, 0),IF(AND(V8=1, V7=0), W7+1,IF(V8=1, W7, W7)))</f>
        <v/>
      </c>
      <c r="X8" s="5">
        <f>IF(V8=1,COUNTIFS($A$5:$A$28,A8,$W$5:$W$28,W8,$V$5:$V$28,1),0)</f>
        <v/>
      </c>
      <c r="Y8" s="5">
        <f>IF(AND(V8=1, X8&gt;=cfg_debounce_consecutive_steps),1,0)</f>
        <v/>
      </c>
      <c r="Z8" s="5">
        <f>IF(AND(I8=1, H8=1, Raw_Data!H8&lt;cfg_pstr_zero_threshold_kw),1,0)</f>
        <v/>
      </c>
      <c r="AA8" s="5">
        <f>IF(A8&lt;&gt;A7,IF(Z8=1, MAX($AA$5:AA7)+1, 0),IF(AND(Z8=1, Z7=0), AA7+1,IF(Z8=1, AA7, AA7)))</f>
        <v/>
      </c>
      <c r="AB8" s="5">
        <f>IF(Z8=1,COUNTIFS($A$5:$A$28,A8,$AA$5:$AA$28,AA8,$Z$5:$Z$28,1),0)</f>
        <v/>
      </c>
      <c r="AC8" s="5">
        <f>IF(AND(Z8=1, AB8&gt;=cfg_debounce_consecutive_steps),1,0)</f>
        <v/>
      </c>
    </row>
    <row r="9">
      <c r="A9" s="5">
        <f>Raw_Data!A9</f>
        <v/>
      </c>
      <c r="B9" s="16">
        <f>Raw_Data!B9</f>
        <v/>
      </c>
      <c r="C9" s="5">
        <f>Raw_Data!C9</f>
        <v/>
      </c>
      <c r="D9" s="5">
        <f>IF(ISNUMBER(SEARCH("shutdown",LOWER(C9)))+ISNUMBER(SEARCH("fault",LOWER(C9))),"DOWN",IF(ISNUMBER(SEARCH("grid connected",LOWER(C9)))+ISNUMBER(SEARCH("on-grid",LOWER(C9))),"ON",IF(ISNUMBER(SEARCH("standby",LOWER(C9)))+ISNUMBER(SEARCH("no sunlight",LOWER(C9))),"TRANSITIONAL","UNKNOWN")))</f>
        <v/>
      </c>
      <c r="E9" s="17">
        <f>MEDIAN(Raw_Data!D9:H9)</f>
        <v/>
      </c>
      <c r="F9" s="5">
        <f>COUNTIF(Raw_Data!D9:H9, "&gt;"&amp;cfg_pstr_zero_threshold_kw)</f>
        <v/>
      </c>
      <c r="G9" s="18">
        <f>100*F9/cfg_n_pv_total_in_workbook</f>
        <v/>
      </c>
      <c r="H9" s="5">
        <f>IF(AND(E9&gt;=cfg_sibling_median_active_kw, G9&gt;=cfg_min_active_siblings_pct),1,0)</f>
        <v/>
      </c>
      <c r="I9" s="5">
        <f>IF(D9="ON",1,0)</f>
        <v/>
      </c>
      <c r="J9" s="5">
        <f>IF(AND(I9=1, H9=1, Raw_Data!D9&lt;cfg_pstr_zero_threshold_kw),1,0)</f>
        <v/>
      </c>
      <c r="K9" s="5">
        <f>IF(A9&lt;&gt;A8,IF(J9=1, MAX($K$5:K8)+1, 0),IF(AND(J9=1, J8=0), K8+1,IF(J9=1, K8, K8)))</f>
        <v/>
      </c>
      <c r="L9" s="5">
        <f>IF(J9=1,COUNTIFS($A$5:$A$28,A9,$K$5:$K$28,K9,$J$5:$J$28,1),0)</f>
        <v/>
      </c>
      <c r="M9" s="5">
        <f>IF(AND(J9=1, L9&gt;=cfg_debounce_consecutive_steps),1,0)</f>
        <v/>
      </c>
      <c r="N9" s="5">
        <f>IF(AND(I9=1, H9=1, Raw_Data!E9&lt;cfg_pstr_zero_threshold_kw),1,0)</f>
        <v/>
      </c>
      <c r="O9" s="5">
        <f>IF(A9&lt;&gt;A8,IF(N9=1, MAX($O$5:O8)+1, 0),IF(AND(N9=1, N8=0), O8+1,IF(N9=1, O8, O8)))</f>
        <v/>
      </c>
      <c r="P9" s="5">
        <f>IF(N9=1,COUNTIFS($A$5:$A$28,A9,$O$5:$O$28,O9,$N$5:$N$28,1),0)</f>
        <v/>
      </c>
      <c r="Q9" s="5">
        <f>IF(AND(N9=1, P9&gt;=cfg_debounce_consecutive_steps),1,0)</f>
        <v/>
      </c>
      <c r="R9" s="5">
        <f>IF(AND(I9=1, H9=1, Raw_Data!F9&lt;cfg_pstr_zero_threshold_kw),1,0)</f>
        <v/>
      </c>
      <c r="S9" s="5">
        <f>IF(A9&lt;&gt;A8,IF(R9=1, MAX($S$5:S8)+1, 0),IF(AND(R9=1, R8=0), S8+1,IF(R9=1, S8, S8)))</f>
        <v/>
      </c>
      <c r="T9" s="5">
        <f>IF(R9=1,COUNTIFS($A$5:$A$28,A9,$S$5:$S$28,S9,$R$5:$R$28,1),0)</f>
        <v/>
      </c>
      <c r="U9" s="5">
        <f>IF(AND(R9=1, T9&gt;=cfg_debounce_consecutive_steps),1,0)</f>
        <v/>
      </c>
      <c r="V9" s="5">
        <f>IF(AND(I9=1, H9=1, Raw_Data!G9&lt;cfg_pstr_zero_threshold_kw),1,0)</f>
        <v/>
      </c>
      <c r="W9" s="5">
        <f>IF(A9&lt;&gt;A8,IF(V9=1, MAX($W$5:W8)+1, 0),IF(AND(V9=1, V8=0), W8+1,IF(V9=1, W8, W8)))</f>
        <v/>
      </c>
      <c r="X9" s="5">
        <f>IF(V9=1,COUNTIFS($A$5:$A$28,A9,$W$5:$W$28,W9,$V$5:$V$28,1),0)</f>
        <v/>
      </c>
      <c r="Y9" s="5">
        <f>IF(AND(V9=1, X9&gt;=cfg_debounce_consecutive_steps),1,0)</f>
        <v/>
      </c>
      <c r="Z9" s="5">
        <f>IF(AND(I9=1, H9=1, Raw_Data!H9&lt;cfg_pstr_zero_threshold_kw),1,0)</f>
        <v/>
      </c>
      <c r="AA9" s="5">
        <f>IF(A9&lt;&gt;A8,IF(Z9=1, MAX($AA$5:AA8)+1, 0),IF(AND(Z9=1, Z8=0), AA8+1,IF(Z9=1, AA8, AA8)))</f>
        <v/>
      </c>
      <c r="AB9" s="5">
        <f>IF(Z9=1,COUNTIFS($A$5:$A$28,A9,$AA$5:$AA$28,AA9,$Z$5:$Z$28,1),0)</f>
        <v/>
      </c>
      <c r="AC9" s="5">
        <f>IF(AND(Z9=1, AB9&gt;=cfg_debounce_consecutive_steps),1,0)</f>
        <v/>
      </c>
    </row>
    <row r="10">
      <c r="A10" s="5">
        <f>Raw_Data!A10</f>
        <v/>
      </c>
      <c r="B10" s="16">
        <f>Raw_Data!B10</f>
        <v/>
      </c>
      <c r="C10" s="5">
        <f>Raw_Data!C10</f>
        <v/>
      </c>
      <c r="D10" s="5">
        <f>IF(ISNUMBER(SEARCH("shutdown",LOWER(C10)))+ISNUMBER(SEARCH("fault",LOWER(C10))),"DOWN",IF(ISNUMBER(SEARCH("grid connected",LOWER(C10)))+ISNUMBER(SEARCH("on-grid",LOWER(C10))),"ON",IF(ISNUMBER(SEARCH("standby",LOWER(C10)))+ISNUMBER(SEARCH("no sunlight",LOWER(C10))),"TRANSITIONAL","UNKNOWN")))</f>
        <v/>
      </c>
      <c r="E10" s="17">
        <f>MEDIAN(Raw_Data!D10:H10)</f>
        <v/>
      </c>
      <c r="F10" s="5">
        <f>COUNTIF(Raw_Data!D10:H10, "&gt;"&amp;cfg_pstr_zero_threshold_kw)</f>
        <v/>
      </c>
      <c r="G10" s="18">
        <f>100*F10/cfg_n_pv_total_in_workbook</f>
        <v/>
      </c>
      <c r="H10" s="5">
        <f>IF(AND(E10&gt;=cfg_sibling_median_active_kw, G10&gt;=cfg_min_active_siblings_pct),1,0)</f>
        <v/>
      </c>
      <c r="I10" s="5">
        <f>IF(D10="ON",1,0)</f>
        <v/>
      </c>
      <c r="J10" s="5">
        <f>IF(AND(I10=1, H10=1, Raw_Data!D10&lt;cfg_pstr_zero_threshold_kw),1,0)</f>
        <v/>
      </c>
      <c r="K10" s="5">
        <f>IF(A10&lt;&gt;A9,IF(J10=1, MAX($K$5:K9)+1, 0),IF(AND(J10=1, J9=0), K9+1,IF(J10=1, K9, K9)))</f>
        <v/>
      </c>
      <c r="L10" s="5">
        <f>IF(J10=1,COUNTIFS($A$5:$A$28,A10,$K$5:$K$28,K10,$J$5:$J$28,1),0)</f>
        <v/>
      </c>
      <c r="M10" s="5">
        <f>IF(AND(J10=1, L10&gt;=cfg_debounce_consecutive_steps),1,0)</f>
        <v/>
      </c>
      <c r="N10" s="5">
        <f>IF(AND(I10=1, H10=1, Raw_Data!E10&lt;cfg_pstr_zero_threshold_kw),1,0)</f>
        <v/>
      </c>
      <c r="O10" s="5">
        <f>IF(A10&lt;&gt;A9,IF(N10=1, MAX($O$5:O9)+1, 0),IF(AND(N10=1, N9=0), O9+1,IF(N10=1, O9, O9)))</f>
        <v/>
      </c>
      <c r="P10" s="5">
        <f>IF(N10=1,COUNTIFS($A$5:$A$28,A10,$O$5:$O$28,O10,$N$5:$N$28,1),0)</f>
        <v/>
      </c>
      <c r="Q10" s="5">
        <f>IF(AND(N10=1, P10&gt;=cfg_debounce_consecutive_steps),1,0)</f>
        <v/>
      </c>
      <c r="R10" s="5">
        <f>IF(AND(I10=1, H10=1, Raw_Data!F10&lt;cfg_pstr_zero_threshold_kw),1,0)</f>
        <v/>
      </c>
      <c r="S10" s="5">
        <f>IF(A10&lt;&gt;A9,IF(R10=1, MAX($S$5:S9)+1, 0),IF(AND(R10=1, R9=0), S9+1,IF(R10=1, S9, S9)))</f>
        <v/>
      </c>
      <c r="T10" s="5">
        <f>IF(R10=1,COUNTIFS($A$5:$A$28,A10,$S$5:$S$28,S10,$R$5:$R$28,1),0)</f>
        <v/>
      </c>
      <c r="U10" s="5">
        <f>IF(AND(R10=1, T10&gt;=cfg_debounce_consecutive_steps),1,0)</f>
        <v/>
      </c>
      <c r="V10" s="5">
        <f>IF(AND(I10=1, H10=1, Raw_Data!G10&lt;cfg_pstr_zero_threshold_kw),1,0)</f>
        <v/>
      </c>
      <c r="W10" s="5">
        <f>IF(A10&lt;&gt;A9,IF(V10=1, MAX($W$5:W9)+1, 0),IF(AND(V10=1, V9=0), W9+1,IF(V10=1, W9, W9)))</f>
        <v/>
      </c>
      <c r="X10" s="5">
        <f>IF(V10=1,COUNTIFS($A$5:$A$28,A10,$W$5:$W$28,W10,$V$5:$V$28,1),0)</f>
        <v/>
      </c>
      <c r="Y10" s="5">
        <f>IF(AND(V10=1, X10&gt;=cfg_debounce_consecutive_steps),1,0)</f>
        <v/>
      </c>
      <c r="Z10" s="5">
        <f>IF(AND(I10=1, H10=1, Raw_Data!H10&lt;cfg_pstr_zero_threshold_kw),1,0)</f>
        <v/>
      </c>
      <c r="AA10" s="5">
        <f>IF(A10&lt;&gt;A9,IF(Z10=1, MAX($AA$5:AA9)+1, 0),IF(AND(Z10=1, Z9=0), AA9+1,IF(Z10=1, AA9, AA9)))</f>
        <v/>
      </c>
      <c r="AB10" s="5">
        <f>IF(Z10=1,COUNTIFS($A$5:$A$28,A10,$AA$5:$AA$28,AA10,$Z$5:$Z$28,1),0)</f>
        <v/>
      </c>
      <c r="AC10" s="5">
        <f>IF(AND(Z10=1, AB10&gt;=cfg_debounce_consecutive_steps),1,0)</f>
        <v/>
      </c>
    </row>
    <row r="11">
      <c r="A11" s="5">
        <f>Raw_Data!A11</f>
        <v/>
      </c>
      <c r="B11" s="16">
        <f>Raw_Data!B11</f>
        <v/>
      </c>
      <c r="C11" s="5">
        <f>Raw_Data!C11</f>
        <v/>
      </c>
      <c r="D11" s="5">
        <f>IF(ISNUMBER(SEARCH("shutdown",LOWER(C11)))+ISNUMBER(SEARCH("fault",LOWER(C11))),"DOWN",IF(ISNUMBER(SEARCH("grid connected",LOWER(C11)))+ISNUMBER(SEARCH("on-grid",LOWER(C11))),"ON",IF(ISNUMBER(SEARCH("standby",LOWER(C11)))+ISNUMBER(SEARCH("no sunlight",LOWER(C11))),"TRANSITIONAL","UNKNOWN")))</f>
        <v/>
      </c>
      <c r="E11" s="17">
        <f>MEDIAN(Raw_Data!D11:H11)</f>
        <v/>
      </c>
      <c r="F11" s="5">
        <f>COUNTIF(Raw_Data!D11:H11, "&gt;"&amp;cfg_pstr_zero_threshold_kw)</f>
        <v/>
      </c>
      <c r="G11" s="18">
        <f>100*F11/cfg_n_pv_total_in_workbook</f>
        <v/>
      </c>
      <c r="H11" s="5">
        <f>IF(AND(E11&gt;=cfg_sibling_median_active_kw, G11&gt;=cfg_min_active_siblings_pct),1,0)</f>
        <v/>
      </c>
      <c r="I11" s="5">
        <f>IF(D11="ON",1,0)</f>
        <v/>
      </c>
      <c r="J11" s="5">
        <f>IF(AND(I11=1, H11=1, Raw_Data!D11&lt;cfg_pstr_zero_threshold_kw),1,0)</f>
        <v/>
      </c>
      <c r="K11" s="5">
        <f>IF(A11&lt;&gt;A10,IF(J11=1, MAX($K$5:K10)+1, 0),IF(AND(J11=1, J10=0), K10+1,IF(J11=1, K10, K10)))</f>
        <v/>
      </c>
      <c r="L11" s="5">
        <f>IF(J11=1,COUNTIFS($A$5:$A$28,A11,$K$5:$K$28,K11,$J$5:$J$28,1),0)</f>
        <v/>
      </c>
      <c r="M11" s="5">
        <f>IF(AND(J11=1, L11&gt;=cfg_debounce_consecutive_steps),1,0)</f>
        <v/>
      </c>
      <c r="N11" s="5">
        <f>IF(AND(I11=1, H11=1, Raw_Data!E11&lt;cfg_pstr_zero_threshold_kw),1,0)</f>
        <v/>
      </c>
      <c r="O11" s="5">
        <f>IF(A11&lt;&gt;A10,IF(N11=1, MAX($O$5:O10)+1, 0),IF(AND(N11=1, N10=0), O10+1,IF(N11=1, O10, O10)))</f>
        <v/>
      </c>
      <c r="P11" s="5">
        <f>IF(N11=1,COUNTIFS($A$5:$A$28,A11,$O$5:$O$28,O11,$N$5:$N$28,1),0)</f>
        <v/>
      </c>
      <c r="Q11" s="5">
        <f>IF(AND(N11=1, P11&gt;=cfg_debounce_consecutive_steps),1,0)</f>
        <v/>
      </c>
      <c r="R11" s="5">
        <f>IF(AND(I11=1, H11=1, Raw_Data!F11&lt;cfg_pstr_zero_threshold_kw),1,0)</f>
        <v/>
      </c>
      <c r="S11" s="5">
        <f>IF(A11&lt;&gt;A10,IF(R11=1, MAX($S$5:S10)+1, 0),IF(AND(R11=1, R10=0), S10+1,IF(R11=1, S10, S10)))</f>
        <v/>
      </c>
      <c r="T11" s="5">
        <f>IF(R11=1,COUNTIFS($A$5:$A$28,A11,$S$5:$S$28,S11,$R$5:$R$28,1),0)</f>
        <v/>
      </c>
      <c r="U11" s="5">
        <f>IF(AND(R11=1, T11&gt;=cfg_debounce_consecutive_steps),1,0)</f>
        <v/>
      </c>
      <c r="V11" s="5">
        <f>IF(AND(I11=1, H11=1, Raw_Data!G11&lt;cfg_pstr_zero_threshold_kw),1,0)</f>
        <v/>
      </c>
      <c r="W11" s="5">
        <f>IF(A11&lt;&gt;A10,IF(V11=1, MAX($W$5:W10)+1, 0),IF(AND(V11=1, V10=0), W10+1,IF(V11=1, W10, W10)))</f>
        <v/>
      </c>
      <c r="X11" s="5">
        <f>IF(V11=1,COUNTIFS($A$5:$A$28,A11,$W$5:$W$28,W11,$V$5:$V$28,1),0)</f>
        <v/>
      </c>
      <c r="Y11" s="5">
        <f>IF(AND(V11=1, X11&gt;=cfg_debounce_consecutive_steps),1,0)</f>
        <v/>
      </c>
      <c r="Z11" s="5">
        <f>IF(AND(I11=1, H11=1, Raw_Data!H11&lt;cfg_pstr_zero_threshold_kw),1,0)</f>
        <v/>
      </c>
      <c r="AA11" s="5">
        <f>IF(A11&lt;&gt;A10,IF(Z11=1, MAX($AA$5:AA10)+1, 0),IF(AND(Z11=1, Z10=0), AA10+1,IF(Z11=1, AA10, AA10)))</f>
        <v/>
      </c>
      <c r="AB11" s="5">
        <f>IF(Z11=1,COUNTIFS($A$5:$A$28,A11,$AA$5:$AA$28,AA11,$Z$5:$Z$28,1),0)</f>
        <v/>
      </c>
      <c r="AC11" s="5">
        <f>IF(AND(Z11=1, AB11&gt;=cfg_debounce_consecutive_steps),1,0)</f>
        <v/>
      </c>
    </row>
    <row r="12">
      <c r="A12" s="5">
        <f>Raw_Data!A12</f>
        <v/>
      </c>
      <c r="B12" s="16">
        <f>Raw_Data!B12</f>
        <v/>
      </c>
      <c r="C12" s="5">
        <f>Raw_Data!C12</f>
        <v/>
      </c>
      <c r="D12" s="5">
        <f>IF(ISNUMBER(SEARCH("shutdown",LOWER(C12)))+ISNUMBER(SEARCH("fault",LOWER(C12))),"DOWN",IF(ISNUMBER(SEARCH("grid connected",LOWER(C12)))+ISNUMBER(SEARCH("on-grid",LOWER(C12))),"ON",IF(ISNUMBER(SEARCH("standby",LOWER(C12)))+ISNUMBER(SEARCH("no sunlight",LOWER(C12))),"TRANSITIONAL","UNKNOWN")))</f>
        <v/>
      </c>
      <c r="E12" s="17">
        <f>MEDIAN(Raw_Data!D12:H12)</f>
        <v/>
      </c>
      <c r="F12" s="5">
        <f>COUNTIF(Raw_Data!D12:H12, "&gt;"&amp;cfg_pstr_zero_threshold_kw)</f>
        <v/>
      </c>
      <c r="G12" s="18">
        <f>100*F12/cfg_n_pv_total_in_workbook</f>
        <v/>
      </c>
      <c r="H12" s="5">
        <f>IF(AND(E12&gt;=cfg_sibling_median_active_kw, G12&gt;=cfg_min_active_siblings_pct),1,0)</f>
        <v/>
      </c>
      <c r="I12" s="5">
        <f>IF(D12="ON",1,0)</f>
        <v/>
      </c>
      <c r="J12" s="5">
        <f>IF(AND(I12=1, H12=1, Raw_Data!D12&lt;cfg_pstr_zero_threshold_kw),1,0)</f>
        <v/>
      </c>
      <c r="K12" s="5">
        <f>IF(A12&lt;&gt;A11,IF(J12=1, MAX($K$5:K11)+1, 0),IF(AND(J12=1, J11=0), K11+1,IF(J12=1, K11, K11)))</f>
        <v/>
      </c>
      <c r="L12" s="5">
        <f>IF(J12=1,COUNTIFS($A$5:$A$28,A12,$K$5:$K$28,K12,$J$5:$J$28,1),0)</f>
        <v/>
      </c>
      <c r="M12" s="5">
        <f>IF(AND(J12=1, L12&gt;=cfg_debounce_consecutive_steps),1,0)</f>
        <v/>
      </c>
      <c r="N12" s="5">
        <f>IF(AND(I12=1, H12=1, Raw_Data!E12&lt;cfg_pstr_zero_threshold_kw),1,0)</f>
        <v/>
      </c>
      <c r="O12" s="5">
        <f>IF(A12&lt;&gt;A11,IF(N12=1, MAX($O$5:O11)+1, 0),IF(AND(N12=1, N11=0), O11+1,IF(N12=1, O11, O11)))</f>
        <v/>
      </c>
      <c r="P12" s="5">
        <f>IF(N12=1,COUNTIFS($A$5:$A$28,A12,$O$5:$O$28,O12,$N$5:$N$28,1),0)</f>
        <v/>
      </c>
      <c r="Q12" s="5">
        <f>IF(AND(N12=1, P12&gt;=cfg_debounce_consecutive_steps),1,0)</f>
        <v/>
      </c>
      <c r="R12" s="5">
        <f>IF(AND(I12=1, H12=1, Raw_Data!F12&lt;cfg_pstr_zero_threshold_kw),1,0)</f>
        <v/>
      </c>
      <c r="S12" s="5">
        <f>IF(A12&lt;&gt;A11,IF(R12=1, MAX($S$5:S11)+1, 0),IF(AND(R12=1, R11=0), S11+1,IF(R12=1, S11, S11)))</f>
        <v/>
      </c>
      <c r="T12" s="5">
        <f>IF(R12=1,COUNTIFS($A$5:$A$28,A12,$S$5:$S$28,S12,$R$5:$R$28,1),0)</f>
        <v/>
      </c>
      <c r="U12" s="5">
        <f>IF(AND(R12=1, T12&gt;=cfg_debounce_consecutive_steps),1,0)</f>
        <v/>
      </c>
      <c r="V12" s="5">
        <f>IF(AND(I12=1, H12=1, Raw_Data!G12&lt;cfg_pstr_zero_threshold_kw),1,0)</f>
        <v/>
      </c>
      <c r="W12" s="5">
        <f>IF(A12&lt;&gt;A11,IF(V12=1, MAX($W$5:W11)+1, 0),IF(AND(V12=1, V11=0), W11+1,IF(V12=1, W11, W11)))</f>
        <v/>
      </c>
      <c r="X12" s="5">
        <f>IF(V12=1,COUNTIFS($A$5:$A$28,A12,$W$5:$W$28,W12,$V$5:$V$28,1),0)</f>
        <v/>
      </c>
      <c r="Y12" s="5">
        <f>IF(AND(V12=1, X12&gt;=cfg_debounce_consecutive_steps),1,0)</f>
        <v/>
      </c>
      <c r="Z12" s="5">
        <f>IF(AND(I12=1, H12=1, Raw_Data!H12&lt;cfg_pstr_zero_threshold_kw),1,0)</f>
        <v/>
      </c>
      <c r="AA12" s="5">
        <f>IF(A12&lt;&gt;A11,IF(Z12=1, MAX($AA$5:AA11)+1, 0),IF(AND(Z12=1, Z11=0), AA11+1,IF(Z12=1, AA11, AA11)))</f>
        <v/>
      </c>
      <c r="AB12" s="5">
        <f>IF(Z12=1,COUNTIFS($A$5:$A$28,A12,$AA$5:$AA$28,AA12,$Z$5:$Z$28,1),0)</f>
        <v/>
      </c>
      <c r="AC12" s="5">
        <f>IF(AND(Z12=1, AB12&gt;=cfg_debounce_consecutive_steps),1,0)</f>
        <v/>
      </c>
    </row>
    <row r="13">
      <c r="A13" s="5">
        <f>Raw_Data!A13</f>
        <v/>
      </c>
      <c r="B13" s="16">
        <f>Raw_Data!B13</f>
        <v/>
      </c>
      <c r="C13" s="5">
        <f>Raw_Data!C13</f>
        <v/>
      </c>
      <c r="D13" s="5">
        <f>IF(ISNUMBER(SEARCH("shutdown",LOWER(C13)))+ISNUMBER(SEARCH("fault",LOWER(C13))),"DOWN",IF(ISNUMBER(SEARCH("grid connected",LOWER(C13)))+ISNUMBER(SEARCH("on-grid",LOWER(C13))),"ON",IF(ISNUMBER(SEARCH("standby",LOWER(C13)))+ISNUMBER(SEARCH("no sunlight",LOWER(C13))),"TRANSITIONAL","UNKNOWN")))</f>
        <v/>
      </c>
      <c r="E13" s="17">
        <f>MEDIAN(Raw_Data!D13:H13)</f>
        <v/>
      </c>
      <c r="F13" s="5">
        <f>COUNTIF(Raw_Data!D13:H13, "&gt;"&amp;cfg_pstr_zero_threshold_kw)</f>
        <v/>
      </c>
      <c r="G13" s="18">
        <f>100*F13/cfg_n_pv_total_in_workbook</f>
        <v/>
      </c>
      <c r="H13" s="5">
        <f>IF(AND(E13&gt;=cfg_sibling_median_active_kw, G13&gt;=cfg_min_active_siblings_pct),1,0)</f>
        <v/>
      </c>
      <c r="I13" s="5">
        <f>IF(D13="ON",1,0)</f>
        <v/>
      </c>
      <c r="J13" s="5">
        <f>IF(AND(I13=1, H13=1, Raw_Data!D13&lt;cfg_pstr_zero_threshold_kw),1,0)</f>
        <v/>
      </c>
      <c r="K13" s="5">
        <f>IF(A13&lt;&gt;A12,IF(J13=1, MAX($K$5:K12)+1, 0),IF(AND(J13=1, J12=0), K12+1,IF(J13=1, K12, K12)))</f>
        <v/>
      </c>
      <c r="L13" s="5">
        <f>IF(J13=1,COUNTIFS($A$5:$A$28,A13,$K$5:$K$28,K13,$J$5:$J$28,1),0)</f>
        <v/>
      </c>
      <c r="M13" s="5">
        <f>IF(AND(J13=1, L13&gt;=cfg_debounce_consecutive_steps),1,0)</f>
        <v/>
      </c>
      <c r="N13" s="5">
        <f>IF(AND(I13=1, H13=1, Raw_Data!E13&lt;cfg_pstr_zero_threshold_kw),1,0)</f>
        <v/>
      </c>
      <c r="O13" s="5">
        <f>IF(A13&lt;&gt;A12,IF(N13=1, MAX($O$5:O12)+1, 0),IF(AND(N13=1, N12=0), O12+1,IF(N13=1, O12, O12)))</f>
        <v/>
      </c>
      <c r="P13" s="5">
        <f>IF(N13=1,COUNTIFS($A$5:$A$28,A13,$O$5:$O$28,O13,$N$5:$N$28,1),0)</f>
        <v/>
      </c>
      <c r="Q13" s="5">
        <f>IF(AND(N13=1, P13&gt;=cfg_debounce_consecutive_steps),1,0)</f>
        <v/>
      </c>
      <c r="R13" s="5">
        <f>IF(AND(I13=1, H13=1, Raw_Data!F13&lt;cfg_pstr_zero_threshold_kw),1,0)</f>
        <v/>
      </c>
      <c r="S13" s="5">
        <f>IF(A13&lt;&gt;A12,IF(R13=1, MAX($S$5:S12)+1, 0),IF(AND(R13=1, R12=0), S12+1,IF(R13=1, S12, S12)))</f>
        <v/>
      </c>
      <c r="T13" s="5">
        <f>IF(R13=1,COUNTIFS($A$5:$A$28,A13,$S$5:$S$28,S13,$R$5:$R$28,1),0)</f>
        <v/>
      </c>
      <c r="U13" s="5">
        <f>IF(AND(R13=1, T13&gt;=cfg_debounce_consecutive_steps),1,0)</f>
        <v/>
      </c>
      <c r="V13" s="5">
        <f>IF(AND(I13=1, H13=1, Raw_Data!G13&lt;cfg_pstr_zero_threshold_kw),1,0)</f>
        <v/>
      </c>
      <c r="W13" s="5">
        <f>IF(A13&lt;&gt;A12,IF(V13=1, MAX($W$5:W12)+1, 0),IF(AND(V13=1, V12=0), W12+1,IF(V13=1, W12, W12)))</f>
        <v/>
      </c>
      <c r="X13" s="5">
        <f>IF(V13=1,COUNTIFS($A$5:$A$28,A13,$W$5:$W$28,W13,$V$5:$V$28,1),0)</f>
        <v/>
      </c>
      <c r="Y13" s="5">
        <f>IF(AND(V13=1, X13&gt;=cfg_debounce_consecutive_steps),1,0)</f>
        <v/>
      </c>
      <c r="Z13" s="5">
        <f>IF(AND(I13=1, H13=1, Raw_Data!H13&lt;cfg_pstr_zero_threshold_kw),1,0)</f>
        <v/>
      </c>
      <c r="AA13" s="5">
        <f>IF(A13&lt;&gt;A12,IF(Z13=1, MAX($AA$5:AA12)+1, 0),IF(AND(Z13=1, Z12=0), AA12+1,IF(Z13=1, AA12, AA12)))</f>
        <v/>
      </c>
      <c r="AB13" s="5">
        <f>IF(Z13=1,COUNTIFS($A$5:$A$28,A13,$AA$5:$AA$28,AA13,$Z$5:$Z$28,1),0)</f>
        <v/>
      </c>
      <c r="AC13" s="5">
        <f>IF(AND(Z13=1, AB13&gt;=cfg_debounce_consecutive_steps),1,0)</f>
        <v/>
      </c>
    </row>
    <row r="14">
      <c r="A14" s="5">
        <f>Raw_Data!A14</f>
        <v/>
      </c>
      <c r="B14" s="16">
        <f>Raw_Data!B14</f>
        <v/>
      </c>
      <c r="C14" s="5">
        <f>Raw_Data!C14</f>
        <v/>
      </c>
      <c r="D14" s="5">
        <f>IF(ISNUMBER(SEARCH("shutdown",LOWER(C14)))+ISNUMBER(SEARCH("fault",LOWER(C14))),"DOWN",IF(ISNUMBER(SEARCH("grid connected",LOWER(C14)))+ISNUMBER(SEARCH("on-grid",LOWER(C14))),"ON",IF(ISNUMBER(SEARCH("standby",LOWER(C14)))+ISNUMBER(SEARCH("no sunlight",LOWER(C14))),"TRANSITIONAL","UNKNOWN")))</f>
        <v/>
      </c>
      <c r="E14" s="17">
        <f>MEDIAN(Raw_Data!D14:H14)</f>
        <v/>
      </c>
      <c r="F14" s="5">
        <f>COUNTIF(Raw_Data!D14:H14, "&gt;"&amp;cfg_pstr_zero_threshold_kw)</f>
        <v/>
      </c>
      <c r="G14" s="18">
        <f>100*F14/cfg_n_pv_total_in_workbook</f>
        <v/>
      </c>
      <c r="H14" s="5">
        <f>IF(AND(E14&gt;=cfg_sibling_median_active_kw, G14&gt;=cfg_min_active_siblings_pct),1,0)</f>
        <v/>
      </c>
      <c r="I14" s="5">
        <f>IF(D14="ON",1,0)</f>
        <v/>
      </c>
      <c r="J14" s="5">
        <f>IF(AND(I14=1, H14=1, Raw_Data!D14&lt;cfg_pstr_zero_threshold_kw),1,0)</f>
        <v/>
      </c>
      <c r="K14" s="5">
        <f>IF(A14&lt;&gt;A13,IF(J14=1, MAX($K$5:K13)+1, 0),IF(AND(J14=1, J13=0), K13+1,IF(J14=1, K13, K13)))</f>
        <v/>
      </c>
      <c r="L14" s="5">
        <f>IF(J14=1,COUNTIFS($A$5:$A$28,A14,$K$5:$K$28,K14,$J$5:$J$28,1),0)</f>
        <v/>
      </c>
      <c r="M14" s="5">
        <f>IF(AND(J14=1, L14&gt;=cfg_debounce_consecutive_steps),1,0)</f>
        <v/>
      </c>
      <c r="N14" s="5">
        <f>IF(AND(I14=1, H14=1, Raw_Data!E14&lt;cfg_pstr_zero_threshold_kw),1,0)</f>
        <v/>
      </c>
      <c r="O14" s="5">
        <f>IF(A14&lt;&gt;A13,IF(N14=1, MAX($O$5:O13)+1, 0),IF(AND(N14=1, N13=0), O13+1,IF(N14=1, O13, O13)))</f>
        <v/>
      </c>
      <c r="P14" s="5">
        <f>IF(N14=1,COUNTIFS($A$5:$A$28,A14,$O$5:$O$28,O14,$N$5:$N$28,1),0)</f>
        <v/>
      </c>
      <c r="Q14" s="5">
        <f>IF(AND(N14=1, P14&gt;=cfg_debounce_consecutive_steps),1,0)</f>
        <v/>
      </c>
      <c r="R14" s="5">
        <f>IF(AND(I14=1, H14=1, Raw_Data!F14&lt;cfg_pstr_zero_threshold_kw),1,0)</f>
        <v/>
      </c>
      <c r="S14" s="5">
        <f>IF(A14&lt;&gt;A13,IF(R14=1, MAX($S$5:S13)+1, 0),IF(AND(R14=1, R13=0), S13+1,IF(R14=1, S13, S13)))</f>
        <v/>
      </c>
      <c r="T14" s="5">
        <f>IF(R14=1,COUNTIFS($A$5:$A$28,A14,$S$5:$S$28,S14,$R$5:$R$28,1),0)</f>
        <v/>
      </c>
      <c r="U14" s="5">
        <f>IF(AND(R14=1, T14&gt;=cfg_debounce_consecutive_steps),1,0)</f>
        <v/>
      </c>
      <c r="V14" s="5">
        <f>IF(AND(I14=1, H14=1, Raw_Data!G14&lt;cfg_pstr_zero_threshold_kw),1,0)</f>
        <v/>
      </c>
      <c r="W14" s="5">
        <f>IF(A14&lt;&gt;A13,IF(V14=1, MAX($W$5:W13)+1, 0),IF(AND(V14=1, V13=0), W13+1,IF(V14=1, W13, W13)))</f>
        <v/>
      </c>
      <c r="X14" s="5">
        <f>IF(V14=1,COUNTIFS($A$5:$A$28,A14,$W$5:$W$28,W14,$V$5:$V$28,1),0)</f>
        <v/>
      </c>
      <c r="Y14" s="5">
        <f>IF(AND(V14=1, X14&gt;=cfg_debounce_consecutive_steps),1,0)</f>
        <v/>
      </c>
      <c r="Z14" s="5">
        <f>IF(AND(I14=1, H14=1, Raw_Data!H14&lt;cfg_pstr_zero_threshold_kw),1,0)</f>
        <v/>
      </c>
      <c r="AA14" s="5">
        <f>IF(A14&lt;&gt;A13,IF(Z14=1, MAX($AA$5:AA13)+1, 0),IF(AND(Z14=1, Z13=0), AA13+1,IF(Z14=1, AA13, AA13)))</f>
        <v/>
      </c>
      <c r="AB14" s="5">
        <f>IF(Z14=1,COUNTIFS($A$5:$A$28,A14,$AA$5:$AA$28,AA14,$Z$5:$Z$28,1),0)</f>
        <v/>
      </c>
      <c r="AC14" s="5">
        <f>IF(AND(Z14=1, AB14&gt;=cfg_debounce_consecutive_steps),1,0)</f>
        <v/>
      </c>
    </row>
    <row r="15">
      <c r="A15" s="5">
        <f>Raw_Data!A15</f>
        <v/>
      </c>
      <c r="B15" s="16">
        <f>Raw_Data!B15</f>
        <v/>
      </c>
      <c r="C15" s="5">
        <f>Raw_Data!C15</f>
        <v/>
      </c>
      <c r="D15" s="5">
        <f>IF(ISNUMBER(SEARCH("shutdown",LOWER(C15)))+ISNUMBER(SEARCH("fault",LOWER(C15))),"DOWN",IF(ISNUMBER(SEARCH("grid connected",LOWER(C15)))+ISNUMBER(SEARCH("on-grid",LOWER(C15))),"ON",IF(ISNUMBER(SEARCH("standby",LOWER(C15)))+ISNUMBER(SEARCH("no sunlight",LOWER(C15))),"TRANSITIONAL","UNKNOWN")))</f>
        <v/>
      </c>
      <c r="E15" s="17">
        <f>MEDIAN(Raw_Data!D15:H15)</f>
        <v/>
      </c>
      <c r="F15" s="5">
        <f>COUNTIF(Raw_Data!D15:H15, "&gt;"&amp;cfg_pstr_zero_threshold_kw)</f>
        <v/>
      </c>
      <c r="G15" s="18">
        <f>100*F15/cfg_n_pv_total_in_workbook</f>
        <v/>
      </c>
      <c r="H15" s="5">
        <f>IF(AND(E15&gt;=cfg_sibling_median_active_kw, G15&gt;=cfg_min_active_siblings_pct),1,0)</f>
        <v/>
      </c>
      <c r="I15" s="5">
        <f>IF(D15="ON",1,0)</f>
        <v/>
      </c>
      <c r="J15" s="5">
        <f>IF(AND(I15=1, H15=1, Raw_Data!D15&lt;cfg_pstr_zero_threshold_kw),1,0)</f>
        <v/>
      </c>
      <c r="K15" s="5">
        <f>IF(A15&lt;&gt;A14,IF(J15=1, MAX($K$5:K14)+1, 0),IF(AND(J15=1, J14=0), K14+1,IF(J15=1, K14, K14)))</f>
        <v/>
      </c>
      <c r="L15" s="5">
        <f>IF(J15=1,COUNTIFS($A$5:$A$28,A15,$K$5:$K$28,K15,$J$5:$J$28,1),0)</f>
        <v/>
      </c>
      <c r="M15" s="5">
        <f>IF(AND(J15=1, L15&gt;=cfg_debounce_consecutive_steps),1,0)</f>
        <v/>
      </c>
      <c r="N15" s="5">
        <f>IF(AND(I15=1, H15=1, Raw_Data!E15&lt;cfg_pstr_zero_threshold_kw),1,0)</f>
        <v/>
      </c>
      <c r="O15" s="5">
        <f>IF(A15&lt;&gt;A14,IF(N15=1, MAX($O$5:O14)+1, 0),IF(AND(N15=1, N14=0), O14+1,IF(N15=1, O14, O14)))</f>
        <v/>
      </c>
      <c r="P15" s="5">
        <f>IF(N15=1,COUNTIFS($A$5:$A$28,A15,$O$5:$O$28,O15,$N$5:$N$28,1),0)</f>
        <v/>
      </c>
      <c r="Q15" s="5">
        <f>IF(AND(N15=1, P15&gt;=cfg_debounce_consecutive_steps),1,0)</f>
        <v/>
      </c>
      <c r="R15" s="5">
        <f>IF(AND(I15=1, H15=1, Raw_Data!F15&lt;cfg_pstr_zero_threshold_kw),1,0)</f>
        <v/>
      </c>
      <c r="S15" s="5">
        <f>IF(A15&lt;&gt;A14,IF(R15=1, MAX($S$5:S14)+1, 0),IF(AND(R15=1, R14=0), S14+1,IF(R15=1, S14, S14)))</f>
        <v/>
      </c>
      <c r="T15" s="5">
        <f>IF(R15=1,COUNTIFS($A$5:$A$28,A15,$S$5:$S$28,S15,$R$5:$R$28,1),0)</f>
        <v/>
      </c>
      <c r="U15" s="5">
        <f>IF(AND(R15=1, T15&gt;=cfg_debounce_consecutive_steps),1,0)</f>
        <v/>
      </c>
      <c r="V15" s="5">
        <f>IF(AND(I15=1, H15=1, Raw_Data!G15&lt;cfg_pstr_zero_threshold_kw),1,0)</f>
        <v/>
      </c>
      <c r="W15" s="5">
        <f>IF(A15&lt;&gt;A14,IF(V15=1, MAX($W$5:W14)+1, 0),IF(AND(V15=1, V14=0), W14+1,IF(V15=1, W14, W14)))</f>
        <v/>
      </c>
      <c r="X15" s="5">
        <f>IF(V15=1,COUNTIFS($A$5:$A$28,A15,$W$5:$W$28,W15,$V$5:$V$28,1),0)</f>
        <v/>
      </c>
      <c r="Y15" s="5">
        <f>IF(AND(V15=1, X15&gt;=cfg_debounce_consecutive_steps),1,0)</f>
        <v/>
      </c>
      <c r="Z15" s="5">
        <f>IF(AND(I15=1, H15=1, Raw_Data!H15&lt;cfg_pstr_zero_threshold_kw),1,0)</f>
        <v/>
      </c>
      <c r="AA15" s="5">
        <f>IF(A15&lt;&gt;A14,IF(Z15=1, MAX($AA$5:AA14)+1, 0),IF(AND(Z15=1, Z14=0), AA14+1,IF(Z15=1, AA14, AA14)))</f>
        <v/>
      </c>
      <c r="AB15" s="5">
        <f>IF(Z15=1,COUNTIFS($A$5:$A$28,A15,$AA$5:$AA$28,AA15,$Z$5:$Z$28,1),0)</f>
        <v/>
      </c>
      <c r="AC15" s="5">
        <f>IF(AND(Z15=1, AB15&gt;=cfg_debounce_consecutive_steps),1,0)</f>
        <v/>
      </c>
    </row>
    <row r="16">
      <c r="A16" s="5">
        <f>Raw_Data!A16</f>
        <v/>
      </c>
      <c r="B16" s="16">
        <f>Raw_Data!B16</f>
        <v/>
      </c>
      <c r="C16" s="5">
        <f>Raw_Data!C16</f>
        <v/>
      </c>
      <c r="D16" s="5">
        <f>IF(ISNUMBER(SEARCH("shutdown",LOWER(C16)))+ISNUMBER(SEARCH("fault",LOWER(C16))),"DOWN",IF(ISNUMBER(SEARCH("grid connected",LOWER(C16)))+ISNUMBER(SEARCH("on-grid",LOWER(C16))),"ON",IF(ISNUMBER(SEARCH("standby",LOWER(C16)))+ISNUMBER(SEARCH("no sunlight",LOWER(C16))),"TRANSITIONAL","UNKNOWN")))</f>
        <v/>
      </c>
      <c r="E16" s="17">
        <f>MEDIAN(Raw_Data!D16:H16)</f>
        <v/>
      </c>
      <c r="F16" s="5">
        <f>COUNTIF(Raw_Data!D16:H16, "&gt;"&amp;cfg_pstr_zero_threshold_kw)</f>
        <v/>
      </c>
      <c r="G16" s="18">
        <f>100*F16/cfg_n_pv_total_in_workbook</f>
        <v/>
      </c>
      <c r="H16" s="5">
        <f>IF(AND(E16&gt;=cfg_sibling_median_active_kw, G16&gt;=cfg_min_active_siblings_pct),1,0)</f>
        <v/>
      </c>
      <c r="I16" s="5">
        <f>IF(D16="ON",1,0)</f>
        <v/>
      </c>
      <c r="J16" s="5">
        <f>IF(AND(I16=1, H16=1, Raw_Data!D16&lt;cfg_pstr_zero_threshold_kw),1,0)</f>
        <v/>
      </c>
      <c r="K16" s="5">
        <f>IF(A16&lt;&gt;A15,IF(J16=1, MAX($K$5:K15)+1, 0),IF(AND(J16=1, J15=0), K15+1,IF(J16=1, K15, K15)))</f>
        <v/>
      </c>
      <c r="L16" s="5">
        <f>IF(J16=1,COUNTIFS($A$5:$A$28,A16,$K$5:$K$28,K16,$J$5:$J$28,1),0)</f>
        <v/>
      </c>
      <c r="M16" s="5">
        <f>IF(AND(J16=1, L16&gt;=cfg_debounce_consecutive_steps),1,0)</f>
        <v/>
      </c>
      <c r="N16" s="5">
        <f>IF(AND(I16=1, H16=1, Raw_Data!E16&lt;cfg_pstr_zero_threshold_kw),1,0)</f>
        <v/>
      </c>
      <c r="O16" s="5">
        <f>IF(A16&lt;&gt;A15,IF(N16=1, MAX($O$5:O15)+1, 0),IF(AND(N16=1, N15=0), O15+1,IF(N16=1, O15, O15)))</f>
        <v/>
      </c>
      <c r="P16" s="5">
        <f>IF(N16=1,COUNTIFS($A$5:$A$28,A16,$O$5:$O$28,O16,$N$5:$N$28,1),0)</f>
        <v/>
      </c>
      <c r="Q16" s="5">
        <f>IF(AND(N16=1, P16&gt;=cfg_debounce_consecutive_steps),1,0)</f>
        <v/>
      </c>
      <c r="R16" s="5">
        <f>IF(AND(I16=1, H16=1, Raw_Data!F16&lt;cfg_pstr_zero_threshold_kw),1,0)</f>
        <v/>
      </c>
      <c r="S16" s="5">
        <f>IF(A16&lt;&gt;A15,IF(R16=1, MAX($S$5:S15)+1, 0),IF(AND(R16=1, R15=0), S15+1,IF(R16=1, S15, S15)))</f>
        <v/>
      </c>
      <c r="T16" s="5">
        <f>IF(R16=1,COUNTIFS($A$5:$A$28,A16,$S$5:$S$28,S16,$R$5:$R$28,1),0)</f>
        <v/>
      </c>
      <c r="U16" s="5">
        <f>IF(AND(R16=1, T16&gt;=cfg_debounce_consecutive_steps),1,0)</f>
        <v/>
      </c>
      <c r="V16" s="5">
        <f>IF(AND(I16=1, H16=1, Raw_Data!G16&lt;cfg_pstr_zero_threshold_kw),1,0)</f>
        <v/>
      </c>
      <c r="W16" s="5">
        <f>IF(A16&lt;&gt;A15,IF(V16=1, MAX($W$5:W15)+1, 0),IF(AND(V16=1, V15=0), W15+1,IF(V16=1, W15, W15)))</f>
        <v/>
      </c>
      <c r="X16" s="5">
        <f>IF(V16=1,COUNTIFS($A$5:$A$28,A16,$W$5:$W$28,W16,$V$5:$V$28,1),0)</f>
        <v/>
      </c>
      <c r="Y16" s="5">
        <f>IF(AND(V16=1, X16&gt;=cfg_debounce_consecutive_steps),1,0)</f>
        <v/>
      </c>
      <c r="Z16" s="5">
        <f>IF(AND(I16=1, H16=1, Raw_Data!H16&lt;cfg_pstr_zero_threshold_kw),1,0)</f>
        <v/>
      </c>
      <c r="AA16" s="5">
        <f>IF(A16&lt;&gt;A15,IF(Z16=1, MAX($AA$5:AA15)+1, 0),IF(AND(Z16=1, Z15=0), AA15+1,IF(Z16=1, AA15, AA15)))</f>
        <v/>
      </c>
      <c r="AB16" s="5">
        <f>IF(Z16=1,COUNTIFS($A$5:$A$28,A16,$AA$5:$AA$28,AA16,$Z$5:$Z$28,1),0)</f>
        <v/>
      </c>
      <c r="AC16" s="5">
        <f>IF(AND(Z16=1, AB16&gt;=cfg_debounce_consecutive_steps),1,0)</f>
        <v/>
      </c>
    </row>
    <row r="17">
      <c r="A17" s="5">
        <f>Raw_Data!A17</f>
        <v/>
      </c>
      <c r="B17" s="16">
        <f>Raw_Data!B17</f>
        <v/>
      </c>
      <c r="C17" s="5">
        <f>Raw_Data!C17</f>
        <v/>
      </c>
      <c r="D17" s="5">
        <f>IF(ISNUMBER(SEARCH("shutdown",LOWER(C17)))+ISNUMBER(SEARCH("fault",LOWER(C17))),"DOWN",IF(ISNUMBER(SEARCH("grid connected",LOWER(C17)))+ISNUMBER(SEARCH("on-grid",LOWER(C17))),"ON",IF(ISNUMBER(SEARCH("standby",LOWER(C17)))+ISNUMBER(SEARCH("no sunlight",LOWER(C17))),"TRANSITIONAL","UNKNOWN")))</f>
        <v/>
      </c>
      <c r="E17" s="17">
        <f>MEDIAN(Raw_Data!D17:H17)</f>
        <v/>
      </c>
      <c r="F17" s="5">
        <f>COUNTIF(Raw_Data!D17:H17, "&gt;"&amp;cfg_pstr_zero_threshold_kw)</f>
        <v/>
      </c>
      <c r="G17" s="18">
        <f>100*F17/cfg_n_pv_total_in_workbook</f>
        <v/>
      </c>
      <c r="H17" s="5">
        <f>IF(AND(E17&gt;=cfg_sibling_median_active_kw, G17&gt;=cfg_min_active_siblings_pct),1,0)</f>
        <v/>
      </c>
      <c r="I17" s="5">
        <f>IF(D17="ON",1,0)</f>
        <v/>
      </c>
      <c r="J17" s="5">
        <f>IF(AND(I17=1, H17=1, Raw_Data!D17&lt;cfg_pstr_zero_threshold_kw),1,0)</f>
        <v/>
      </c>
      <c r="K17" s="5">
        <f>IF(A17&lt;&gt;A16,IF(J17=1, MAX($K$5:K16)+1, 0),IF(AND(J17=1, J16=0), K16+1,IF(J17=1, K16, K16)))</f>
        <v/>
      </c>
      <c r="L17" s="5">
        <f>IF(J17=1,COUNTIFS($A$5:$A$28,A17,$K$5:$K$28,K17,$J$5:$J$28,1),0)</f>
        <v/>
      </c>
      <c r="M17" s="5">
        <f>IF(AND(J17=1, L17&gt;=cfg_debounce_consecutive_steps),1,0)</f>
        <v/>
      </c>
      <c r="N17" s="5">
        <f>IF(AND(I17=1, H17=1, Raw_Data!E17&lt;cfg_pstr_zero_threshold_kw),1,0)</f>
        <v/>
      </c>
      <c r="O17" s="5">
        <f>IF(A17&lt;&gt;A16,IF(N17=1, MAX($O$5:O16)+1, 0),IF(AND(N17=1, N16=0), O16+1,IF(N17=1, O16, O16)))</f>
        <v/>
      </c>
      <c r="P17" s="5">
        <f>IF(N17=1,COUNTIFS($A$5:$A$28,A17,$O$5:$O$28,O17,$N$5:$N$28,1),0)</f>
        <v/>
      </c>
      <c r="Q17" s="5">
        <f>IF(AND(N17=1, P17&gt;=cfg_debounce_consecutive_steps),1,0)</f>
        <v/>
      </c>
      <c r="R17" s="5">
        <f>IF(AND(I17=1, H17=1, Raw_Data!F17&lt;cfg_pstr_zero_threshold_kw),1,0)</f>
        <v/>
      </c>
      <c r="S17" s="5">
        <f>IF(A17&lt;&gt;A16,IF(R17=1, MAX($S$5:S16)+1, 0),IF(AND(R17=1, R16=0), S16+1,IF(R17=1, S16, S16)))</f>
        <v/>
      </c>
      <c r="T17" s="5">
        <f>IF(R17=1,COUNTIFS($A$5:$A$28,A17,$S$5:$S$28,S17,$R$5:$R$28,1),0)</f>
        <v/>
      </c>
      <c r="U17" s="5">
        <f>IF(AND(R17=1, T17&gt;=cfg_debounce_consecutive_steps),1,0)</f>
        <v/>
      </c>
      <c r="V17" s="5">
        <f>IF(AND(I17=1, H17=1, Raw_Data!G17&lt;cfg_pstr_zero_threshold_kw),1,0)</f>
        <v/>
      </c>
      <c r="W17" s="5">
        <f>IF(A17&lt;&gt;A16,IF(V17=1, MAX($W$5:W16)+1, 0),IF(AND(V17=1, V16=0), W16+1,IF(V17=1, W16, W16)))</f>
        <v/>
      </c>
      <c r="X17" s="5">
        <f>IF(V17=1,COUNTIFS($A$5:$A$28,A17,$W$5:$W$28,W17,$V$5:$V$28,1),0)</f>
        <v/>
      </c>
      <c r="Y17" s="5">
        <f>IF(AND(V17=1, X17&gt;=cfg_debounce_consecutive_steps),1,0)</f>
        <v/>
      </c>
      <c r="Z17" s="5">
        <f>IF(AND(I17=1, H17=1, Raw_Data!H17&lt;cfg_pstr_zero_threshold_kw),1,0)</f>
        <v/>
      </c>
      <c r="AA17" s="5">
        <f>IF(A17&lt;&gt;A16,IF(Z17=1, MAX($AA$5:AA16)+1, 0),IF(AND(Z17=1, Z16=0), AA16+1,IF(Z17=1, AA16, AA16)))</f>
        <v/>
      </c>
      <c r="AB17" s="5">
        <f>IF(Z17=1,COUNTIFS($A$5:$A$28,A17,$AA$5:$AA$28,AA17,$Z$5:$Z$28,1),0)</f>
        <v/>
      </c>
      <c r="AC17" s="5">
        <f>IF(AND(Z17=1, AB17&gt;=cfg_debounce_consecutive_steps),1,0)</f>
        <v/>
      </c>
    </row>
    <row r="18">
      <c r="A18" s="5">
        <f>Raw_Data!A18</f>
        <v/>
      </c>
      <c r="B18" s="16">
        <f>Raw_Data!B18</f>
        <v/>
      </c>
      <c r="C18" s="5">
        <f>Raw_Data!C18</f>
        <v/>
      </c>
      <c r="D18" s="5">
        <f>IF(ISNUMBER(SEARCH("shutdown",LOWER(C18)))+ISNUMBER(SEARCH("fault",LOWER(C18))),"DOWN",IF(ISNUMBER(SEARCH("grid connected",LOWER(C18)))+ISNUMBER(SEARCH("on-grid",LOWER(C18))),"ON",IF(ISNUMBER(SEARCH("standby",LOWER(C18)))+ISNUMBER(SEARCH("no sunlight",LOWER(C18))),"TRANSITIONAL","UNKNOWN")))</f>
        <v/>
      </c>
      <c r="E18" s="17">
        <f>MEDIAN(Raw_Data!D18:H18)</f>
        <v/>
      </c>
      <c r="F18" s="5">
        <f>COUNTIF(Raw_Data!D18:H18, "&gt;"&amp;cfg_pstr_zero_threshold_kw)</f>
        <v/>
      </c>
      <c r="G18" s="18">
        <f>100*F18/cfg_n_pv_total_in_workbook</f>
        <v/>
      </c>
      <c r="H18" s="5">
        <f>IF(AND(E18&gt;=cfg_sibling_median_active_kw, G18&gt;=cfg_min_active_siblings_pct),1,0)</f>
        <v/>
      </c>
      <c r="I18" s="5">
        <f>IF(D18="ON",1,0)</f>
        <v/>
      </c>
      <c r="J18" s="5">
        <f>IF(AND(I18=1, H18=1, Raw_Data!D18&lt;cfg_pstr_zero_threshold_kw),1,0)</f>
        <v/>
      </c>
      <c r="K18" s="5">
        <f>IF(A18&lt;&gt;A17,IF(J18=1, MAX($K$5:K17)+1, 0),IF(AND(J18=1, J17=0), K17+1,IF(J18=1, K17, K17)))</f>
        <v/>
      </c>
      <c r="L18" s="5">
        <f>IF(J18=1,COUNTIFS($A$5:$A$28,A18,$K$5:$K$28,K18,$J$5:$J$28,1),0)</f>
        <v/>
      </c>
      <c r="M18" s="5">
        <f>IF(AND(J18=1, L18&gt;=cfg_debounce_consecutive_steps),1,0)</f>
        <v/>
      </c>
      <c r="N18" s="5">
        <f>IF(AND(I18=1, H18=1, Raw_Data!E18&lt;cfg_pstr_zero_threshold_kw),1,0)</f>
        <v/>
      </c>
      <c r="O18" s="5">
        <f>IF(A18&lt;&gt;A17,IF(N18=1, MAX($O$5:O17)+1, 0),IF(AND(N18=1, N17=0), O17+1,IF(N18=1, O17, O17)))</f>
        <v/>
      </c>
      <c r="P18" s="5">
        <f>IF(N18=1,COUNTIFS($A$5:$A$28,A18,$O$5:$O$28,O18,$N$5:$N$28,1),0)</f>
        <v/>
      </c>
      <c r="Q18" s="5">
        <f>IF(AND(N18=1, P18&gt;=cfg_debounce_consecutive_steps),1,0)</f>
        <v/>
      </c>
      <c r="R18" s="5">
        <f>IF(AND(I18=1, H18=1, Raw_Data!F18&lt;cfg_pstr_zero_threshold_kw),1,0)</f>
        <v/>
      </c>
      <c r="S18" s="5">
        <f>IF(A18&lt;&gt;A17,IF(R18=1, MAX($S$5:S17)+1, 0),IF(AND(R18=1, R17=0), S17+1,IF(R18=1, S17, S17)))</f>
        <v/>
      </c>
      <c r="T18" s="5">
        <f>IF(R18=1,COUNTIFS($A$5:$A$28,A18,$S$5:$S$28,S18,$R$5:$R$28,1),0)</f>
        <v/>
      </c>
      <c r="U18" s="5">
        <f>IF(AND(R18=1, T18&gt;=cfg_debounce_consecutive_steps),1,0)</f>
        <v/>
      </c>
      <c r="V18" s="5">
        <f>IF(AND(I18=1, H18=1, Raw_Data!G18&lt;cfg_pstr_zero_threshold_kw),1,0)</f>
        <v/>
      </c>
      <c r="W18" s="5">
        <f>IF(A18&lt;&gt;A17,IF(V18=1, MAX($W$5:W17)+1, 0),IF(AND(V18=1, V17=0), W17+1,IF(V18=1, W17, W17)))</f>
        <v/>
      </c>
      <c r="X18" s="5">
        <f>IF(V18=1,COUNTIFS($A$5:$A$28,A18,$W$5:$W$28,W18,$V$5:$V$28,1),0)</f>
        <v/>
      </c>
      <c r="Y18" s="5">
        <f>IF(AND(V18=1, X18&gt;=cfg_debounce_consecutive_steps),1,0)</f>
        <v/>
      </c>
      <c r="Z18" s="5">
        <f>IF(AND(I18=1, H18=1, Raw_Data!H18&lt;cfg_pstr_zero_threshold_kw),1,0)</f>
        <v/>
      </c>
      <c r="AA18" s="5">
        <f>IF(A18&lt;&gt;A17,IF(Z18=1, MAX($AA$5:AA17)+1, 0),IF(AND(Z18=1, Z17=0), AA17+1,IF(Z18=1, AA17, AA17)))</f>
        <v/>
      </c>
      <c r="AB18" s="5">
        <f>IF(Z18=1,COUNTIFS($A$5:$A$28,A18,$AA$5:$AA$28,AA18,$Z$5:$Z$28,1),0)</f>
        <v/>
      </c>
      <c r="AC18" s="5">
        <f>IF(AND(Z18=1, AB18&gt;=cfg_debounce_consecutive_steps),1,0)</f>
        <v/>
      </c>
    </row>
    <row r="19">
      <c r="A19" s="5">
        <f>Raw_Data!A19</f>
        <v/>
      </c>
      <c r="B19" s="16">
        <f>Raw_Data!B19</f>
        <v/>
      </c>
      <c r="C19" s="5">
        <f>Raw_Data!C19</f>
        <v/>
      </c>
      <c r="D19" s="5">
        <f>IF(ISNUMBER(SEARCH("shutdown",LOWER(C19)))+ISNUMBER(SEARCH("fault",LOWER(C19))),"DOWN",IF(ISNUMBER(SEARCH("grid connected",LOWER(C19)))+ISNUMBER(SEARCH("on-grid",LOWER(C19))),"ON",IF(ISNUMBER(SEARCH("standby",LOWER(C19)))+ISNUMBER(SEARCH("no sunlight",LOWER(C19))),"TRANSITIONAL","UNKNOWN")))</f>
        <v/>
      </c>
      <c r="E19" s="17">
        <f>MEDIAN(Raw_Data!D19:H19)</f>
        <v/>
      </c>
      <c r="F19" s="5">
        <f>COUNTIF(Raw_Data!D19:H19, "&gt;"&amp;cfg_pstr_zero_threshold_kw)</f>
        <v/>
      </c>
      <c r="G19" s="18">
        <f>100*F19/cfg_n_pv_total_in_workbook</f>
        <v/>
      </c>
      <c r="H19" s="5">
        <f>IF(AND(E19&gt;=cfg_sibling_median_active_kw, G19&gt;=cfg_min_active_siblings_pct),1,0)</f>
        <v/>
      </c>
      <c r="I19" s="5">
        <f>IF(D19="ON",1,0)</f>
        <v/>
      </c>
      <c r="J19" s="5">
        <f>IF(AND(I19=1, H19=1, Raw_Data!D19&lt;cfg_pstr_zero_threshold_kw),1,0)</f>
        <v/>
      </c>
      <c r="K19" s="5">
        <f>IF(A19&lt;&gt;A18,IF(J19=1, MAX($K$5:K18)+1, 0),IF(AND(J19=1, J18=0), K18+1,IF(J19=1, K18, K18)))</f>
        <v/>
      </c>
      <c r="L19" s="5">
        <f>IF(J19=1,COUNTIFS($A$5:$A$28,A19,$K$5:$K$28,K19,$J$5:$J$28,1),0)</f>
        <v/>
      </c>
      <c r="M19" s="5">
        <f>IF(AND(J19=1, L19&gt;=cfg_debounce_consecutive_steps),1,0)</f>
        <v/>
      </c>
      <c r="N19" s="5">
        <f>IF(AND(I19=1, H19=1, Raw_Data!E19&lt;cfg_pstr_zero_threshold_kw),1,0)</f>
        <v/>
      </c>
      <c r="O19" s="5">
        <f>IF(A19&lt;&gt;A18,IF(N19=1, MAX($O$5:O18)+1, 0),IF(AND(N19=1, N18=0), O18+1,IF(N19=1, O18, O18)))</f>
        <v/>
      </c>
      <c r="P19" s="5">
        <f>IF(N19=1,COUNTIFS($A$5:$A$28,A19,$O$5:$O$28,O19,$N$5:$N$28,1),0)</f>
        <v/>
      </c>
      <c r="Q19" s="5">
        <f>IF(AND(N19=1, P19&gt;=cfg_debounce_consecutive_steps),1,0)</f>
        <v/>
      </c>
      <c r="R19" s="5">
        <f>IF(AND(I19=1, H19=1, Raw_Data!F19&lt;cfg_pstr_zero_threshold_kw),1,0)</f>
        <v/>
      </c>
      <c r="S19" s="5">
        <f>IF(A19&lt;&gt;A18,IF(R19=1, MAX($S$5:S18)+1, 0),IF(AND(R19=1, R18=0), S18+1,IF(R19=1, S18, S18)))</f>
        <v/>
      </c>
      <c r="T19" s="5">
        <f>IF(R19=1,COUNTIFS($A$5:$A$28,A19,$S$5:$S$28,S19,$R$5:$R$28,1),0)</f>
        <v/>
      </c>
      <c r="U19" s="5">
        <f>IF(AND(R19=1, T19&gt;=cfg_debounce_consecutive_steps),1,0)</f>
        <v/>
      </c>
      <c r="V19" s="5">
        <f>IF(AND(I19=1, H19=1, Raw_Data!G19&lt;cfg_pstr_zero_threshold_kw),1,0)</f>
        <v/>
      </c>
      <c r="W19" s="5">
        <f>IF(A19&lt;&gt;A18,IF(V19=1, MAX($W$5:W18)+1, 0),IF(AND(V19=1, V18=0), W18+1,IF(V19=1, W18, W18)))</f>
        <v/>
      </c>
      <c r="X19" s="5">
        <f>IF(V19=1,COUNTIFS($A$5:$A$28,A19,$W$5:$W$28,W19,$V$5:$V$28,1),0)</f>
        <v/>
      </c>
      <c r="Y19" s="5">
        <f>IF(AND(V19=1, X19&gt;=cfg_debounce_consecutive_steps),1,0)</f>
        <v/>
      </c>
      <c r="Z19" s="5">
        <f>IF(AND(I19=1, H19=1, Raw_Data!H19&lt;cfg_pstr_zero_threshold_kw),1,0)</f>
        <v/>
      </c>
      <c r="AA19" s="5">
        <f>IF(A19&lt;&gt;A18,IF(Z19=1, MAX($AA$5:AA18)+1, 0),IF(AND(Z19=1, Z18=0), AA18+1,IF(Z19=1, AA18, AA18)))</f>
        <v/>
      </c>
      <c r="AB19" s="5">
        <f>IF(Z19=1,COUNTIFS($A$5:$A$28,A19,$AA$5:$AA$28,AA19,$Z$5:$Z$28,1),0)</f>
        <v/>
      </c>
      <c r="AC19" s="5">
        <f>IF(AND(Z19=1, AB19&gt;=cfg_debounce_consecutive_steps),1,0)</f>
        <v/>
      </c>
    </row>
    <row r="20">
      <c r="A20" s="5">
        <f>Raw_Data!A20</f>
        <v/>
      </c>
      <c r="B20" s="16">
        <f>Raw_Data!B20</f>
        <v/>
      </c>
      <c r="C20" s="5">
        <f>Raw_Data!C20</f>
        <v/>
      </c>
      <c r="D20" s="5">
        <f>IF(ISNUMBER(SEARCH("shutdown",LOWER(C20)))+ISNUMBER(SEARCH("fault",LOWER(C20))),"DOWN",IF(ISNUMBER(SEARCH("grid connected",LOWER(C20)))+ISNUMBER(SEARCH("on-grid",LOWER(C20))),"ON",IF(ISNUMBER(SEARCH("standby",LOWER(C20)))+ISNUMBER(SEARCH("no sunlight",LOWER(C20))),"TRANSITIONAL","UNKNOWN")))</f>
        <v/>
      </c>
      <c r="E20" s="17">
        <f>MEDIAN(Raw_Data!D20:H20)</f>
        <v/>
      </c>
      <c r="F20" s="5">
        <f>COUNTIF(Raw_Data!D20:H20, "&gt;"&amp;cfg_pstr_zero_threshold_kw)</f>
        <v/>
      </c>
      <c r="G20" s="18">
        <f>100*F20/cfg_n_pv_total_in_workbook</f>
        <v/>
      </c>
      <c r="H20" s="5">
        <f>IF(AND(E20&gt;=cfg_sibling_median_active_kw, G20&gt;=cfg_min_active_siblings_pct),1,0)</f>
        <v/>
      </c>
      <c r="I20" s="5">
        <f>IF(D20="ON",1,0)</f>
        <v/>
      </c>
      <c r="J20" s="5">
        <f>IF(AND(I20=1, H20=1, Raw_Data!D20&lt;cfg_pstr_zero_threshold_kw),1,0)</f>
        <v/>
      </c>
      <c r="K20" s="5">
        <f>IF(A20&lt;&gt;A19,IF(J20=1, MAX($K$5:K19)+1, 0),IF(AND(J20=1, J19=0), K19+1,IF(J20=1, K19, K19)))</f>
        <v/>
      </c>
      <c r="L20" s="5">
        <f>IF(J20=1,COUNTIFS($A$5:$A$28,A20,$K$5:$K$28,K20,$J$5:$J$28,1),0)</f>
        <v/>
      </c>
      <c r="M20" s="5">
        <f>IF(AND(J20=1, L20&gt;=cfg_debounce_consecutive_steps),1,0)</f>
        <v/>
      </c>
      <c r="N20" s="5">
        <f>IF(AND(I20=1, H20=1, Raw_Data!E20&lt;cfg_pstr_zero_threshold_kw),1,0)</f>
        <v/>
      </c>
      <c r="O20" s="5">
        <f>IF(A20&lt;&gt;A19,IF(N20=1, MAX($O$5:O19)+1, 0),IF(AND(N20=1, N19=0), O19+1,IF(N20=1, O19, O19)))</f>
        <v/>
      </c>
      <c r="P20" s="5">
        <f>IF(N20=1,COUNTIFS($A$5:$A$28,A20,$O$5:$O$28,O20,$N$5:$N$28,1),0)</f>
        <v/>
      </c>
      <c r="Q20" s="5">
        <f>IF(AND(N20=1, P20&gt;=cfg_debounce_consecutive_steps),1,0)</f>
        <v/>
      </c>
      <c r="R20" s="5">
        <f>IF(AND(I20=1, H20=1, Raw_Data!F20&lt;cfg_pstr_zero_threshold_kw),1,0)</f>
        <v/>
      </c>
      <c r="S20" s="5">
        <f>IF(A20&lt;&gt;A19,IF(R20=1, MAX($S$5:S19)+1, 0),IF(AND(R20=1, R19=0), S19+1,IF(R20=1, S19, S19)))</f>
        <v/>
      </c>
      <c r="T20" s="5">
        <f>IF(R20=1,COUNTIFS($A$5:$A$28,A20,$S$5:$S$28,S20,$R$5:$R$28,1),0)</f>
        <v/>
      </c>
      <c r="U20" s="5">
        <f>IF(AND(R20=1, T20&gt;=cfg_debounce_consecutive_steps),1,0)</f>
        <v/>
      </c>
      <c r="V20" s="5">
        <f>IF(AND(I20=1, H20=1, Raw_Data!G20&lt;cfg_pstr_zero_threshold_kw),1,0)</f>
        <v/>
      </c>
      <c r="W20" s="5">
        <f>IF(A20&lt;&gt;A19,IF(V20=1, MAX($W$5:W19)+1, 0),IF(AND(V20=1, V19=0), W19+1,IF(V20=1, W19, W19)))</f>
        <v/>
      </c>
      <c r="X20" s="5">
        <f>IF(V20=1,COUNTIFS($A$5:$A$28,A20,$W$5:$W$28,W20,$V$5:$V$28,1),0)</f>
        <v/>
      </c>
      <c r="Y20" s="5">
        <f>IF(AND(V20=1, X20&gt;=cfg_debounce_consecutive_steps),1,0)</f>
        <v/>
      </c>
      <c r="Z20" s="5">
        <f>IF(AND(I20=1, H20=1, Raw_Data!H20&lt;cfg_pstr_zero_threshold_kw),1,0)</f>
        <v/>
      </c>
      <c r="AA20" s="5">
        <f>IF(A20&lt;&gt;A19,IF(Z20=1, MAX($AA$5:AA19)+1, 0),IF(AND(Z20=1, Z19=0), AA19+1,IF(Z20=1, AA19, AA19)))</f>
        <v/>
      </c>
      <c r="AB20" s="5">
        <f>IF(Z20=1,COUNTIFS($A$5:$A$28,A20,$AA$5:$AA$28,AA20,$Z$5:$Z$28,1),0)</f>
        <v/>
      </c>
      <c r="AC20" s="5">
        <f>IF(AND(Z20=1, AB20&gt;=cfg_debounce_consecutive_steps),1,0)</f>
        <v/>
      </c>
    </row>
    <row r="21">
      <c r="A21" s="5">
        <f>Raw_Data!A21</f>
        <v/>
      </c>
      <c r="B21" s="16">
        <f>Raw_Data!B21</f>
        <v/>
      </c>
      <c r="C21" s="5">
        <f>Raw_Data!C21</f>
        <v/>
      </c>
      <c r="D21" s="5">
        <f>IF(ISNUMBER(SEARCH("shutdown",LOWER(C21)))+ISNUMBER(SEARCH("fault",LOWER(C21))),"DOWN",IF(ISNUMBER(SEARCH("grid connected",LOWER(C21)))+ISNUMBER(SEARCH("on-grid",LOWER(C21))),"ON",IF(ISNUMBER(SEARCH("standby",LOWER(C21)))+ISNUMBER(SEARCH("no sunlight",LOWER(C21))),"TRANSITIONAL","UNKNOWN")))</f>
        <v/>
      </c>
      <c r="E21" s="17">
        <f>MEDIAN(Raw_Data!D21:H21)</f>
        <v/>
      </c>
      <c r="F21" s="5">
        <f>COUNTIF(Raw_Data!D21:H21, "&gt;"&amp;cfg_pstr_zero_threshold_kw)</f>
        <v/>
      </c>
      <c r="G21" s="18">
        <f>100*F21/cfg_n_pv_total_in_workbook</f>
        <v/>
      </c>
      <c r="H21" s="5">
        <f>IF(AND(E21&gt;=cfg_sibling_median_active_kw, G21&gt;=cfg_min_active_siblings_pct),1,0)</f>
        <v/>
      </c>
      <c r="I21" s="5">
        <f>IF(D21="ON",1,0)</f>
        <v/>
      </c>
      <c r="J21" s="5">
        <f>IF(AND(I21=1, H21=1, Raw_Data!D21&lt;cfg_pstr_zero_threshold_kw),1,0)</f>
        <v/>
      </c>
      <c r="K21" s="5">
        <f>IF(A21&lt;&gt;A20,IF(J21=1, MAX($K$5:K20)+1, 0),IF(AND(J21=1, J20=0), K20+1,IF(J21=1, K20, K20)))</f>
        <v/>
      </c>
      <c r="L21" s="5">
        <f>IF(J21=1,COUNTIFS($A$5:$A$28,A21,$K$5:$K$28,K21,$J$5:$J$28,1),0)</f>
        <v/>
      </c>
      <c r="M21" s="5">
        <f>IF(AND(J21=1, L21&gt;=cfg_debounce_consecutive_steps),1,0)</f>
        <v/>
      </c>
      <c r="N21" s="5">
        <f>IF(AND(I21=1, H21=1, Raw_Data!E21&lt;cfg_pstr_zero_threshold_kw),1,0)</f>
        <v/>
      </c>
      <c r="O21" s="5">
        <f>IF(A21&lt;&gt;A20,IF(N21=1, MAX($O$5:O20)+1, 0),IF(AND(N21=1, N20=0), O20+1,IF(N21=1, O20, O20)))</f>
        <v/>
      </c>
      <c r="P21" s="5">
        <f>IF(N21=1,COUNTIFS($A$5:$A$28,A21,$O$5:$O$28,O21,$N$5:$N$28,1),0)</f>
        <v/>
      </c>
      <c r="Q21" s="5">
        <f>IF(AND(N21=1, P21&gt;=cfg_debounce_consecutive_steps),1,0)</f>
        <v/>
      </c>
      <c r="R21" s="5">
        <f>IF(AND(I21=1, H21=1, Raw_Data!F21&lt;cfg_pstr_zero_threshold_kw),1,0)</f>
        <v/>
      </c>
      <c r="S21" s="5">
        <f>IF(A21&lt;&gt;A20,IF(R21=1, MAX($S$5:S20)+1, 0),IF(AND(R21=1, R20=0), S20+1,IF(R21=1, S20, S20)))</f>
        <v/>
      </c>
      <c r="T21" s="5">
        <f>IF(R21=1,COUNTIFS($A$5:$A$28,A21,$S$5:$S$28,S21,$R$5:$R$28,1),0)</f>
        <v/>
      </c>
      <c r="U21" s="5">
        <f>IF(AND(R21=1, T21&gt;=cfg_debounce_consecutive_steps),1,0)</f>
        <v/>
      </c>
      <c r="V21" s="5">
        <f>IF(AND(I21=1, H21=1, Raw_Data!G21&lt;cfg_pstr_zero_threshold_kw),1,0)</f>
        <v/>
      </c>
      <c r="W21" s="5">
        <f>IF(A21&lt;&gt;A20,IF(V21=1, MAX($W$5:W20)+1, 0),IF(AND(V21=1, V20=0), W20+1,IF(V21=1, W20, W20)))</f>
        <v/>
      </c>
      <c r="X21" s="5">
        <f>IF(V21=1,COUNTIFS($A$5:$A$28,A21,$W$5:$W$28,W21,$V$5:$V$28,1),0)</f>
        <v/>
      </c>
      <c r="Y21" s="5">
        <f>IF(AND(V21=1, X21&gt;=cfg_debounce_consecutive_steps),1,0)</f>
        <v/>
      </c>
      <c r="Z21" s="5">
        <f>IF(AND(I21=1, H21=1, Raw_Data!H21&lt;cfg_pstr_zero_threshold_kw),1,0)</f>
        <v/>
      </c>
      <c r="AA21" s="5">
        <f>IF(A21&lt;&gt;A20,IF(Z21=1, MAX($AA$5:AA20)+1, 0),IF(AND(Z21=1, Z20=0), AA20+1,IF(Z21=1, AA20, AA20)))</f>
        <v/>
      </c>
      <c r="AB21" s="5">
        <f>IF(Z21=1,COUNTIFS($A$5:$A$28,A21,$AA$5:$AA$28,AA21,$Z$5:$Z$28,1),0)</f>
        <v/>
      </c>
      <c r="AC21" s="5">
        <f>IF(AND(Z21=1, AB21&gt;=cfg_debounce_consecutive_steps),1,0)</f>
        <v/>
      </c>
    </row>
    <row r="22">
      <c r="A22" s="5">
        <f>Raw_Data!A22</f>
        <v/>
      </c>
      <c r="B22" s="16">
        <f>Raw_Data!B22</f>
        <v/>
      </c>
      <c r="C22" s="5">
        <f>Raw_Data!C22</f>
        <v/>
      </c>
      <c r="D22" s="5">
        <f>IF(ISNUMBER(SEARCH("shutdown",LOWER(C22)))+ISNUMBER(SEARCH("fault",LOWER(C22))),"DOWN",IF(ISNUMBER(SEARCH("grid connected",LOWER(C22)))+ISNUMBER(SEARCH("on-grid",LOWER(C22))),"ON",IF(ISNUMBER(SEARCH("standby",LOWER(C22)))+ISNUMBER(SEARCH("no sunlight",LOWER(C22))),"TRANSITIONAL","UNKNOWN")))</f>
        <v/>
      </c>
      <c r="E22" s="17">
        <f>MEDIAN(Raw_Data!D22:H22)</f>
        <v/>
      </c>
      <c r="F22" s="5">
        <f>COUNTIF(Raw_Data!D22:H22, "&gt;"&amp;cfg_pstr_zero_threshold_kw)</f>
        <v/>
      </c>
      <c r="G22" s="18">
        <f>100*F22/cfg_n_pv_total_in_workbook</f>
        <v/>
      </c>
      <c r="H22" s="5">
        <f>IF(AND(E22&gt;=cfg_sibling_median_active_kw, G22&gt;=cfg_min_active_siblings_pct),1,0)</f>
        <v/>
      </c>
      <c r="I22" s="5">
        <f>IF(D22="ON",1,0)</f>
        <v/>
      </c>
      <c r="J22" s="5">
        <f>IF(AND(I22=1, H22=1, Raw_Data!D22&lt;cfg_pstr_zero_threshold_kw),1,0)</f>
        <v/>
      </c>
      <c r="K22" s="5">
        <f>IF(A22&lt;&gt;A21,IF(J22=1, MAX($K$5:K21)+1, 0),IF(AND(J22=1, J21=0), K21+1,IF(J22=1, K21, K21)))</f>
        <v/>
      </c>
      <c r="L22" s="5">
        <f>IF(J22=1,COUNTIFS($A$5:$A$28,A22,$K$5:$K$28,K22,$J$5:$J$28,1),0)</f>
        <v/>
      </c>
      <c r="M22" s="5">
        <f>IF(AND(J22=1, L22&gt;=cfg_debounce_consecutive_steps),1,0)</f>
        <v/>
      </c>
      <c r="N22" s="5">
        <f>IF(AND(I22=1, H22=1, Raw_Data!E22&lt;cfg_pstr_zero_threshold_kw),1,0)</f>
        <v/>
      </c>
      <c r="O22" s="5">
        <f>IF(A22&lt;&gt;A21,IF(N22=1, MAX($O$5:O21)+1, 0),IF(AND(N22=1, N21=0), O21+1,IF(N22=1, O21, O21)))</f>
        <v/>
      </c>
      <c r="P22" s="5">
        <f>IF(N22=1,COUNTIFS($A$5:$A$28,A22,$O$5:$O$28,O22,$N$5:$N$28,1),0)</f>
        <v/>
      </c>
      <c r="Q22" s="5">
        <f>IF(AND(N22=1, P22&gt;=cfg_debounce_consecutive_steps),1,0)</f>
        <v/>
      </c>
      <c r="R22" s="5">
        <f>IF(AND(I22=1, H22=1, Raw_Data!F22&lt;cfg_pstr_zero_threshold_kw),1,0)</f>
        <v/>
      </c>
      <c r="S22" s="5">
        <f>IF(A22&lt;&gt;A21,IF(R22=1, MAX($S$5:S21)+1, 0),IF(AND(R22=1, R21=0), S21+1,IF(R22=1, S21, S21)))</f>
        <v/>
      </c>
      <c r="T22" s="5">
        <f>IF(R22=1,COUNTIFS($A$5:$A$28,A22,$S$5:$S$28,S22,$R$5:$R$28,1),0)</f>
        <v/>
      </c>
      <c r="U22" s="5">
        <f>IF(AND(R22=1, T22&gt;=cfg_debounce_consecutive_steps),1,0)</f>
        <v/>
      </c>
      <c r="V22" s="5">
        <f>IF(AND(I22=1, H22=1, Raw_Data!G22&lt;cfg_pstr_zero_threshold_kw),1,0)</f>
        <v/>
      </c>
      <c r="W22" s="5">
        <f>IF(A22&lt;&gt;A21,IF(V22=1, MAX($W$5:W21)+1, 0),IF(AND(V22=1, V21=0), W21+1,IF(V22=1, W21, W21)))</f>
        <v/>
      </c>
      <c r="X22" s="5">
        <f>IF(V22=1,COUNTIFS($A$5:$A$28,A22,$W$5:$W$28,W22,$V$5:$V$28,1),0)</f>
        <v/>
      </c>
      <c r="Y22" s="5">
        <f>IF(AND(V22=1, X22&gt;=cfg_debounce_consecutive_steps),1,0)</f>
        <v/>
      </c>
      <c r="Z22" s="5">
        <f>IF(AND(I22=1, H22=1, Raw_Data!H22&lt;cfg_pstr_zero_threshold_kw),1,0)</f>
        <v/>
      </c>
      <c r="AA22" s="5">
        <f>IF(A22&lt;&gt;A21,IF(Z22=1, MAX($AA$5:AA21)+1, 0),IF(AND(Z22=1, Z21=0), AA21+1,IF(Z22=1, AA21, AA21)))</f>
        <v/>
      </c>
      <c r="AB22" s="5">
        <f>IF(Z22=1,COUNTIFS($A$5:$A$28,A22,$AA$5:$AA$28,AA22,$Z$5:$Z$28,1),0)</f>
        <v/>
      </c>
      <c r="AC22" s="5">
        <f>IF(AND(Z22=1, AB22&gt;=cfg_debounce_consecutive_steps),1,0)</f>
        <v/>
      </c>
    </row>
    <row r="23">
      <c r="A23" s="5">
        <f>Raw_Data!A23</f>
        <v/>
      </c>
      <c r="B23" s="16">
        <f>Raw_Data!B23</f>
        <v/>
      </c>
      <c r="C23" s="5">
        <f>Raw_Data!C23</f>
        <v/>
      </c>
      <c r="D23" s="5">
        <f>IF(ISNUMBER(SEARCH("shutdown",LOWER(C23)))+ISNUMBER(SEARCH("fault",LOWER(C23))),"DOWN",IF(ISNUMBER(SEARCH("grid connected",LOWER(C23)))+ISNUMBER(SEARCH("on-grid",LOWER(C23))),"ON",IF(ISNUMBER(SEARCH("standby",LOWER(C23)))+ISNUMBER(SEARCH("no sunlight",LOWER(C23))),"TRANSITIONAL","UNKNOWN")))</f>
        <v/>
      </c>
      <c r="E23" s="17">
        <f>MEDIAN(Raw_Data!D23:H23)</f>
        <v/>
      </c>
      <c r="F23" s="5">
        <f>COUNTIF(Raw_Data!D23:H23, "&gt;"&amp;cfg_pstr_zero_threshold_kw)</f>
        <v/>
      </c>
      <c r="G23" s="18">
        <f>100*F23/cfg_n_pv_total_in_workbook</f>
        <v/>
      </c>
      <c r="H23" s="5">
        <f>IF(AND(E23&gt;=cfg_sibling_median_active_kw, G23&gt;=cfg_min_active_siblings_pct),1,0)</f>
        <v/>
      </c>
      <c r="I23" s="5">
        <f>IF(D23="ON",1,0)</f>
        <v/>
      </c>
      <c r="J23" s="5">
        <f>IF(AND(I23=1, H23=1, Raw_Data!D23&lt;cfg_pstr_zero_threshold_kw),1,0)</f>
        <v/>
      </c>
      <c r="K23" s="5">
        <f>IF(A23&lt;&gt;A22,IF(J23=1, MAX($K$5:K22)+1, 0),IF(AND(J23=1, J22=0), K22+1,IF(J23=1, K22, K22)))</f>
        <v/>
      </c>
      <c r="L23" s="5">
        <f>IF(J23=1,COUNTIFS($A$5:$A$28,A23,$K$5:$K$28,K23,$J$5:$J$28,1),0)</f>
        <v/>
      </c>
      <c r="M23" s="5">
        <f>IF(AND(J23=1, L23&gt;=cfg_debounce_consecutive_steps),1,0)</f>
        <v/>
      </c>
      <c r="N23" s="5">
        <f>IF(AND(I23=1, H23=1, Raw_Data!E23&lt;cfg_pstr_zero_threshold_kw),1,0)</f>
        <v/>
      </c>
      <c r="O23" s="5">
        <f>IF(A23&lt;&gt;A22,IF(N23=1, MAX($O$5:O22)+1, 0),IF(AND(N23=1, N22=0), O22+1,IF(N23=1, O22, O22)))</f>
        <v/>
      </c>
      <c r="P23" s="5">
        <f>IF(N23=1,COUNTIFS($A$5:$A$28,A23,$O$5:$O$28,O23,$N$5:$N$28,1),0)</f>
        <v/>
      </c>
      <c r="Q23" s="5">
        <f>IF(AND(N23=1, P23&gt;=cfg_debounce_consecutive_steps),1,0)</f>
        <v/>
      </c>
      <c r="R23" s="5">
        <f>IF(AND(I23=1, H23=1, Raw_Data!F23&lt;cfg_pstr_zero_threshold_kw),1,0)</f>
        <v/>
      </c>
      <c r="S23" s="5">
        <f>IF(A23&lt;&gt;A22,IF(R23=1, MAX($S$5:S22)+1, 0),IF(AND(R23=1, R22=0), S22+1,IF(R23=1, S22, S22)))</f>
        <v/>
      </c>
      <c r="T23" s="5">
        <f>IF(R23=1,COUNTIFS($A$5:$A$28,A23,$S$5:$S$28,S23,$R$5:$R$28,1),0)</f>
        <v/>
      </c>
      <c r="U23" s="5">
        <f>IF(AND(R23=1, T23&gt;=cfg_debounce_consecutive_steps),1,0)</f>
        <v/>
      </c>
      <c r="V23" s="5">
        <f>IF(AND(I23=1, H23=1, Raw_Data!G23&lt;cfg_pstr_zero_threshold_kw),1,0)</f>
        <v/>
      </c>
      <c r="W23" s="5">
        <f>IF(A23&lt;&gt;A22,IF(V23=1, MAX($W$5:W22)+1, 0),IF(AND(V23=1, V22=0), W22+1,IF(V23=1, W22, W22)))</f>
        <v/>
      </c>
      <c r="X23" s="5">
        <f>IF(V23=1,COUNTIFS($A$5:$A$28,A23,$W$5:$W$28,W23,$V$5:$V$28,1),0)</f>
        <v/>
      </c>
      <c r="Y23" s="5">
        <f>IF(AND(V23=1, X23&gt;=cfg_debounce_consecutive_steps),1,0)</f>
        <v/>
      </c>
      <c r="Z23" s="5">
        <f>IF(AND(I23=1, H23=1, Raw_Data!H23&lt;cfg_pstr_zero_threshold_kw),1,0)</f>
        <v/>
      </c>
      <c r="AA23" s="5">
        <f>IF(A23&lt;&gt;A22,IF(Z23=1, MAX($AA$5:AA22)+1, 0),IF(AND(Z23=1, Z22=0), AA22+1,IF(Z23=1, AA22, AA22)))</f>
        <v/>
      </c>
      <c r="AB23" s="5">
        <f>IF(Z23=1,COUNTIFS($A$5:$A$28,A23,$AA$5:$AA$28,AA23,$Z$5:$Z$28,1),0)</f>
        <v/>
      </c>
      <c r="AC23" s="5">
        <f>IF(AND(Z23=1, AB23&gt;=cfg_debounce_consecutive_steps),1,0)</f>
        <v/>
      </c>
    </row>
    <row r="24">
      <c r="A24" s="5">
        <f>Raw_Data!A24</f>
        <v/>
      </c>
      <c r="B24" s="16">
        <f>Raw_Data!B24</f>
        <v/>
      </c>
      <c r="C24" s="5">
        <f>Raw_Data!C24</f>
        <v/>
      </c>
      <c r="D24" s="5">
        <f>IF(ISNUMBER(SEARCH("shutdown",LOWER(C24)))+ISNUMBER(SEARCH("fault",LOWER(C24))),"DOWN",IF(ISNUMBER(SEARCH("grid connected",LOWER(C24)))+ISNUMBER(SEARCH("on-grid",LOWER(C24))),"ON",IF(ISNUMBER(SEARCH("standby",LOWER(C24)))+ISNUMBER(SEARCH("no sunlight",LOWER(C24))),"TRANSITIONAL","UNKNOWN")))</f>
        <v/>
      </c>
      <c r="E24" s="17">
        <f>MEDIAN(Raw_Data!D24:H24)</f>
        <v/>
      </c>
      <c r="F24" s="5">
        <f>COUNTIF(Raw_Data!D24:H24, "&gt;"&amp;cfg_pstr_zero_threshold_kw)</f>
        <v/>
      </c>
      <c r="G24" s="18">
        <f>100*F24/cfg_n_pv_total_in_workbook</f>
        <v/>
      </c>
      <c r="H24" s="5">
        <f>IF(AND(E24&gt;=cfg_sibling_median_active_kw, G24&gt;=cfg_min_active_siblings_pct),1,0)</f>
        <v/>
      </c>
      <c r="I24" s="5">
        <f>IF(D24="ON",1,0)</f>
        <v/>
      </c>
      <c r="J24" s="5">
        <f>IF(AND(I24=1, H24=1, Raw_Data!D24&lt;cfg_pstr_zero_threshold_kw),1,0)</f>
        <v/>
      </c>
      <c r="K24" s="5">
        <f>IF(A24&lt;&gt;A23,IF(J24=1, MAX($K$5:K23)+1, 0),IF(AND(J24=1, J23=0), K23+1,IF(J24=1, K23, K23)))</f>
        <v/>
      </c>
      <c r="L24" s="5">
        <f>IF(J24=1,COUNTIFS($A$5:$A$28,A24,$K$5:$K$28,K24,$J$5:$J$28,1),0)</f>
        <v/>
      </c>
      <c r="M24" s="5">
        <f>IF(AND(J24=1, L24&gt;=cfg_debounce_consecutive_steps),1,0)</f>
        <v/>
      </c>
      <c r="N24" s="5">
        <f>IF(AND(I24=1, H24=1, Raw_Data!E24&lt;cfg_pstr_zero_threshold_kw),1,0)</f>
        <v/>
      </c>
      <c r="O24" s="5">
        <f>IF(A24&lt;&gt;A23,IF(N24=1, MAX($O$5:O23)+1, 0),IF(AND(N24=1, N23=0), O23+1,IF(N24=1, O23, O23)))</f>
        <v/>
      </c>
      <c r="P24" s="5">
        <f>IF(N24=1,COUNTIFS($A$5:$A$28,A24,$O$5:$O$28,O24,$N$5:$N$28,1),0)</f>
        <v/>
      </c>
      <c r="Q24" s="5">
        <f>IF(AND(N24=1, P24&gt;=cfg_debounce_consecutive_steps),1,0)</f>
        <v/>
      </c>
      <c r="R24" s="5">
        <f>IF(AND(I24=1, H24=1, Raw_Data!F24&lt;cfg_pstr_zero_threshold_kw),1,0)</f>
        <v/>
      </c>
      <c r="S24" s="5">
        <f>IF(A24&lt;&gt;A23,IF(R24=1, MAX($S$5:S23)+1, 0),IF(AND(R24=1, R23=0), S23+1,IF(R24=1, S23, S23)))</f>
        <v/>
      </c>
      <c r="T24" s="5">
        <f>IF(R24=1,COUNTIFS($A$5:$A$28,A24,$S$5:$S$28,S24,$R$5:$R$28,1),0)</f>
        <v/>
      </c>
      <c r="U24" s="5">
        <f>IF(AND(R24=1, T24&gt;=cfg_debounce_consecutive_steps),1,0)</f>
        <v/>
      </c>
      <c r="V24" s="5">
        <f>IF(AND(I24=1, H24=1, Raw_Data!G24&lt;cfg_pstr_zero_threshold_kw),1,0)</f>
        <v/>
      </c>
      <c r="W24" s="5">
        <f>IF(A24&lt;&gt;A23,IF(V24=1, MAX($W$5:W23)+1, 0),IF(AND(V24=1, V23=0), W23+1,IF(V24=1, W23, W23)))</f>
        <v/>
      </c>
      <c r="X24" s="5">
        <f>IF(V24=1,COUNTIFS($A$5:$A$28,A24,$W$5:$W$28,W24,$V$5:$V$28,1),0)</f>
        <v/>
      </c>
      <c r="Y24" s="5">
        <f>IF(AND(V24=1, X24&gt;=cfg_debounce_consecutive_steps),1,0)</f>
        <v/>
      </c>
      <c r="Z24" s="5">
        <f>IF(AND(I24=1, H24=1, Raw_Data!H24&lt;cfg_pstr_zero_threshold_kw),1,0)</f>
        <v/>
      </c>
      <c r="AA24" s="5">
        <f>IF(A24&lt;&gt;A23,IF(Z24=1, MAX($AA$5:AA23)+1, 0),IF(AND(Z24=1, Z23=0), AA23+1,IF(Z24=1, AA23, AA23)))</f>
        <v/>
      </c>
      <c r="AB24" s="5">
        <f>IF(Z24=1,COUNTIFS($A$5:$A$28,A24,$AA$5:$AA$28,AA24,$Z$5:$Z$28,1),0)</f>
        <v/>
      </c>
      <c r="AC24" s="5">
        <f>IF(AND(Z24=1, AB24&gt;=cfg_debounce_consecutive_steps),1,0)</f>
        <v/>
      </c>
    </row>
    <row r="25">
      <c r="A25" s="5">
        <f>Raw_Data!A25</f>
        <v/>
      </c>
      <c r="B25" s="16">
        <f>Raw_Data!B25</f>
        <v/>
      </c>
      <c r="C25" s="5">
        <f>Raw_Data!C25</f>
        <v/>
      </c>
      <c r="D25" s="5">
        <f>IF(ISNUMBER(SEARCH("shutdown",LOWER(C25)))+ISNUMBER(SEARCH("fault",LOWER(C25))),"DOWN",IF(ISNUMBER(SEARCH("grid connected",LOWER(C25)))+ISNUMBER(SEARCH("on-grid",LOWER(C25))),"ON",IF(ISNUMBER(SEARCH("standby",LOWER(C25)))+ISNUMBER(SEARCH("no sunlight",LOWER(C25))),"TRANSITIONAL","UNKNOWN")))</f>
        <v/>
      </c>
      <c r="E25" s="17">
        <f>MEDIAN(Raw_Data!D25:H25)</f>
        <v/>
      </c>
      <c r="F25" s="5">
        <f>COUNTIF(Raw_Data!D25:H25, "&gt;"&amp;cfg_pstr_zero_threshold_kw)</f>
        <v/>
      </c>
      <c r="G25" s="18">
        <f>100*F25/cfg_n_pv_total_in_workbook</f>
        <v/>
      </c>
      <c r="H25" s="5">
        <f>IF(AND(E25&gt;=cfg_sibling_median_active_kw, G25&gt;=cfg_min_active_siblings_pct),1,0)</f>
        <v/>
      </c>
      <c r="I25" s="5">
        <f>IF(D25="ON",1,0)</f>
        <v/>
      </c>
      <c r="J25" s="5">
        <f>IF(AND(I25=1, H25=1, Raw_Data!D25&lt;cfg_pstr_zero_threshold_kw),1,0)</f>
        <v/>
      </c>
      <c r="K25" s="5">
        <f>IF(A25&lt;&gt;A24,IF(J25=1, MAX($K$5:K24)+1, 0),IF(AND(J25=1, J24=0), K24+1,IF(J25=1, K24, K24)))</f>
        <v/>
      </c>
      <c r="L25" s="5">
        <f>IF(J25=1,COUNTIFS($A$5:$A$28,A25,$K$5:$K$28,K25,$J$5:$J$28,1),0)</f>
        <v/>
      </c>
      <c r="M25" s="5">
        <f>IF(AND(J25=1, L25&gt;=cfg_debounce_consecutive_steps),1,0)</f>
        <v/>
      </c>
      <c r="N25" s="5">
        <f>IF(AND(I25=1, H25=1, Raw_Data!E25&lt;cfg_pstr_zero_threshold_kw),1,0)</f>
        <v/>
      </c>
      <c r="O25" s="5">
        <f>IF(A25&lt;&gt;A24,IF(N25=1, MAX($O$5:O24)+1, 0),IF(AND(N25=1, N24=0), O24+1,IF(N25=1, O24, O24)))</f>
        <v/>
      </c>
      <c r="P25" s="5">
        <f>IF(N25=1,COUNTIFS($A$5:$A$28,A25,$O$5:$O$28,O25,$N$5:$N$28,1),0)</f>
        <v/>
      </c>
      <c r="Q25" s="5">
        <f>IF(AND(N25=1, P25&gt;=cfg_debounce_consecutive_steps),1,0)</f>
        <v/>
      </c>
      <c r="R25" s="5">
        <f>IF(AND(I25=1, H25=1, Raw_Data!F25&lt;cfg_pstr_zero_threshold_kw),1,0)</f>
        <v/>
      </c>
      <c r="S25" s="5">
        <f>IF(A25&lt;&gt;A24,IF(R25=1, MAX($S$5:S24)+1, 0),IF(AND(R25=1, R24=0), S24+1,IF(R25=1, S24, S24)))</f>
        <v/>
      </c>
      <c r="T25" s="5">
        <f>IF(R25=1,COUNTIFS($A$5:$A$28,A25,$S$5:$S$28,S25,$R$5:$R$28,1),0)</f>
        <v/>
      </c>
      <c r="U25" s="5">
        <f>IF(AND(R25=1, T25&gt;=cfg_debounce_consecutive_steps),1,0)</f>
        <v/>
      </c>
      <c r="V25" s="5">
        <f>IF(AND(I25=1, H25=1, Raw_Data!G25&lt;cfg_pstr_zero_threshold_kw),1,0)</f>
        <v/>
      </c>
      <c r="W25" s="5">
        <f>IF(A25&lt;&gt;A24,IF(V25=1, MAX($W$5:W24)+1, 0),IF(AND(V25=1, V24=0), W24+1,IF(V25=1, W24, W24)))</f>
        <v/>
      </c>
      <c r="X25" s="5">
        <f>IF(V25=1,COUNTIFS($A$5:$A$28,A25,$W$5:$W$28,W25,$V$5:$V$28,1),0)</f>
        <v/>
      </c>
      <c r="Y25" s="5">
        <f>IF(AND(V25=1, X25&gt;=cfg_debounce_consecutive_steps),1,0)</f>
        <v/>
      </c>
      <c r="Z25" s="5">
        <f>IF(AND(I25=1, H25=1, Raw_Data!H25&lt;cfg_pstr_zero_threshold_kw),1,0)</f>
        <v/>
      </c>
      <c r="AA25" s="5">
        <f>IF(A25&lt;&gt;A24,IF(Z25=1, MAX($AA$5:AA24)+1, 0),IF(AND(Z25=1, Z24=0), AA24+1,IF(Z25=1, AA24, AA24)))</f>
        <v/>
      </c>
      <c r="AB25" s="5">
        <f>IF(Z25=1,COUNTIFS($A$5:$A$28,A25,$AA$5:$AA$28,AA25,$Z$5:$Z$28,1),0)</f>
        <v/>
      </c>
      <c r="AC25" s="5">
        <f>IF(AND(Z25=1, AB25&gt;=cfg_debounce_consecutive_steps),1,0)</f>
        <v/>
      </c>
    </row>
    <row r="26">
      <c r="A26" s="5">
        <f>Raw_Data!A26</f>
        <v/>
      </c>
      <c r="B26" s="16">
        <f>Raw_Data!B26</f>
        <v/>
      </c>
      <c r="C26" s="5">
        <f>Raw_Data!C26</f>
        <v/>
      </c>
      <c r="D26" s="5">
        <f>IF(ISNUMBER(SEARCH("shutdown",LOWER(C26)))+ISNUMBER(SEARCH("fault",LOWER(C26))),"DOWN",IF(ISNUMBER(SEARCH("grid connected",LOWER(C26)))+ISNUMBER(SEARCH("on-grid",LOWER(C26))),"ON",IF(ISNUMBER(SEARCH("standby",LOWER(C26)))+ISNUMBER(SEARCH("no sunlight",LOWER(C26))),"TRANSITIONAL","UNKNOWN")))</f>
        <v/>
      </c>
      <c r="E26" s="17">
        <f>MEDIAN(Raw_Data!D26:H26)</f>
        <v/>
      </c>
      <c r="F26" s="5">
        <f>COUNTIF(Raw_Data!D26:H26, "&gt;"&amp;cfg_pstr_zero_threshold_kw)</f>
        <v/>
      </c>
      <c r="G26" s="18">
        <f>100*F26/cfg_n_pv_total_in_workbook</f>
        <v/>
      </c>
      <c r="H26" s="5">
        <f>IF(AND(E26&gt;=cfg_sibling_median_active_kw, G26&gt;=cfg_min_active_siblings_pct),1,0)</f>
        <v/>
      </c>
      <c r="I26" s="5">
        <f>IF(D26="ON",1,0)</f>
        <v/>
      </c>
      <c r="J26" s="5">
        <f>IF(AND(I26=1, H26=1, Raw_Data!D26&lt;cfg_pstr_zero_threshold_kw),1,0)</f>
        <v/>
      </c>
      <c r="K26" s="5">
        <f>IF(A26&lt;&gt;A25,IF(J26=1, MAX($K$5:K25)+1, 0),IF(AND(J26=1, J25=0), K25+1,IF(J26=1, K25, K25)))</f>
        <v/>
      </c>
      <c r="L26" s="5">
        <f>IF(J26=1,COUNTIFS($A$5:$A$28,A26,$K$5:$K$28,K26,$J$5:$J$28,1),0)</f>
        <v/>
      </c>
      <c r="M26" s="5">
        <f>IF(AND(J26=1, L26&gt;=cfg_debounce_consecutive_steps),1,0)</f>
        <v/>
      </c>
      <c r="N26" s="5">
        <f>IF(AND(I26=1, H26=1, Raw_Data!E26&lt;cfg_pstr_zero_threshold_kw),1,0)</f>
        <v/>
      </c>
      <c r="O26" s="5">
        <f>IF(A26&lt;&gt;A25,IF(N26=1, MAX($O$5:O25)+1, 0),IF(AND(N26=1, N25=0), O25+1,IF(N26=1, O25, O25)))</f>
        <v/>
      </c>
      <c r="P26" s="5">
        <f>IF(N26=1,COUNTIFS($A$5:$A$28,A26,$O$5:$O$28,O26,$N$5:$N$28,1),0)</f>
        <v/>
      </c>
      <c r="Q26" s="5">
        <f>IF(AND(N26=1, P26&gt;=cfg_debounce_consecutive_steps),1,0)</f>
        <v/>
      </c>
      <c r="R26" s="5">
        <f>IF(AND(I26=1, H26=1, Raw_Data!F26&lt;cfg_pstr_zero_threshold_kw),1,0)</f>
        <v/>
      </c>
      <c r="S26" s="5">
        <f>IF(A26&lt;&gt;A25,IF(R26=1, MAX($S$5:S25)+1, 0),IF(AND(R26=1, R25=0), S25+1,IF(R26=1, S25, S25)))</f>
        <v/>
      </c>
      <c r="T26" s="5">
        <f>IF(R26=1,COUNTIFS($A$5:$A$28,A26,$S$5:$S$28,S26,$R$5:$R$28,1),0)</f>
        <v/>
      </c>
      <c r="U26" s="5">
        <f>IF(AND(R26=1, T26&gt;=cfg_debounce_consecutive_steps),1,0)</f>
        <v/>
      </c>
      <c r="V26" s="5">
        <f>IF(AND(I26=1, H26=1, Raw_Data!G26&lt;cfg_pstr_zero_threshold_kw),1,0)</f>
        <v/>
      </c>
      <c r="W26" s="5">
        <f>IF(A26&lt;&gt;A25,IF(V26=1, MAX($W$5:W25)+1, 0),IF(AND(V26=1, V25=0), W25+1,IF(V26=1, W25, W25)))</f>
        <v/>
      </c>
      <c r="X26" s="5">
        <f>IF(V26=1,COUNTIFS($A$5:$A$28,A26,$W$5:$W$28,W26,$V$5:$V$28,1),0)</f>
        <v/>
      </c>
      <c r="Y26" s="5">
        <f>IF(AND(V26=1, X26&gt;=cfg_debounce_consecutive_steps),1,0)</f>
        <v/>
      </c>
      <c r="Z26" s="5">
        <f>IF(AND(I26=1, H26=1, Raw_Data!H26&lt;cfg_pstr_zero_threshold_kw),1,0)</f>
        <v/>
      </c>
      <c r="AA26" s="5">
        <f>IF(A26&lt;&gt;A25,IF(Z26=1, MAX($AA$5:AA25)+1, 0),IF(AND(Z26=1, Z25=0), AA25+1,IF(Z26=1, AA25, AA25)))</f>
        <v/>
      </c>
      <c r="AB26" s="5">
        <f>IF(Z26=1,COUNTIFS($A$5:$A$28,A26,$AA$5:$AA$28,AA26,$Z$5:$Z$28,1),0)</f>
        <v/>
      </c>
      <c r="AC26" s="5">
        <f>IF(AND(Z26=1, AB26&gt;=cfg_debounce_consecutive_steps),1,0)</f>
        <v/>
      </c>
    </row>
    <row r="27">
      <c r="A27" s="5">
        <f>Raw_Data!A27</f>
        <v/>
      </c>
      <c r="B27" s="16">
        <f>Raw_Data!B27</f>
        <v/>
      </c>
      <c r="C27" s="5">
        <f>Raw_Data!C27</f>
        <v/>
      </c>
      <c r="D27" s="5">
        <f>IF(ISNUMBER(SEARCH("shutdown",LOWER(C27)))+ISNUMBER(SEARCH("fault",LOWER(C27))),"DOWN",IF(ISNUMBER(SEARCH("grid connected",LOWER(C27)))+ISNUMBER(SEARCH("on-grid",LOWER(C27))),"ON",IF(ISNUMBER(SEARCH("standby",LOWER(C27)))+ISNUMBER(SEARCH("no sunlight",LOWER(C27))),"TRANSITIONAL","UNKNOWN")))</f>
        <v/>
      </c>
      <c r="E27" s="17">
        <f>MEDIAN(Raw_Data!D27:H27)</f>
        <v/>
      </c>
      <c r="F27" s="5">
        <f>COUNTIF(Raw_Data!D27:H27, "&gt;"&amp;cfg_pstr_zero_threshold_kw)</f>
        <v/>
      </c>
      <c r="G27" s="18">
        <f>100*F27/cfg_n_pv_total_in_workbook</f>
        <v/>
      </c>
      <c r="H27" s="5">
        <f>IF(AND(E27&gt;=cfg_sibling_median_active_kw, G27&gt;=cfg_min_active_siblings_pct),1,0)</f>
        <v/>
      </c>
      <c r="I27" s="5">
        <f>IF(D27="ON",1,0)</f>
        <v/>
      </c>
      <c r="J27" s="5">
        <f>IF(AND(I27=1, H27=1, Raw_Data!D27&lt;cfg_pstr_zero_threshold_kw),1,0)</f>
        <v/>
      </c>
      <c r="K27" s="5">
        <f>IF(A27&lt;&gt;A26,IF(J27=1, MAX($K$5:K26)+1, 0),IF(AND(J27=1, J26=0), K26+1,IF(J27=1, K26, K26)))</f>
        <v/>
      </c>
      <c r="L27" s="5">
        <f>IF(J27=1,COUNTIFS($A$5:$A$28,A27,$K$5:$K$28,K27,$J$5:$J$28,1),0)</f>
        <v/>
      </c>
      <c r="M27" s="5">
        <f>IF(AND(J27=1, L27&gt;=cfg_debounce_consecutive_steps),1,0)</f>
        <v/>
      </c>
      <c r="N27" s="5">
        <f>IF(AND(I27=1, H27=1, Raw_Data!E27&lt;cfg_pstr_zero_threshold_kw),1,0)</f>
        <v/>
      </c>
      <c r="O27" s="5">
        <f>IF(A27&lt;&gt;A26,IF(N27=1, MAX($O$5:O26)+1, 0),IF(AND(N27=1, N26=0), O26+1,IF(N27=1, O26, O26)))</f>
        <v/>
      </c>
      <c r="P27" s="5">
        <f>IF(N27=1,COUNTIFS($A$5:$A$28,A27,$O$5:$O$28,O27,$N$5:$N$28,1),0)</f>
        <v/>
      </c>
      <c r="Q27" s="5">
        <f>IF(AND(N27=1, P27&gt;=cfg_debounce_consecutive_steps),1,0)</f>
        <v/>
      </c>
      <c r="R27" s="5">
        <f>IF(AND(I27=1, H27=1, Raw_Data!F27&lt;cfg_pstr_zero_threshold_kw),1,0)</f>
        <v/>
      </c>
      <c r="S27" s="5">
        <f>IF(A27&lt;&gt;A26,IF(R27=1, MAX($S$5:S26)+1, 0),IF(AND(R27=1, R26=0), S26+1,IF(R27=1, S26, S26)))</f>
        <v/>
      </c>
      <c r="T27" s="5">
        <f>IF(R27=1,COUNTIFS($A$5:$A$28,A27,$S$5:$S$28,S27,$R$5:$R$28,1),0)</f>
        <v/>
      </c>
      <c r="U27" s="5">
        <f>IF(AND(R27=1, T27&gt;=cfg_debounce_consecutive_steps),1,0)</f>
        <v/>
      </c>
      <c r="V27" s="5">
        <f>IF(AND(I27=1, H27=1, Raw_Data!G27&lt;cfg_pstr_zero_threshold_kw),1,0)</f>
        <v/>
      </c>
      <c r="W27" s="5">
        <f>IF(A27&lt;&gt;A26,IF(V27=1, MAX($W$5:W26)+1, 0),IF(AND(V27=1, V26=0), W26+1,IF(V27=1, W26, W26)))</f>
        <v/>
      </c>
      <c r="X27" s="5">
        <f>IF(V27=1,COUNTIFS($A$5:$A$28,A27,$W$5:$W$28,W27,$V$5:$V$28,1),0)</f>
        <v/>
      </c>
      <c r="Y27" s="5">
        <f>IF(AND(V27=1, X27&gt;=cfg_debounce_consecutive_steps),1,0)</f>
        <v/>
      </c>
      <c r="Z27" s="5">
        <f>IF(AND(I27=1, H27=1, Raw_Data!H27&lt;cfg_pstr_zero_threshold_kw),1,0)</f>
        <v/>
      </c>
      <c r="AA27" s="5">
        <f>IF(A27&lt;&gt;A26,IF(Z27=1, MAX($AA$5:AA26)+1, 0),IF(AND(Z27=1, Z26=0), AA26+1,IF(Z27=1, AA26, AA26)))</f>
        <v/>
      </c>
      <c r="AB27" s="5">
        <f>IF(Z27=1,COUNTIFS($A$5:$A$28,A27,$AA$5:$AA$28,AA27,$Z$5:$Z$28,1),0)</f>
        <v/>
      </c>
      <c r="AC27" s="5">
        <f>IF(AND(Z27=1, AB27&gt;=cfg_debounce_consecutive_steps),1,0)</f>
        <v/>
      </c>
    </row>
    <row r="28">
      <c r="A28" s="5">
        <f>Raw_Data!A28</f>
        <v/>
      </c>
      <c r="B28" s="16">
        <f>Raw_Data!B28</f>
        <v/>
      </c>
      <c r="C28" s="5">
        <f>Raw_Data!C28</f>
        <v/>
      </c>
      <c r="D28" s="5">
        <f>IF(ISNUMBER(SEARCH("shutdown",LOWER(C28)))+ISNUMBER(SEARCH("fault",LOWER(C28))),"DOWN",IF(ISNUMBER(SEARCH("grid connected",LOWER(C28)))+ISNUMBER(SEARCH("on-grid",LOWER(C28))),"ON",IF(ISNUMBER(SEARCH("standby",LOWER(C28)))+ISNUMBER(SEARCH("no sunlight",LOWER(C28))),"TRANSITIONAL","UNKNOWN")))</f>
        <v/>
      </c>
      <c r="E28" s="17">
        <f>MEDIAN(Raw_Data!D28:H28)</f>
        <v/>
      </c>
      <c r="F28" s="5">
        <f>COUNTIF(Raw_Data!D28:H28, "&gt;"&amp;cfg_pstr_zero_threshold_kw)</f>
        <v/>
      </c>
      <c r="G28" s="18">
        <f>100*F28/cfg_n_pv_total_in_workbook</f>
        <v/>
      </c>
      <c r="H28" s="5">
        <f>IF(AND(E28&gt;=cfg_sibling_median_active_kw, G28&gt;=cfg_min_active_siblings_pct),1,0)</f>
        <v/>
      </c>
      <c r="I28" s="5">
        <f>IF(D28="ON",1,0)</f>
        <v/>
      </c>
      <c r="J28" s="5">
        <f>IF(AND(I28=1, H28=1, Raw_Data!D28&lt;cfg_pstr_zero_threshold_kw),1,0)</f>
        <v/>
      </c>
      <c r="K28" s="5">
        <f>IF(A28&lt;&gt;A27,IF(J28=1, MAX($K$5:K27)+1, 0),IF(AND(J28=1, J27=0), K27+1,IF(J28=1, K27, K27)))</f>
        <v/>
      </c>
      <c r="L28" s="5">
        <f>IF(J28=1,COUNTIFS($A$5:$A$28,A28,$K$5:$K$28,K28,$J$5:$J$28,1),0)</f>
        <v/>
      </c>
      <c r="M28" s="5">
        <f>IF(AND(J28=1, L28&gt;=cfg_debounce_consecutive_steps),1,0)</f>
        <v/>
      </c>
      <c r="N28" s="5">
        <f>IF(AND(I28=1, H28=1, Raw_Data!E28&lt;cfg_pstr_zero_threshold_kw),1,0)</f>
        <v/>
      </c>
      <c r="O28" s="5">
        <f>IF(A28&lt;&gt;A27,IF(N28=1, MAX($O$5:O27)+1, 0),IF(AND(N28=1, N27=0), O27+1,IF(N28=1, O27, O27)))</f>
        <v/>
      </c>
      <c r="P28" s="5">
        <f>IF(N28=1,COUNTIFS($A$5:$A$28,A28,$O$5:$O$28,O28,$N$5:$N$28,1),0)</f>
        <v/>
      </c>
      <c r="Q28" s="5">
        <f>IF(AND(N28=1, P28&gt;=cfg_debounce_consecutive_steps),1,0)</f>
        <v/>
      </c>
      <c r="R28" s="5">
        <f>IF(AND(I28=1, H28=1, Raw_Data!F28&lt;cfg_pstr_zero_threshold_kw),1,0)</f>
        <v/>
      </c>
      <c r="S28" s="5">
        <f>IF(A28&lt;&gt;A27,IF(R28=1, MAX($S$5:S27)+1, 0),IF(AND(R28=1, R27=0), S27+1,IF(R28=1, S27, S27)))</f>
        <v/>
      </c>
      <c r="T28" s="5">
        <f>IF(R28=1,COUNTIFS($A$5:$A$28,A28,$S$5:$S$28,S28,$R$5:$R$28,1),0)</f>
        <v/>
      </c>
      <c r="U28" s="5">
        <f>IF(AND(R28=1, T28&gt;=cfg_debounce_consecutive_steps),1,0)</f>
        <v/>
      </c>
      <c r="V28" s="5">
        <f>IF(AND(I28=1, H28=1, Raw_Data!G28&lt;cfg_pstr_zero_threshold_kw),1,0)</f>
        <v/>
      </c>
      <c r="W28" s="5">
        <f>IF(A28&lt;&gt;A27,IF(V28=1, MAX($W$5:W27)+1, 0),IF(AND(V28=1, V27=0), W27+1,IF(V28=1, W27, W27)))</f>
        <v/>
      </c>
      <c r="X28" s="5">
        <f>IF(V28=1,COUNTIFS($A$5:$A$28,A28,$W$5:$W$28,W28,$V$5:$V$28,1),0)</f>
        <v/>
      </c>
      <c r="Y28" s="5">
        <f>IF(AND(V28=1, X28&gt;=cfg_debounce_consecutive_steps),1,0)</f>
        <v/>
      </c>
      <c r="Z28" s="5">
        <f>IF(AND(I28=1, H28=1, Raw_Data!H28&lt;cfg_pstr_zero_threshold_kw),1,0)</f>
        <v/>
      </c>
      <c r="AA28" s="5">
        <f>IF(A28&lt;&gt;A27,IF(Z28=1, MAX($AA$5:AA27)+1, 0),IF(AND(Z28=1, Z27=0), AA27+1,IF(Z28=1, AA27, AA27)))</f>
        <v/>
      </c>
      <c r="AB28" s="5">
        <f>IF(Z28=1,COUNTIFS($A$5:$A$28,A28,$AA$5:$AA$28,AA28,$Z$5:$Z$28,1),0)</f>
        <v/>
      </c>
      <c r="AC28" s="5">
        <f>IF(AND(Z28=1, AB28&gt;=cfg_debounce_consecutive_steps),1,0)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9" customWidth="1" min="3" max="3"/>
    <col width="14" customWidth="1" min="4" max="4"/>
    <col width="10" customWidth="1" min="5" max="5"/>
    <col width="16" customWidth="1" min="6" max="6"/>
    <col width="14" customWidth="1" min="7" max="7"/>
    <col width="9" customWidth="1" min="8" max="8"/>
    <col width="70" customWidth="1" min="9" max="9"/>
  </cols>
  <sheetData>
    <row r="1">
      <c r="A1" s="7" t="inlineStr">
        <is>
          <t>M2e Availability — output finding per inverter &amp; per string</t>
        </is>
      </c>
    </row>
    <row r="2">
      <c r="A2" s="2" t="inlineStr">
        <is>
          <t>Section A: per-inverter uptime%. Section B: per-string proxy down. Severity di-derive dari uptime_pct vs threshold di Config.</t>
        </is>
      </c>
    </row>
    <row r="4">
      <c r="A4" s="14" t="inlineStr">
        <is>
          <t>A. Per-inverter daily uptime</t>
        </is>
      </c>
    </row>
    <row r="5">
      <c r="A5" s="10" t="inlineStr">
        <is>
          <t>Inverter_ID</t>
        </is>
      </c>
      <c r="B5" s="10" t="inlineStr">
        <is>
          <t>n_on</t>
        </is>
      </c>
      <c r="C5" s="10" t="inlineStr">
        <is>
          <t>n_down</t>
        </is>
      </c>
      <c r="D5" s="10" t="inlineStr">
        <is>
          <t>denom</t>
        </is>
      </c>
      <c r="E5" s="10" t="inlineStr">
        <is>
          <t>uptime_pct</t>
        </is>
      </c>
      <c r="F5" s="10" t="inlineStr">
        <is>
          <t>downtime_min</t>
        </is>
      </c>
      <c r="G5" s="10" t="inlineStr">
        <is>
          <t>severity</t>
        </is>
      </c>
      <c r="H5" s="10" t="inlineStr">
        <is>
          <t>threshold_breached</t>
        </is>
      </c>
      <c r="I5" s="10" t="inlineStr">
        <is>
          <t>message</t>
        </is>
      </c>
    </row>
    <row r="6">
      <c r="A6" s="5" t="inlineStr">
        <is>
          <t>WB02-INV01</t>
        </is>
      </c>
      <c r="B6" s="5">
        <f>COUNTIFS(Helpers_M2e!$A$5:$A$28, A6, Helpers_M2e!$D$5:$D$28, "ON")</f>
        <v/>
      </c>
      <c r="C6" s="5">
        <f>COUNTIFS(Helpers_M2e!$A$5:$A$28, A6, Helpers_M2e!$D$5:$D$28, "DOWN")</f>
        <v/>
      </c>
      <c r="D6" s="5">
        <f>B6+C6</f>
        <v/>
      </c>
      <c r="E6" s="15">
        <f>IF(D6=0, NA(), 100*B6/D6)</f>
        <v/>
      </c>
      <c r="F6" s="5">
        <f>C6*cfg_interval_minutes</f>
        <v/>
      </c>
      <c r="G6" s="5">
        <f>IF(ISNA(E6),"NO_DATA",IF(E6&lt;cfg_critical_below,"CRITICAL",IF(E6&lt;cfg_high_below,"HIGH",IF(E6&lt;cfg_medium_below,"MEDIUM",IF(E6&lt;cfg_info_below,"INFO","NORMAL")))))</f>
        <v/>
      </c>
      <c r="H6" s="5">
        <f>IF(ISNA(E6),"",IF(E6&lt;cfg_critical_below,cfg_critical_below,IF(E6&lt;cfg_high_below,cfg_high_below,IF(E6&lt;cfg_medium_below,cfg_medium_below,IF(E6&lt;cfg_info_below,cfg_info_below,cfg_info_below)))))</f>
        <v/>
      </c>
      <c r="I6" s="5">
        <f>"inverter uptime "&amp;TEXT(E6,"0.00")&amp;"% (n_on="&amp;B6&amp;", n_down="&amp;C6&amp;")"</f>
        <v/>
      </c>
    </row>
    <row r="7">
      <c r="A7" s="5" t="inlineStr">
        <is>
          <t>WB02-INV02</t>
        </is>
      </c>
      <c r="B7" s="5">
        <f>COUNTIFS(Helpers_M2e!$A$5:$A$28, A7, Helpers_M2e!$D$5:$D$28, "ON")</f>
        <v/>
      </c>
      <c r="C7" s="5">
        <f>COUNTIFS(Helpers_M2e!$A$5:$A$28, A7, Helpers_M2e!$D$5:$D$28, "DOWN")</f>
        <v/>
      </c>
      <c r="D7" s="5">
        <f>B7+C7</f>
        <v/>
      </c>
      <c r="E7" s="15">
        <f>IF(D7=0, NA(), 100*B7/D7)</f>
        <v/>
      </c>
      <c r="F7" s="5">
        <f>C7*cfg_interval_minutes</f>
        <v/>
      </c>
      <c r="G7" s="5">
        <f>IF(ISNA(E7),"NO_DATA",IF(E7&lt;cfg_critical_below,"CRITICAL",IF(E7&lt;cfg_high_below,"HIGH",IF(E7&lt;cfg_medium_below,"MEDIUM",IF(E7&lt;cfg_info_below,"INFO","NORMAL")))))</f>
        <v/>
      </c>
      <c r="H7" s="5">
        <f>IF(ISNA(E7),"",IF(E7&lt;cfg_critical_below,cfg_critical_below,IF(E7&lt;cfg_high_below,cfg_high_below,IF(E7&lt;cfg_medium_below,cfg_medium_below,IF(E7&lt;cfg_info_below,cfg_info_below,cfg_info_below)))))</f>
        <v/>
      </c>
      <c r="I7" s="5">
        <f>"inverter uptime "&amp;TEXT(E7,"0.00")&amp;"% (n_on="&amp;B7&amp;", n_down="&amp;C7&amp;")"</f>
        <v/>
      </c>
    </row>
    <row r="11">
      <c r="A11" s="14" t="inlineStr">
        <is>
          <t>B. Per-string proxy down (event_minutes_total + uptime_pct + severity)</t>
        </is>
      </c>
    </row>
    <row r="12">
      <c r="A12" s="10" t="inlineStr">
        <is>
          <t>Inverter_ID</t>
        </is>
      </c>
      <c r="B12" s="10" t="inlineStr">
        <is>
          <t>PV_string</t>
        </is>
      </c>
      <c r="C12" s="10" t="inlineStr">
        <is>
          <t>daylight_minutes_inv</t>
        </is>
      </c>
      <c r="D12" s="10" t="inlineStr">
        <is>
          <t>event_minutes</t>
        </is>
      </c>
      <c r="E12" s="10" t="inlineStr">
        <is>
          <t>n_events</t>
        </is>
      </c>
      <c r="F12" s="10" t="inlineStr">
        <is>
          <t>string_uptime_pct</t>
        </is>
      </c>
      <c r="G12" s="10" t="inlineStr">
        <is>
          <t>severity</t>
        </is>
      </c>
      <c r="H12" s="10" t="inlineStr">
        <is>
          <t>is_empty</t>
        </is>
      </c>
      <c r="I12" s="10" t="inlineStr">
        <is>
          <t>message</t>
        </is>
      </c>
    </row>
    <row r="13">
      <c r="A13" s="5" t="inlineStr">
        <is>
          <t>WB02-INV01</t>
        </is>
      </c>
      <c r="B13" s="5" t="inlineStr">
        <is>
          <t>PV1</t>
        </is>
      </c>
      <c r="C13" s="5">
        <f>COUNTIFS(Helpers_M2e!$A$5:$A$28, A13, Helpers_M2e!$I$5:$I$28, 1) * cfg_interval_minutes</f>
        <v/>
      </c>
      <c r="D13" s="5">
        <f>COUNTIFS(Helpers_M2e!$A$5:$A$28, A13, Helpers_M2e!$M$5:$M$28, 1) * cfg_interval_minutes</f>
        <v/>
      </c>
      <c r="E13" s="5">
        <f>SUMPRODUCT((Helpers_M2e!$A$5:$A$28=A13)*(Helpers_M2e!$M$5:$M$28=1)*((Helpers_M2e!$M$4:$M$27=0)+(Helpers_M2e!$A$5:$A$28&lt;&gt;Helpers_M2e!$A$4:$A$27)&gt;=1))</f>
        <v/>
      </c>
      <c r="F13" s="15">
        <f>IF(C13=0, NA(), MAX(0, 100 - 100*D13/C13))</f>
        <v/>
      </c>
      <c r="G13" s="5">
        <f>IF(H13=1,"EMPTY",IF(C13=0,"NO_DAYLIGHT",IF(F13&lt;cfg_critical_below,"CRITICAL",IF(F13&lt;cfg_high_below,"HIGH",IF(F13&lt;cfg_medium_below,"MEDIUM",IF(F13&lt;cfg_info_below,"INFO","NORMAL"))))))</f>
        <v/>
      </c>
      <c r="H13" s="5">
        <f>IFERROR(IF(ISNUMBER(SEARCH(","&amp;1&amp;",", ","&amp;VLOOKUP(A13, EmptyPVMap!$A$5:$B$8, 2, FALSE)&amp;",")), 1, 0), 0)</f>
        <v/>
      </c>
      <c r="I13" s="5">
        <f>IF(H13=1, "EMPTY (skip)", IF(F13&gt;=cfg_info_below, "NORMAL", A13&amp;" "&amp;B13&amp;" proxy-down "&amp;D13&amp;"min/"&amp;C13&amp;"min daylight ("&amp;TEXT(F13,"0.00")&amp;"% uptime)"))</f>
        <v/>
      </c>
    </row>
    <row r="14">
      <c r="A14" s="5" t="inlineStr">
        <is>
          <t>WB02-INV01</t>
        </is>
      </c>
      <c r="B14" s="5" t="inlineStr">
        <is>
          <t>PV2</t>
        </is>
      </c>
      <c r="C14" s="5">
        <f>COUNTIFS(Helpers_M2e!$A$5:$A$28, A14, Helpers_M2e!$I$5:$I$28, 1) * cfg_interval_minutes</f>
        <v/>
      </c>
      <c r="D14" s="5">
        <f>COUNTIFS(Helpers_M2e!$A$5:$A$28, A14, Helpers_M2e!$Q$5:$Q$28, 1) * cfg_interval_minutes</f>
        <v/>
      </c>
      <c r="E14" s="5">
        <f>SUMPRODUCT((Helpers_M2e!$A$5:$A$28=A14)*(Helpers_M2e!$Q$5:$Q$28=1)*((Helpers_M2e!$Q$4:$Q$27=0)+(Helpers_M2e!$A$5:$A$28&lt;&gt;Helpers_M2e!$A$4:$A$27)&gt;=1))</f>
        <v/>
      </c>
      <c r="F14" s="15">
        <f>IF(C14=0, NA(), MAX(0, 100 - 100*D14/C14))</f>
        <v/>
      </c>
      <c r="G14" s="5">
        <f>IF(H14=1,"EMPTY",IF(C14=0,"NO_DAYLIGHT",IF(F14&lt;cfg_critical_below,"CRITICAL",IF(F14&lt;cfg_high_below,"HIGH",IF(F14&lt;cfg_medium_below,"MEDIUM",IF(F14&lt;cfg_info_below,"INFO","NORMAL"))))))</f>
        <v/>
      </c>
      <c r="H14" s="5">
        <f>IFERROR(IF(ISNUMBER(SEARCH(","&amp;2&amp;",", ","&amp;VLOOKUP(A14, EmptyPVMap!$A$5:$B$8, 2, FALSE)&amp;",")), 1, 0), 0)</f>
        <v/>
      </c>
      <c r="I14" s="5">
        <f>IF(H14=1, "EMPTY (skip)", IF(F14&gt;=cfg_info_below, "NORMAL", A14&amp;" "&amp;B14&amp;" proxy-down "&amp;D14&amp;"min/"&amp;C14&amp;"min daylight ("&amp;TEXT(F14,"0.00")&amp;"% uptime)"))</f>
        <v/>
      </c>
    </row>
    <row r="15">
      <c r="A15" s="5" t="inlineStr">
        <is>
          <t>WB02-INV01</t>
        </is>
      </c>
      <c r="B15" s="5" t="inlineStr">
        <is>
          <t>PV3</t>
        </is>
      </c>
      <c r="C15" s="5">
        <f>COUNTIFS(Helpers_M2e!$A$5:$A$28, A15, Helpers_M2e!$I$5:$I$28, 1) * cfg_interval_minutes</f>
        <v/>
      </c>
      <c r="D15" s="5">
        <f>COUNTIFS(Helpers_M2e!$A$5:$A$28, A15, Helpers_M2e!$U$5:$U$28, 1) * cfg_interval_minutes</f>
        <v/>
      </c>
      <c r="E15" s="5">
        <f>SUMPRODUCT((Helpers_M2e!$A$5:$A$28=A15)*(Helpers_M2e!$U$5:$U$28=1)*((Helpers_M2e!$U$4:$U$27=0)+(Helpers_M2e!$A$5:$A$28&lt;&gt;Helpers_M2e!$A$4:$A$27)&gt;=1))</f>
        <v/>
      </c>
      <c r="F15" s="15">
        <f>IF(C15=0, NA(), MAX(0, 100 - 100*D15/C15))</f>
        <v/>
      </c>
      <c r="G15" s="5">
        <f>IF(H15=1,"EMPTY",IF(C15=0,"NO_DAYLIGHT",IF(F15&lt;cfg_critical_below,"CRITICAL",IF(F15&lt;cfg_high_below,"HIGH",IF(F15&lt;cfg_medium_below,"MEDIUM",IF(F15&lt;cfg_info_below,"INFO","NORMAL"))))))</f>
        <v/>
      </c>
      <c r="H15" s="5">
        <f>IFERROR(IF(ISNUMBER(SEARCH(","&amp;3&amp;",", ","&amp;VLOOKUP(A15, EmptyPVMap!$A$5:$B$8, 2, FALSE)&amp;",")), 1, 0), 0)</f>
        <v/>
      </c>
      <c r="I15" s="5">
        <f>IF(H15=1, "EMPTY (skip)", IF(F15&gt;=cfg_info_below, "NORMAL", A15&amp;" "&amp;B15&amp;" proxy-down "&amp;D15&amp;"min/"&amp;C15&amp;"min daylight ("&amp;TEXT(F15,"0.00")&amp;"% uptime)"))</f>
        <v/>
      </c>
    </row>
    <row r="16">
      <c r="A16" s="5" t="inlineStr">
        <is>
          <t>WB02-INV01</t>
        </is>
      </c>
      <c r="B16" s="5" t="inlineStr">
        <is>
          <t>PV4</t>
        </is>
      </c>
      <c r="C16" s="5">
        <f>COUNTIFS(Helpers_M2e!$A$5:$A$28, A16, Helpers_M2e!$I$5:$I$28, 1) * cfg_interval_minutes</f>
        <v/>
      </c>
      <c r="D16" s="5">
        <f>COUNTIFS(Helpers_M2e!$A$5:$A$28, A16, Helpers_M2e!$Y$5:$Y$28, 1) * cfg_interval_minutes</f>
        <v/>
      </c>
      <c r="E16" s="5">
        <f>SUMPRODUCT((Helpers_M2e!$A$5:$A$28=A16)*(Helpers_M2e!$Y$5:$Y$28=1)*((Helpers_M2e!$Y$4:$Y$27=0)+(Helpers_M2e!$A$5:$A$28&lt;&gt;Helpers_M2e!$A$4:$A$27)&gt;=1))</f>
        <v/>
      </c>
      <c r="F16" s="15">
        <f>IF(C16=0, NA(), MAX(0, 100 - 100*D16/C16))</f>
        <v/>
      </c>
      <c r="G16" s="5">
        <f>IF(H16=1,"EMPTY",IF(C16=0,"NO_DAYLIGHT",IF(F16&lt;cfg_critical_below,"CRITICAL",IF(F16&lt;cfg_high_below,"HIGH",IF(F16&lt;cfg_medium_below,"MEDIUM",IF(F16&lt;cfg_info_below,"INFO","NORMAL"))))))</f>
        <v/>
      </c>
      <c r="H16" s="5">
        <f>IFERROR(IF(ISNUMBER(SEARCH(","&amp;4&amp;",", ","&amp;VLOOKUP(A16, EmptyPVMap!$A$5:$B$8, 2, FALSE)&amp;",")), 1, 0), 0)</f>
        <v/>
      </c>
      <c r="I16" s="5">
        <f>IF(H16=1, "EMPTY (skip)", IF(F16&gt;=cfg_info_below, "NORMAL", A16&amp;" "&amp;B16&amp;" proxy-down "&amp;D16&amp;"min/"&amp;C16&amp;"min daylight ("&amp;TEXT(F16,"0.00")&amp;"% uptime)"))</f>
        <v/>
      </c>
    </row>
    <row r="17">
      <c r="A17" s="5" t="inlineStr">
        <is>
          <t>WB02-INV01</t>
        </is>
      </c>
      <c r="B17" s="5" t="inlineStr">
        <is>
          <t>PV5</t>
        </is>
      </c>
      <c r="C17" s="5">
        <f>COUNTIFS(Helpers_M2e!$A$5:$A$28, A17, Helpers_M2e!$I$5:$I$28, 1) * cfg_interval_minutes</f>
        <v/>
      </c>
      <c r="D17" s="5">
        <f>COUNTIFS(Helpers_M2e!$A$5:$A$28, A17, Helpers_M2e!$AC$5:$AC$28, 1) * cfg_interval_minutes</f>
        <v/>
      </c>
      <c r="E17" s="5">
        <f>SUMPRODUCT((Helpers_M2e!$A$5:$A$28=A17)*(Helpers_M2e!$AC$5:$AC$28=1)*((Helpers_M2e!$AC$4:$AC$27=0)+(Helpers_M2e!$A$5:$A$28&lt;&gt;Helpers_M2e!$A$4:$A$27)&gt;=1))</f>
        <v/>
      </c>
      <c r="F17" s="15">
        <f>IF(C17=0, NA(), MAX(0, 100 - 100*D17/C17))</f>
        <v/>
      </c>
      <c r="G17" s="5">
        <f>IF(H17=1,"EMPTY",IF(C17=0,"NO_DAYLIGHT",IF(F17&lt;cfg_critical_below,"CRITICAL",IF(F17&lt;cfg_high_below,"HIGH",IF(F17&lt;cfg_medium_below,"MEDIUM",IF(F17&lt;cfg_info_below,"INFO","NORMAL"))))))</f>
        <v/>
      </c>
      <c r="H17" s="5">
        <f>IFERROR(IF(ISNUMBER(SEARCH(","&amp;5&amp;",", ","&amp;VLOOKUP(A17, EmptyPVMap!$A$5:$B$8, 2, FALSE)&amp;",")), 1, 0), 0)</f>
        <v/>
      </c>
      <c r="I17" s="5">
        <f>IF(H17=1, "EMPTY (skip)", IF(F17&gt;=cfg_info_below, "NORMAL", A17&amp;" "&amp;B17&amp;" proxy-down "&amp;D17&amp;"min/"&amp;C17&amp;"min daylight ("&amp;TEXT(F17,"0.00")&amp;"% uptime)"))</f>
        <v/>
      </c>
    </row>
    <row r="18">
      <c r="A18" s="5" t="inlineStr">
        <is>
          <t>WB02-INV02</t>
        </is>
      </c>
      <c r="B18" s="5" t="inlineStr">
        <is>
          <t>PV1</t>
        </is>
      </c>
      <c r="C18" s="5">
        <f>COUNTIFS(Helpers_M2e!$A$5:$A$28, A18, Helpers_M2e!$I$5:$I$28, 1) * cfg_interval_minutes</f>
        <v/>
      </c>
      <c r="D18" s="5">
        <f>COUNTIFS(Helpers_M2e!$A$5:$A$28, A18, Helpers_M2e!$M$5:$M$28, 1) * cfg_interval_minutes</f>
        <v/>
      </c>
      <c r="E18" s="5">
        <f>SUMPRODUCT((Helpers_M2e!$A$5:$A$28=A18)*(Helpers_M2e!$M$5:$M$28=1)*((Helpers_M2e!$M$4:$M$27=0)+(Helpers_M2e!$A$5:$A$28&lt;&gt;Helpers_M2e!$A$4:$A$27)&gt;=1))</f>
        <v/>
      </c>
      <c r="F18" s="15">
        <f>IF(C18=0, NA(), MAX(0, 100 - 100*D18/C18))</f>
        <v/>
      </c>
      <c r="G18" s="5">
        <f>IF(H18=1,"EMPTY",IF(C18=0,"NO_DAYLIGHT",IF(F18&lt;cfg_critical_below,"CRITICAL",IF(F18&lt;cfg_high_below,"HIGH",IF(F18&lt;cfg_medium_below,"MEDIUM",IF(F18&lt;cfg_info_below,"INFO","NORMAL"))))))</f>
        <v/>
      </c>
      <c r="H18" s="5">
        <f>IFERROR(IF(ISNUMBER(SEARCH(","&amp;1&amp;",", ","&amp;VLOOKUP(A18, EmptyPVMap!$A$5:$B$8, 2, FALSE)&amp;",")), 1, 0), 0)</f>
        <v/>
      </c>
      <c r="I18" s="5">
        <f>IF(H18=1, "EMPTY (skip)", IF(F18&gt;=cfg_info_below, "NORMAL", A18&amp;" "&amp;B18&amp;" proxy-down "&amp;D18&amp;"min/"&amp;C18&amp;"min daylight ("&amp;TEXT(F18,"0.00")&amp;"% uptime)"))</f>
        <v/>
      </c>
    </row>
    <row r="19">
      <c r="A19" s="5" t="inlineStr">
        <is>
          <t>WB02-INV02</t>
        </is>
      </c>
      <c r="B19" s="5" t="inlineStr">
        <is>
          <t>PV2</t>
        </is>
      </c>
      <c r="C19" s="5">
        <f>COUNTIFS(Helpers_M2e!$A$5:$A$28, A19, Helpers_M2e!$I$5:$I$28, 1) * cfg_interval_minutes</f>
        <v/>
      </c>
      <c r="D19" s="5">
        <f>COUNTIFS(Helpers_M2e!$A$5:$A$28, A19, Helpers_M2e!$Q$5:$Q$28, 1) * cfg_interval_minutes</f>
        <v/>
      </c>
      <c r="E19" s="5">
        <f>SUMPRODUCT((Helpers_M2e!$A$5:$A$28=A19)*(Helpers_M2e!$Q$5:$Q$28=1)*((Helpers_M2e!$Q$4:$Q$27=0)+(Helpers_M2e!$A$5:$A$28&lt;&gt;Helpers_M2e!$A$4:$A$27)&gt;=1))</f>
        <v/>
      </c>
      <c r="F19" s="15">
        <f>IF(C19=0, NA(), MAX(0, 100 - 100*D19/C19))</f>
        <v/>
      </c>
      <c r="G19" s="5">
        <f>IF(H19=1,"EMPTY",IF(C19=0,"NO_DAYLIGHT",IF(F19&lt;cfg_critical_below,"CRITICAL",IF(F19&lt;cfg_high_below,"HIGH",IF(F19&lt;cfg_medium_below,"MEDIUM",IF(F19&lt;cfg_info_below,"INFO","NORMAL"))))))</f>
        <v/>
      </c>
      <c r="H19" s="5">
        <f>IFERROR(IF(ISNUMBER(SEARCH(","&amp;2&amp;",", ","&amp;VLOOKUP(A19, EmptyPVMap!$A$5:$B$8, 2, FALSE)&amp;",")), 1, 0), 0)</f>
        <v/>
      </c>
      <c r="I19" s="5">
        <f>IF(H19=1, "EMPTY (skip)", IF(F19&gt;=cfg_info_below, "NORMAL", A19&amp;" "&amp;B19&amp;" proxy-down "&amp;D19&amp;"min/"&amp;C19&amp;"min daylight ("&amp;TEXT(F19,"0.00")&amp;"% uptime)"))</f>
        <v/>
      </c>
    </row>
    <row r="20">
      <c r="A20" s="5" t="inlineStr">
        <is>
          <t>WB02-INV02</t>
        </is>
      </c>
      <c r="B20" s="5" t="inlineStr">
        <is>
          <t>PV3</t>
        </is>
      </c>
      <c r="C20" s="5">
        <f>COUNTIFS(Helpers_M2e!$A$5:$A$28, A20, Helpers_M2e!$I$5:$I$28, 1) * cfg_interval_minutes</f>
        <v/>
      </c>
      <c r="D20" s="5">
        <f>COUNTIFS(Helpers_M2e!$A$5:$A$28, A20, Helpers_M2e!$U$5:$U$28, 1) * cfg_interval_minutes</f>
        <v/>
      </c>
      <c r="E20" s="5">
        <f>SUMPRODUCT((Helpers_M2e!$A$5:$A$28=A20)*(Helpers_M2e!$U$5:$U$28=1)*((Helpers_M2e!$U$4:$U$27=0)+(Helpers_M2e!$A$5:$A$28&lt;&gt;Helpers_M2e!$A$4:$A$27)&gt;=1))</f>
        <v/>
      </c>
      <c r="F20" s="15">
        <f>IF(C20=0, NA(), MAX(0, 100 - 100*D20/C20))</f>
        <v/>
      </c>
      <c r="G20" s="5">
        <f>IF(H20=1,"EMPTY",IF(C20=0,"NO_DAYLIGHT",IF(F20&lt;cfg_critical_below,"CRITICAL",IF(F20&lt;cfg_high_below,"HIGH",IF(F20&lt;cfg_medium_below,"MEDIUM",IF(F20&lt;cfg_info_below,"INFO","NORMAL"))))))</f>
        <v/>
      </c>
      <c r="H20" s="5">
        <f>IFERROR(IF(ISNUMBER(SEARCH(","&amp;3&amp;",", ","&amp;VLOOKUP(A20, EmptyPVMap!$A$5:$B$8, 2, FALSE)&amp;",")), 1, 0), 0)</f>
        <v/>
      </c>
      <c r="I20" s="5">
        <f>IF(H20=1, "EMPTY (skip)", IF(F20&gt;=cfg_info_below, "NORMAL", A20&amp;" "&amp;B20&amp;" proxy-down "&amp;D20&amp;"min/"&amp;C20&amp;"min daylight ("&amp;TEXT(F20,"0.00")&amp;"% uptime)"))</f>
        <v/>
      </c>
    </row>
    <row r="21">
      <c r="A21" s="5" t="inlineStr">
        <is>
          <t>WB02-INV02</t>
        </is>
      </c>
      <c r="B21" s="5" t="inlineStr">
        <is>
          <t>PV4</t>
        </is>
      </c>
      <c r="C21" s="5">
        <f>COUNTIFS(Helpers_M2e!$A$5:$A$28, A21, Helpers_M2e!$I$5:$I$28, 1) * cfg_interval_minutes</f>
        <v/>
      </c>
      <c r="D21" s="5">
        <f>COUNTIFS(Helpers_M2e!$A$5:$A$28, A21, Helpers_M2e!$Y$5:$Y$28, 1) * cfg_interval_minutes</f>
        <v/>
      </c>
      <c r="E21" s="5">
        <f>SUMPRODUCT((Helpers_M2e!$A$5:$A$28=A21)*(Helpers_M2e!$Y$5:$Y$28=1)*((Helpers_M2e!$Y$4:$Y$27=0)+(Helpers_M2e!$A$5:$A$28&lt;&gt;Helpers_M2e!$A$4:$A$27)&gt;=1))</f>
        <v/>
      </c>
      <c r="F21" s="15">
        <f>IF(C21=0, NA(), MAX(0, 100 - 100*D21/C21))</f>
        <v/>
      </c>
      <c r="G21" s="5">
        <f>IF(H21=1,"EMPTY",IF(C21=0,"NO_DAYLIGHT",IF(F21&lt;cfg_critical_below,"CRITICAL",IF(F21&lt;cfg_high_below,"HIGH",IF(F21&lt;cfg_medium_below,"MEDIUM",IF(F21&lt;cfg_info_below,"INFO","NORMAL"))))))</f>
        <v/>
      </c>
      <c r="H21" s="5">
        <f>IFERROR(IF(ISNUMBER(SEARCH(","&amp;4&amp;",", ","&amp;VLOOKUP(A21, EmptyPVMap!$A$5:$B$8, 2, FALSE)&amp;",")), 1, 0), 0)</f>
        <v/>
      </c>
      <c r="I21" s="5">
        <f>IF(H21=1, "EMPTY (skip)", IF(F21&gt;=cfg_info_below, "NORMAL", A21&amp;" "&amp;B21&amp;" proxy-down "&amp;D21&amp;"min/"&amp;C21&amp;"min daylight ("&amp;TEXT(F21,"0.00")&amp;"% uptime)"))</f>
        <v/>
      </c>
    </row>
    <row r="22">
      <c r="A22" s="5" t="inlineStr">
        <is>
          <t>WB02-INV02</t>
        </is>
      </c>
      <c r="B22" s="5" t="inlineStr">
        <is>
          <t>PV5</t>
        </is>
      </c>
      <c r="C22" s="5">
        <f>COUNTIFS(Helpers_M2e!$A$5:$A$28, A22, Helpers_M2e!$I$5:$I$28, 1) * cfg_interval_minutes</f>
        <v/>
      </c>
      <c r="D22" s="5">
        <f>COUNTIFS(Helpers_M2e!$A$5:$A$28, A22, Helpers_M2e!$AC$5:$AC$28, 1) * cfg_interval_minutes</f>
        <v/>
      </c>
      <c r="E22" s="5">
        <f>SUMPRODUCT((Helpers_M2e!$A$5:$A$28=A22)*(Helpers_M2e!$AC$5:$AC$28=1)*((Helpers_M2e!$AC$4:$AC$27=0)+(Helpers_M2e!$A$5:$A$28&lt;&gt;Helpers_M2e!$A$4:$A$27)&gt;=1))</f>
        <v/>
      </c>
      <c r="F22" s="15">
        <f>IF(C22=0, NA(), MAX(0, 100 - 100*D22/C22))</f>
        <v/>
      </c>
      <c r="G22" s="5">
        <f>IF(H22=1,"EMPTY",IF(C22=0,"NO_DAYLIGHT",IF(F22&lt;cfg_critical_below,"CRITICAL",IF(F22&lt;cfg_high_below,"HIGH",IF(F22&lt;cfg_medium_below,"MEDIUM",IF(F22&lt;cfg_info_below,"INFO","NORMAL"))))))</f>
        <v/>
      </c>
      <c r="H22" s="5">
        <f>IFERROR(IF(ISNUMBER(SEARCH(","&amp;5&amp;",", ","&amp;VLOOKUP(A22, EmptyPVMap!$A$5:$B$8, 2, FALSE)&amp;",")), 1, 0), 0)</f>
        <v/>
      </c>
      <c r="I22" s="5">
        <f>IF(H22=1, "EMPTY (skip)", IF(F22&gt;=cfg_info_below, "NORMAL", A22&amp;" "&amp;B22&amp;" proxy-down "&amp;D22&amp;"min/"&amp;C22&amp;"min daylight ("&amp;TEXT(F22,"0.00")&amp;"% uptime)"))</f>
        <v/>
      </c>
    </row>
  </sheetData>
  <conditionalFormatting sqref="G6:G7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"INFO"</formula>
    </cfRule>
    <cfRule type="cellIs" priority="5" operator="equal" dxfId="4">
      <formula>"NORMAL"</formula>
    </cfRule>
    <cfRule type="cellIs" priority="6" operator="equal" dxfId="5">
      <formula>"EMPTY"</formula>
    </cfRule>
    <cfRule type="cellIs" priority="7" operator="equal" dxfId="6">
      <formula>"NO_DAYLIGHT"</formula>
    </cfRule>
  </conditionalFormatting>
  <conditionalFormatting sqref="G13:G22">
    <cfRule type="cellIs" priority="8" operator="equal" dxfId="0">
      <formula>"CRITICAL"</formula>
    </cfRule>
    <cfRule type="cellIs" priority="9" operator="equal" dxfId="1">
      <formula>"HIGH"</formula>
    </cfRule>
    <cfRule type="cellIs" priority="10" operator="equal" dxfId="2">
      <formula>"MEDIUM"</formula>
    </cfRule>
    <cfRule type="cellIs" priority="11" operator="equal" dxfId="3">
      <formula>"INFO"</formula>
    </cfRule>
    <cfRule type="cellIs" priority="12" operator="equal" dxfId="4">
      <formula>"NORMAL"</formula>
    </cfRule>
    <cfRule type="cellIs" priority="13" operator="equal" dxfId="5">
      <formula>"EMPTY"</formula>
    </cfRule>
    <cfRule type="cellIs" priority="14" operator="equal" dxfId="6">
      <formula>"NO_DAYLIGHT"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2" customWidth="1" min="4" max="4"/>
    <col width="16" customWidth="1" min="5" max="5"/>
    <col width="14" customWidth="1" min="6" max="6"/>
    <col width="10" customWidth="1" min="7" max="7"/>
    <col width="17" customWidth="1" min="8" max="8"/>
  </cols>
  <sheetData>
    <row r="1">
      <c r="A1" s="7" t="inlineStr">
        <is>
          <t>M2e_AllStrings — tabel rapi per (inverter × PV string) — replika output Python</t>
        </is>
      </c>
    </row>
    <row r="2">
      <c r="A2" s="2" t="inlineStr">
        <is>
          <t>Setiap baris = 1 PV slot. status ∈ {EMPTY, NO_DAYLIGHT, NORMAL, INFO, MEDIUM, HIGH, CRITICAL}. Pull dari M2e_Availability Section B.</t>
        </is>
      </c>
    </row>
    <row r="4">
      <c r="A4" s="10" t="inlineStr">
        <is>
          <t>inverter_id</t>
        </is>
      </c>
      <c r="B4" s="10" t="inlineStr">
        <is>
          <t>pv_string</t>
        </is>
      </c>
      <c r="C4" s="10" t="inlineStr">
        <is>
          <t>status</t>
        </is>
      </c>
      <c r="D4" s="10" t="inlineStr">
        <is>
          <t>uptime_pct</t>
        </is>
      </c>
      <c r="E4" s="10" t="inlineStr">
        <is>
          <t>downtime_minutes</t>
        </is>
      </c>
      <c r="F4" s="10" t="inlineStr">
        <is>
          <t>event_minutes</t>
        </is>
      </c>
      <c r="G4" s="10" t="inlineStr">
        <is>
          <t>n_events</t>
        </is>
      </c>
      <c r="H4" s="10" t="inlineStr">
        <is>
          <t>daylight_minutes</t>
        </is>
      </c>
    </row>
    <row r="5">
      <c r="A5" s="5">
        <f>M2e_Availability!A13</f>
        <v/>
      </c>
      <c r="B5" s="5">
        <f>M2e_Availability!B13</f>
        <v/>
      </c>
      <c r="C5" s="5">
        <f>M2e_Availability!G13</f>
        <v/>
      </c>
      <c r="D5" s="15">
        <f>IF(OR(M2e_Availability!G13="EMPTY",M2e_Availability!G13="NO_DAYLIGHT"),"",M2e_Availability!F13)</f>
        <v/>
      </c>
      <c r="E5" s="5">
        <f>IF(OR(M2e_Availability!G13="EMPTY",M2e_Availability!G13="NO_DAYLIGHT"),"",M2e_Availability!D13)</f>
        <v/>
      </c>
      <c r="F5" s="5">
        <f>IF(OR(M2e_Availability!G13="EMPTY",M2e_Availability!G13="NO_DAYLIGHT"),"",M2e_Availability!D13)</f>
        <v/>
      </c>
      <c r="G5" s="5">
        <f>IF(M2e_Availability!G13="EMPTY",0,M2e_Availability!E13)</f>
        <v/>
      </c>
      <c r="H5" s="5">
        <f>M2e_Availability!C13</f>
        <v/>
      </c>
    </row>
    <row r="6">
      <c r="A6" s="5">
        <f>M2e_Availability!A14</f>
        <v/>
      </c>
      <c r="B6" s="5">
        <f>M2e_Availability!B14</f>
        <v/>
      </c>
      <c r="C6" s="5">
        <f>M2e_Availability!G14</f>
        <v/>
      </c>
      <c r="D6" s="15">
        <f>IF(OR(M2e_Availability!G14="EMPTY",M2e_Availability!G14="NO_DAYLIGHT"),"",M2e_Availability!F14)</f>
        <v/>
      </c>
      <c r="E6" s="5">
        <f>IF(OR(M2e_Availability!G14="EMPTY",M2e_Availability!G14="NO_DAYLIGHT"),"",M2e_Availability!D14)</f>
        <v/>
      </c>
      <c r="F6" s="5">
        <f>IF(OR(M2e_Availability!G14="EMPTY",M2e_Availability!G14="NO_DAYLIGHT"),"",M2e_Availability!D14)</f>
        <v/>
      </c>
      <c r="G6" s="5">
        <f>IF(M2e_Availability!G14="EMPTY",0,M2e_Availability!E14)</f>
        <v/>
      </c>
      <c r="H6" s="5">
        <f>M2e_Availability!C14</f>
        <v/>
      </c>
    </row>
    <row r="7">
      <c r="A7" s="5">
        <f>M2e_Availability!A15</f>
        <v/>
      </c>
      <c r="B7" s="5">
        <f>M2e_Availability!B15</f>
        <v/>
      </c>
      <c r="C7" s="5">
        <f>M2e_Availability!G15</f>
        <v/>
      </c>
      <c r="D7" s="15">
        <f>IF(OR(M2e_Availability!G15="EMPTY",M2e_Availability!G15="NO_DAYLIGHT"),"",M2e_Availability!F15)</f>
        <v/>
      </c>
      <c r="E7" s="5">
        <f>IF(OR(M2e_Availability!G15="EMPTY",M2e_Availability!G15="NO_DAYLIGHT"),"",M2e_Availability!D15)</f>
        <v/>
      </c>
      <c r="F7" s="5">
        <f>IF(OR(M2e_Availability!G15="EMPTY",M2e_Availability!G15="NO_DAYLIGHT"),"",M2e_Availability!D15)</f>
        <v/>
      </c>
      <c r="G7" s="5">
        <f>IF(M2e_Availability!G15="EMPTY",0,M2e_Availability!E15)</f>
        <v/>
      </c>
      <c r="H7" s="5">
        <f>M2e_Availability!C15</f>
        <v/>
      </c>
    </row>
    <row r="8">
      <c r="A8" s="5">
        <f>M2e_Availability!A16</f>
        <v/>
      </c>
      <c r="B8" s="5">
        <f>M2e_Availability!B16</f>
        <v/>
      </c>
      <c r="C8" s="5">
        <f>M2e_Availability!G16</f>
        <v/>
      </c>
      <c r="D8" s="15">
        <f>IF(OR(M2e_Availability!G16="EMPTY",M2e_Availability!G16="NO_DAYLIGHT"),"",M2e_Availability!F16)</f>
        <v/>
      </c>
      <c r="E8" s="5">
        <f>IF(OR(M2e_Availability!G16="EMPTY",M2e_Availability!G16="NO_DAYLIGHT"),"",M2e_Availability!D16)</f>
        <v/>
      </c>
      <c r="F8" s="5">
        <f>IF(OR(M2e_Availability!G16="EMPTY",M2e_Availability!G16="NO_DAYLIGHT"),"",M2e_Availability!D16)</f>
        <v/>
      </c>
      <c r="G8" s="5">
        <f>IF(M2e_Availability!G16="EMPTY",0,M2e_Availability!E16)</f>
        <v/>
      </c>
      <c r="H8" s="5">
        <f>M2e_Availability!C16</f>
        <v/>
      </c>
    </row>
    <row r="9">
      <c r="A9" s="5">
        <f>M2e_Availability!A17</f>
        <v/>
      </c>
      <c r="B9" s="5">
        <f>M2e_Availability!B17</f>
        <v/>
      </c>
      <c r="C9" s="5">
        <f>M2e_Availability!G17</f>
        <v/>
      </c>
      <c r="D9" s="15">
        <f>IF(OR(M2e_Availability!G17="EMPTY",M2e_Availability!G17="NO_DAYLIGHT"),"",M2e_Availability!F17)</f>
        <v/>
      </c>
      <c r="E9" s="5">
        <f>IF(OR(M2e_Availability!G17="EMPTY",M2e_Availability!G17="NO_DAYLIGHT"),"",M2e_Availability!D17)</f>
        <v/>
      </c>
      <c r="F9" s="5">
        <f>IF(OR(M2e_Availability!G17="EMPTY",M2e_Availability!G17="NO_DAYLIGHT"),"",M2e_Availability!D17)</f>
        <v/>
      </c>
      <c r="G9" s="5">
        <f>IF(M2e_Availability!G17="EMPTY",0,M2e_Availability!E17)</f>
        <v/>
      </c>
      <c r="H9" s="5">
        <f>M2e_Availability!C17</f>
        <v/>
      </c>
    </row>
    <row r="10">
      <c r="A10" s="5">
        <f>M2e_Availability!A18</f>
        <v/>
      </c>
      <c r="B10" s="5">
        <f>M2e_Availability!B18</f>
        <v/>
      </c>
      <c r="C10" s="5">
        <f>M2e_Availability!G18</f>
        <v/>
      </c>
      <c r="D10" s="15">
        <f>IF(OR(M2e_Availability!G18="EMPTY",M2e_Availability!G18="NO_DAYLIGHT"),"",M2e_Availability!F18)</f>
        <v/>
      </c>
      <c r="E10" s="5">
        <f>IF(OR(M2e_Availability!G18="EMPTY",M2e_Availability!G18="NO_DAYLIGHT"),"",M2e_Availability!D18)</f>
        <v/>
      </c>
      <c r="F10" s="5">
        <f>IF(OR(M2e_Availability!G18="EMPTY",M2e_Availability!G18="NO_DAYLIGHT"),"",M2e_Availability!D18)</f>
        <v/>
      </c>
      <c r="G10" s="5">
        <f>IF(M2e_Availability!G18="EMPTY",0,M2e_Availability!E18)</f>
        <v/>
      </c>
      <c r="H10" s="5">
        <f>M2e_Availability!C18</f>
        <v/>
      </c>
    </row>
    <row r="11">
      <c r="A11" s="5">
        <f>M2e_Availability!A19</f>
        <v/>
      </c>
      <c r="B11" s="5">
        <f>M2e_Availability!B19</f>
        <v/>
      </c>
      <c r="C11" s="5">
        <f>M2e_Availability!G19</f>
        <v/>
      </c>
      <c r="D11" s="15">
        <f>IF(OR(M2e_Availability!G19="EMPTY",M2e_Availability!G19="NO_DAYLIGHT"),"",M2e_Availability!F19)</f>
        <v/>
      </c>
      <c r="E11" s="5">
        <f>IF(OR(M2e_Availability!G19="EMPTY",M2e_Availability!G19="NO_DAYLIGHT"),"",M2e_Availability!D19)</f>
        <v/>
      </c>
      <c r="F11" s="5">
        <f>IF(OR(M2e_Availability!G19="EMPTY",M2e_Availability!G19="NO_DAYLIGHT"),"",M2e_Availability!D19)</f>
        <v/>
      </c>
      <c r="G11" s="5">
        <f>IF(M2e_Availability!G19="EMPTY",0,M2e_Availability!E19)</f>
        <v/>
      </c>
      <c r="H11" s="5">
        <f>M2e_Availability!C19</f>
        <v/>
      </c>
    </row>
    <row r="12">
      <c r="A12" s="5">
        <f>M2e_Availability!A20</f>
        <v/>
      </c>
      <c r="B12" s="5">
        <f>M2e_Availability!B20</f>
        <v/>
      </c>
      <c r="C12" s="5">
        <f>M2e_Availability!G20</f>
        <v/>
      </c>
      <c r="D12" s="15">
        <f>IF(OR(M2e_Availability!G20="EMPTY",M2e_Availability!G20="NO_DAYLIGHT"),"",M2e_Availability!F20)</f>
        <v/>
      </c>
      <c r="E12" s="5">
        <f>IF(OR(M2e_Availability!G20="EMPTY",M2e_Availability!G20="NO_DAYLIGHT"),"",M2e_Availability!D20)</f>
        <v/>
      </c>
      <c r="F12" s="5">
        <f>IF(OR(M2e_Availability!G20="EMPTY",M2e_Availability!G20="NO_DAYLIGHT"),"",M2e_Availability!D20)</f>
        <v/>
      </c>
      <c r="G12" s="5">
        <f>IF(M2e_Availability!G20="EMPTY",0,M2e_Availability!E20)</f>
        <v/>
      </c>
      <c r="H12" s="5">
        <f>M2e_Availability!C20</f>
        <v/>
      </c>
    </row>
    <row r="13">
      <c r="A13" s="5">
        <f>M2e_Availability!A21</f>
        <v/>
      </c>
      <c r="B13" s="5">
        <f>M2e_Availability!B21</f>
        <v/>
      </c>
      <c r="C13" s="5">
        <f>M2e_Availability!G21</f>
        <v/>
      </c>
      <c r="D13" s="15">
        <f>IF(OR(M2e_Availability!G21="EMPTY",M2e_Availability!G21="NO_DAYLIGHT"),"",M2e_Availability!F21)</f>
        <v/>
      </c>
      <c r="E13" s="5">
        <f>IF(OR(M2e_Availability!G21="EMPTY",M2e_Availability!G21="NO_DAYLIGHT"),"",M2e_Availability!D21)</f>
        <v/>
      </c>
      <c r="F13" s="5">
        <f>IF(OR(M2e_Availability!G21="EMPTY",M2e_Availability!G21="NO_DAYLIGHT"),"",M2e_Availability!D21)</f>
        <v/>
      </c>
      <c r="G13" s="5">
        <f>IF(M2e_Availability!G21="EMPTY",0,M2e_Availability!E21)</f>
        <v/>
      </c>
      <c r="H13" s="5">
        <f>M2e_Availability!C21</f>
        <v/>
      </c>
    </row>
    <row r="14">
      <c r="A14" s="5">
        <f>M2e_Availability!A22</f>
        <v/>
      </c>
      <c r="B14" s="5">
        <f>M2e_Availability!B22</f>
        <v/>
      </c>
      <c r="C14" s="5">
        <f>M2e_Availability!G22</f>
        <v/>
      </c>
      <c r="D14" s="15">
        <f>IF(OR(M2e_Availability!G22="EMPTY",M2e_Availability!G22="NO_DAYLIGHT"),"",M2e_Availability!F22)</f>
        <v/>
      </c>
      <c r="E14" s="5">
        <f>IF(OR(M2e_Availability!G22="EMPTY",M2e_Availability!G22="NO_DAYLIGHT"),"",M2e_Availability!D22)</f>
        <v/>
      </c>
      <c r="F14" s="5">
        <f>IF(OR(M2e_Availability!G22="EMPTY",M2e_Availability!G22="NO_DAYLIGHT"),"",M2e_Availability!D22)</f>
        <v/>
      </c>
      <c r="G14" s="5">
        <f>IF(M2e_Availability!G22="EMPTY",0,M2e_Availability!E22)</f>
        <v/>
      </c>
      <c r="H14" s="5">
        <f>M2e_Availability!C22</f>
        <v/>
      </c>
    </row>
  </sheetData>
  <conditionalFormatting sqref="C5:C14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"INFO"</formula>
    </cfRule>
    <cfRule type="cellIs" priority="5" operator="equal" dxfId="4">
      <formula>"NORMAL"</formula>
    </cfRule>
    <cfRule type="cellIs" priority="6" operator="equal" dxfId="5">
      <formula>"EMPTY"</formula>
    </cfRule>
    <cfRule type="cellIs" priority="7" operator="equal" dxfId="6">
      <formula>"NO_DAYLIGHT"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0" customWidth="1" min="4" max="4"/>
    <col width="13" customWidth="1" min="5" max="5"/>
    <col width="18" customWidth="1" min="6" max="6"/>
    <col width="12" customWidth="1" min="7" max="7"/>
    <col width="70" customWidth="1" min="8" max="8"/>
  </cols>
  <sheetData>
    <row r="1">
      <c r="A1" s="7" t="inlineStr">
        <is>
          <t>Findings_Summary — agregat semua finding NON-NORMAL &amp; NON-EMPTY</t>
        </is>
      </c>
    </row>
    <row r="2">
      <c r="A2" s="2" t="inlineStr">
        <is>
          <t>Saat ini hanya M2e. Akan tumbuh: M2b, M2a, IsolationForest, dst. Setiap iterasi tambah sheet detector → tambah baris di sini.</t>
        </is>
      </c>
    </row>
    <row r="4">
      <c r="A4" s="10" t="inlineStr">
        <is>
          <t>Source Sheet</t>
        </is>
      </c>
      <c r="B4" s="10" t="inlineStr">
        <is>
          <t>sub_module</t>
        </is>
      </c>
      <c r="C4" s="10" t="inlineStr">
        <is>
          <t>inverter_id</t>
        </is>
      </c>
      <c r="D4" s="10" t="inlineStr">
        <is>
          <t>pv_string</t>
        </is>
      </c>
      <c r="E4" s="10" t="inlineStr">
        <is>
          <t>severity</t>
        </is>
      </c>
      <c r="F4" s="10" t="inlineStr">
        <is>
          <t>value (uptime_pct)</t>
        </is>
      </c>
      <c r="G4" s="10" t="inlineStr">
        <is>
          <t>threshold</t>
        </is>
      </c>
      <c r="H4" s="10" t="inlineStr">
        <is>
          <t>message</t>
        </is>
      </c>
    </row>
    <row r="5">
      <c r="A5" s="5" t="inlineStr">
        <is>
          <t>M2e_Availability!A (inverter)</t>
        </is>
      </c>
      <c r="B5" s="5" t="inlineStr">
        <is>
          <t>M2e_inverter</t>
        </is>
      </c>
      <c r="C5" s="5">
        <f>M2e_Availability!A6</f>
        <v/>
      </c>
      <c r="D5" s="5" t="inlineStr"/>
      <c r="E5" s="5">
        <f>M2e_Availability!G6</f>
        <v/>
      </c>
      <c r="F5" s="15">
        <f>M2e_Availability!E6</f>
        <v/>
      </c>
      <c r="G5" s="5">
        <f>M2e_Availability!H6</f>
        <v/>
      </c>
      <c r="H5" s="5">
        <f>M2e_Availability!I6</f>
        <v/>
      </c>
    </row>
    <row r="6">
      <c r="A6" s="5" t="inlineStr">
        <is>
          <t>M2e_Availability!A (inverter)</t>
        </is>
      </c>
      <c r="B6" s="5" t="inlineStr">
        <is>
          <t>M2e_inverter</t>
        </is>
      </c>
      <c r="C6" s="5">
        <f>M2e_Availability!A7</f>
        <v/>
      </c>
      <c r="D6" s="5" t="inlineStr"/>
      <c r="E6" s="5">
        <f>M2e_Availability!G7</f>
        <v/>
      </c>
      <c r="F6" s="15">
        <f>M2e_Availability!E7</f>
        <v/>
      </c>
      <c r="G6" s="5">
        <f>M2e_Availability!H7</f>
        <v/>
      </c>
      <c r="H6" s="5">
        <f>M2e_Availability!I7</f>
        <v/>
      </c>
    </row>
    <row r="7">
      <c r="A7" s="5" t="inlineStr">
        <is>
          <t>M2e_Availability!B (string proxy)</t>
        </is>
      </c>
      <c r="B7" s="5" t="inlineStr">
        <is>
          <t>M2e_string_proxy</t>
        </is>
      </c>
      <c r="C7" s="5">
        <f>M2e_Availability!A13</f>
        <v/>
      </c>
      <c r="D7" s="5">
        <f>M2e_Availability!B13</f>
        <v/>
      </c>
      <c r="E7" s="5">
        <f>M2e_Availability!G13</f>
        <v/>
      </c>
      <c r="F7" s="15">
        <f>M2e_Availability!F13</f>
        <v/>
      </c>
      <c r="G7" s="5" t="inlineStr">
        <is>
          <t>(see Config)</t>
        </is>
      </c>
      <c r="H7" s="5">
        <f>M2e_Availability!I13</f>
        <v/>
      </c>
    </row>
    <row r="8">
      <c r="A8" s="5" t="inlineStr">
        <is>
          <t>M2e_Availability!B (string proxy)</t>
        </is>
      </c>
      <c r="B8" s="5" t="inlineStr">
        <is>
          <t>M2e_string_proxy</t>
        </is>
      </c>
      <c r="C8" s="5">
        <f>M2e_Availability!A14</f>
        <v/>
      </c>
      <c r="D8" s="5">
        <f>M2e_Availability!B14</f>
        <v/>
      </c>
      <c r="E8" s="5">
        <f>M2e_Availability!G14</f>
        <v/>
      </c>
      <c r="F8" s="15">
        <f>M2e_Availability!F14</f>
        <v/>
      </c>
      <c r="G8" s="5" t="inlineStr">
        <is>
          <t>(see Config)</t>
        </is>
      </c>
      <c r="H8" s="5">
        <f>M2e_Availability!I14</f>
        <v/>
      </c>
    </row>
    <row r="9">
      <c r="A9" s="5" t="inlineStr">
        <is>
          <t>M2e_Availability!B (string proxy)</t>
        </is>
      </c>
      <c r="B9" s="5" t="inlineStr">
        <is>
          <t>M2e_string_proxy</t>
        </is>
      </c>
      <c r="C9" s="5">
        <f>M2e_Availability!A15</f>
        <v/>
      </c>
      <c r="D9" s="5">
        <f>M2e_Availability!B15</f>
        <v/>
      </c>
      <c r="E9" s="5">
        <f>M2e_Availability!G15</f>
        <v/>
      </c>
      <c r="F9" s="15">
        <f>M2e_Availability!F15</f>
        <v/>
      </c>
      <c r="G9" s="5" t="inlineStr">
        <is>
          <t>(see Config)</t>
        </is>
      </c>
      <c r="H9" s="5">
        <f>M2e_Availability!I15</f>
        <v/>
      </c>
    </row>
    <row r="10">
      <c r="A10" s="5" t="inlineStr">
        <is>
          <t>M2e_Availability!B (string proxy)</t>
        </is>
      </c>
      <c r="B10" s="5" t="inlineStr">
        <is>
          <t>M2e_string_proxy</t>
        </is>
      </c>
      <c r="C10" s="5">
        <f>M2e_Availability!A16</f>
        <v/>
      </c>
      <c r="D10" s="5">
        <f>M2e_Availability!B16</f>
        <v/>
      </c>
      <c r="E10" s="5">
        <f>M2e_Availability!G16</f>
        <v/>
      </c>
      <c r="F10" s="15">
        <f>M2e_Availability!F16</f>
        <v/>
      </c>
      <c r="G10" s="5" t="inlineStr">
        <is>
          <t>(see Config)</t>
        </is>
      </c>
      <c r="H10" s="5">
        <f>M2e_Availability!I16</f>
        <v/>
      </c>
    </row>
    <row r="11">
      <c r="A11" s="5" t="inlineStr">
        <is>
          <t>M2e_Availability!B (string proxy)</t>
        </is>
      </c>
      <c r="B11" s="5" t="inlineStr">
        <is>
          <t>M2e_string_proxy</t>
        </is>
      </c>
      <c r="C11" s="5">
        <f>M2e_Availability!A17</f>
        <v/>
      </c>
      <c r="D11" s="5">
        <f>M2e_Availability!B17</f>
        <v/>
      </c>
      <c r="E11" s="5">
        <f>M2e_Availability!G17</f>
        <v/>
      </c>
      <c r="F11" s="15">
        <f>M2e_Availability!F17</f>
        <v/>
      </c>
      <c r="G11" s="5" t="inlineStr">
        <is>
          <t>(see Config)</t>
        </is>
      </c>
      <c r="H11" s="5">
        <f>M2e_Availability!I17</f>
        <v/>
      </c>
    </row>
    <row r="12">
      <c r="A12" s="5" t="inlineStr">
        <is>
          <t>M2e_Availability!B (string proxy)</t>
        </is>
      </c>
      <c r="B12" s="5" t="inlineStr">
        <is>
          <t>M2e_string_proxy</t>
        </is>
      </c>
      <c r="C12" s="5">
        <f>M2e_Availability!A18</f>
        <v/>
      </c>
      <c r="D12" s="5">
        <f>M2e_Availability!B18</f>
        <v/>
      </c>
      <c r="E12" s="5">
        <f>M2e_Availability!G18</f>
        <v/>
      </c>
      <c r="F12" s="15">
        <f>M2e_Availability!F18</f>
        <v/>
      </c>
      <c r="G12" s="5" t="inlineStr">
        <is>
          <t>(see Config)</t>
        </is>
      </c>
      <c r="H12" s="5">
        <f>M2e_Availability!I18</f>
        <v/>
      </c>
    </row>
    <row r="13">
      <c r="A13" s="5" t="inlineStr">
        <is>
          <t>M2e_Availability!B (string proxy)</t>
        </is>
      </c>
      <c r="B13" s="5" t="inlineStr">
        <is>
          <t>M2e_string_proxy</t>
        </is>
      </c>
      <c r="C13" s="5">
        <f>M2e_Availability!A19</f>
        <v/>
      </c>
      <c r="D13" s="5">
        <f>M2e_Availability!B19</f>
        <v/>
      </c>
      <c r="E13" s="5">
        <f>M2e_Availability!G19</f>
        <v/>
      </c>
      <c r="F13" s="15">
        <f>M2e_Availability!F19</f>
        <v/>
      </c>
      <c r="G13" s="5" t="inlineStr">
        <is>
          <t>(see Config)</t>
        </is>
      </c>
      <c r="H13" s="5">
        <f>M2e_Availability!I19</f>
        <v/>
      </c>
    </row>
    <row r="14">
      <c r="A14" s="5" t="inlineStr">
        <is>
          <t>M2e_Availability!B (string proxy)</t>
        </is>
      </c>
      <c r="B14" s="5" t="inlineStr">
        <is>
          <t>M2e_string_proxy</t>
        </is>
      </c>
      <c r="C14" s="5">
        <f>M2e_Availability!A20</f>
        <v/>
      </c>
      <c r="D14" s="5">
        <f>M2e_Availability!B20</f>
        <v/>
      </c>
      <c r="E14" s="5">
        <f>M2e_Availability!G20</f>
        <v/>
      </c>
      <c r="F14" s="15">
        <f>M2e_Availability!F20</f>
        <v/>
      </c>
      <c r="G14" s="5" t="inlineStr">
        <is>
          <t>(see Config)</t>
        </is>
      </c>
      <c r="H14" s="5">
        <f>M2e_Availability!I20</f>
        <v/>
      </c>
    </row>
    <row r="15">
      <c r="A15" s="5" t="inlineStr">
        <is>
          <t>M2e_Availability!B (string proxy)</t>
        </is>
      </c>
      <c r="B15" s="5" t="inlineStr">
        <is>
          <t>M2e_string_proxy</t>
        </is>
      </c>
      <c r="C15" s="5">
        <f>M2e_Availability!A21</f>
        <v/>
      </c>
      <c r="D15" s="5">
        <f>M2e_Availability!B21</f>
        <v/>
      </c>
      <c r="E15" s="5">
        <f>M2e_Availability!G21</f>
        <v/>
      </c>
      <c r="F15" s="15">
        <f>M2e_Availability!F21</f>
        <v/>
      </c>
      <c r="G15" s="5" t="inlineStr">
        <is>
          <t>(see Config)</t>
        </is>
      </c>
      <c r="H15" s="5">
        <f>M2e_Availability!I21</f>
        <v/>
      </c>
    </row>
    <row r="16">
      <c r="A16" s="5" t="inlineStr">
        <is>
          <t>M2e_Availability!B (string proxy)</t>
        </is>
      </c>
      <c r="B16" s="5" t="inlineStr">
        <is>
          <t>M2e_string_proxy</t>
        </is>
      </c>
      <c r="C16" s="5">
        <f>M2e_Availability!A22</f>
        <v/>
      </c>
      <c r="D16" s="5">
        <f>M2e_Availability!B22</f>
        <v/>
      </c>
      <c r="E16" s="5">
        <f>M2e_Availability!G22</f>
        <v/>
      </c>
      <c r="F16" s="15">
        <f>M2e_Availability!F22</f>
        <v/>
      </c>
      <c r="G16" s="5" t="inlineStr">
        <is>
          <t>(see Config)</t>
        </is>
      </c>
      <c r="H16" s="5">
        <f>M2e_Availability!I22</f>
        <v/>
      </c>
    </row>
    <row r="17">
      <c r="A17" s="14" t="inlineStr">
        <is>
          <t>--- M2b PeerZScore ---</t>
        </is>
      </c>
    </row>
    <row r="18">
      <c r="A18" s="5" t="inlineStr">
        <is>
          <t>M2b_PeerZScore!C</t>
        </is>
      </c>
      <c r="B18" s="5" t="inlineStr">
        <is>
          <t>M2b_peer_zscore</t>
        </is>
      </c>
      <c r="C18" s="5" t="inlineStr">
        <is>
          <t>WB05-INV05</t>
        </is>
      </c>
      <c r="D18" s="5" t="inlineStr">
        <is>
          <t>PV1</t>
        </is>
      </c>
      <c r="E18" s="5">
        <f>M2b_PeerZScore!I22</f>
        <v/>
      </c>
      <c r="F18" s="15">
        <f>M2b_PeerZScore!D22</f>
        <v/>
      </c>
      <c r="G18" s="5">
        <f>cfg_z_threshold</f>
        <v/>
      </c>
      <c r="H18" s="5">
        <f>M2b_PeerZScore!K22</f>
        <v/>
      </c>
    </row>
    <row r="19">
      <c r="A19" s="5" t="inlineStr">
        <is>
          <t>M2b_PeerZScore!C</t>
        </is>
      </c>
      <c r="B19" s="5" t="inlineStr">
        <is>
          <t>M2b_peer_zscore</t>
        </is>
      </c>
      <c r="C19" s="5" t="inlineStr">
        <is>
          <t>WB05-INV05</t>
        </is>
      </c>
      <c r="D19" s="5" t="inlineStr">
        <is>
          <t>PV2</t>
        </is>
      </c>
      <c r="E19" s="5">
        <f>M2b_PeerZScore!I23</f>
        <v/>
      </c>
      <c r="F19" s="15">
        <f>M2b_PeerZScore!D23</f>
        <v/>
      </c>
      <c r="G19" s="5">
        <f>cfg_z_threshold</f>
        <v/>
      </c>
      <c r="H19" s="5">
        <f>M2b_PeerZScore!K23</f>
        <v/>
      </c>
    </row>
    <row r="20">
      <c r="A20" s="5" t="inlineStr">
        <is>
          <t>M2b_PeerZScore!C</t>
        </is>
      </c>
      <c r="B20" s="5" t="inlineStr">
        <is>
          <t>M2b_peer_zscore</t>
        </is>
      </c>
      <c r="C20" s="5" t="inlineStr">
        <is>
          <t>WB05-INV05</t>
        </is>
      </c>
      <c r="D20" s="5" t="inlineStr">
        <is>
          <t>PV3</t>
        </is>
      </c>
      <c r="E20" s="5">
        <f>M2b_PeerZScore!I24</f>
        <v/>
      </c>
      <c r="F20" s="15">
        <f>M2b_PeerZScore!D24</f>
        <v/>
      </c>
      <c r="G20" s="5">
        <f>cfg_z_threshold</f>
        <v/>
      </c>
      <c r="H20" s="5">
        <f>M2b_PeerZScore!K24</f>
        <v/>
      </c>
    </row>
    <row r="21">
      <c r="A21" s="5" t="inlineStr">
        <is>
          <t>M2b_PeerZScore!C</t>
        </is>
      </c>
      <c r="B21" s="5" t="inlineStr">
        <is>
          <t>M2b_peer_zscore</t>
        </is>
      </c>
      <c r="C21" s="5" t="inlineStr">
        <is>
          <t>WB05-INV05</t>
        </is>
      </c>
      <c r="D21" s="5" t="inlineStr">
        <is>
          <t>PV4</t>
        </is>
      </c>
      <c r="E21" s="5">
        <f>M2b_PeerZScore!I25</f>
        <v/>
      </c>
      <c r="F21" s="15">
        <f>M2b_PeerZScore!D25</f>
        <v/>
      </c>
      <c r="G21" s="5">
        <f>cfg_z_threshold</f>
        <v/>
      </c>
      <c r="H21" s="5">
        <f>M2b_PeerZScore!K25</f>
        <v/>
      </c>
    </row>
    <row r="22">
      <c r="A22" s="5" t="inlineStr">
        <is>
          <t>M2b_PeerZScore!C</t>
        </is>
      </c>
      <c r="B22" s="5" t="inlineStr">
        <is>
          <t>M2b_peer_zscore</t>
        </is>
      </c>
      <c r="C22" s="5" t="inlineStr">
        <is>
          <t>WB05-INV05</t>
        </is>
      </c>
      <c r="D22" s="5" t="inlineStr">
        <is>
          <t>PV5</t>
        </is>
      </c>
      <c r="E22" s="5" t="inlineStr">
        <is>
          <t>EMPTY</t>
        </is>
      </c>
      <c r="F22" s="5" t="inlineStr">
        <is>
          <t>-</t>
        </is>
      </c>
      <c r="G22" s="5" t="inlineStr">
        <is>
          <t>-</t>
        </is>
      </c>
      <c r="H22" s="5" t="inlineStr">
        <is>
          <t>-</t>
        </is>
      </c>
    </row>
  </sheetData>
  <autoFilter ref="A4:H21"/>
  <conditionalFormatting sqref="E5:E16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"INFO"</formula>
    </cfRule>
    <cfRule type="cellIs" priority="5" operator="equal" dxfId="4">
      <formula>"NORMAL"</formula>
    </cfRule>
    <cfRule type="cellIs" priority="6" operator="equal" dxfId="5">
      <formula>"EMPTY"</formula>
    </cfRule>
    <cfRule type="cellIs" priority="7" operator="equal" dxfId="6">
      <formula>"NO_DAYLIGHT"</formula>
    </cfRule>
  </conditionalFormatting>
  <conditionalFormatting sqref="E5:E21">
    <cfRule type="cellIs" priority="8" operator="equal" dxfId="0">
      <formula>"CRITICAL"</formula>
    </cfRule>
    <cfRule type="cellIs" priority="9" operator="equal" dxfId="1">
      <formula>"HIGH"</formula>
    </cfRule>
    <cfRule type="cellIs" priority="10" operator="equal" dxfId="2">
      <formula>"MEDIUM"</formula>
    </cfRule>
    <cfRule type="cellIs" priority="11" operator="equal" dxfId="3">
      <formula>"INFO"</formula>
    </cfRule>
    <cfRule type="cellIs" priority="12" operator="equal" dxfId="4">
      <formula>"NORMAL"</formula>
    </cfRule>
    <cfRule type="cellIs" priority="13" operator="equal" dxfId="5">
      <formula>"EMPTY"</formula>
    </cfRule>
    <cfRule type="cellIs" priority="14" operator="equal" dxfId="0">
      <formula>"high_R"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2" customWidth="1" min="3" max="3"/>
    <col width="60" customWidth="1" min="4" max="4"/>
  </cols>
  <sheetData>
    <row r="1">
      <c r="A1" s="7" t="inlineStr">
        <is>
          <t>PanelSpec — Jinko JKM625N 78HL4-BDV (mirror config/panel_spec.yaml)</t>
        </is>
      </c>
    </row>
    <row r="2">
      <c r="A2" s="2" t="inlineStr">
        <is>
          <t>Konsumen: PanelSpec.voc_at_cell_temp + voc_string_nominal di peer_zscore.py</t>
        </is>
      </c>
    </row>
    <row r="4">
      <c r="A4" s="10" t="inlineStr">
        <is>
          <t>Parameter</t>
        </is>
      </c>
      <c r="B4" s="10" t="inlineStr">
        <is>
          <t>Value</t>
        </is>
      </c>
      <c r="C4" s="10" t="inlineStr">
        <is>
          <t>Unit</t>
        </is>
      </c>
      <c r="D4" s="10" t="inlineStr">
        <is>
          <t>Notes</t>
        </is>
      </c>
    </row>
    <row r="5">
      <c r="A5" s="5" t="inlineStr">
        <is>
          <t>panel_model</t>
        </is>
      </c>
      <c r="B5" s="9" t="inlineStr">
        <is>
          <t>Jinko JKM625N 78HL4-BDV</t>
        </is>
      </c>
      <c r="C5" s="5" t="inlineStr"/>
      <c r="D5" s="5" t="inlineStr">
        <is>
          <t>Bifacial Tiger Neo dual-glass</t>
        </is>
      </c>
    </row>
    <row r="6">
      <c r="A6" s="5" t="inlineStr">
        <is>
          <t>voc_stc_v</t>
        </is>
      </c>
      <c r="B6" s="9" t="n">
        <v>55.72</v>
      </c>
      <c r="C6" s="5" t="inlineStr">
        <is>
          <t>V</t>
        </is>
      </c>
      <c r="D6" s="5" t="inlineStr">
        <is>
          <t>Open-circuit voltage @ STC (1000 W/m², 25°C cell)</t>
        </is>
      </c>
    </row>
    <row r="7">
      <c r="A7" s="5" t="inlineStr">
        <is>
          <t>vmp_stc_v</t>
        </is>
      </c>
      <c r="B7" s="9" t="n">
        <v>46.1</v>
      </c>
      <c r="C7" s="5" t="inlineStr">
        <is>
          <t>V</t>
        </is>
      </c>
      <c r="D7" s="5" t="inlineStr">
        <is>
          <t>Max-power voltage @ STC</t>
        </is>
      </c>
    </row>
    <row r="8">
      <c r="A8" s="5" t="inlineStr">
        <is>
          <t>imp_stc_a</t>
        </is>
      </c>
      <c r="B8" s="9" t="n">
        <v>13.56</v>
      </c>
      <c r="C8" s="5" t="inlineStr">
        <is>
          <t>A</t>
        </is>
      </c>
      <c r="D8" s="5" t="inlineStr">
        <is>
          <t>Max-power current @ STC</t>
        </is>
      </c>
    </row>
    <row r="9">
      <c r="A9" s="5" t="inlineStr">
        <is>
          <t>isc_stc_a</t>
        </is>
      </c>
      <c r="B9" s="9" t="n">
        <v>14.27</v>
      </c>
      <c r="C9" s="5" t="inlineStr">
        <is>
          <t>A</t>
        </is>
      </c>
      <c r="D9" s="5" t="inlineStr">
        <is>
          <t>Short-circuit current @ STC</t>
        </is>
      </c>
    </row>
    <row r="10">
      <c r="A10" s="5" t="inlineStr">
        <is>
          <t>pmax_stc_w</t>
        </is>
      </c>
      <c r="B10" s="9" t="n">
        <v>625</v>
      </c>
      <c r="C10" s="5" t="inlineStr">
        <is>
          <t>W</t>
        </is>
      </c>
      <c r="D10" s="5" t="inlineStr">
        <is>
          <t>Max power @ STC</t>
        </is>
      </c>
    </row>
    <row r="11">
      <c r="A11" s="5" t="inlineStr">
        <is>
          <t>voc_noct_v</t>
        </is>
      </c>
      <c r="B11" s="9" t="n">
        <v>52.93</v>
      </c>
      <c r="C11" s="5" t="inlineStr">
        <is>
          <t>V</t>
        </is>
      </c>
      <c r="D11" s="5" t="inlineStr">
        <is>
          <t>Voc @ NOCT (800 W/m², 20°C ambient)</t>
        </is>
      </c>
    </row>
    <row r="12">
      <c r="A12" s="5" t="inlineStr">
        <is>
          <t>temp_coef_voc_pct_per_c</t>
        </is>
      </c>
      <c r="B12" s="9" t="n">
        <v>-0.25</v>
      </c>
      <c r="C12" s="5" t="inlineStr">
        <is>
          <t>%/°C</t>
        </is>
      </c>
      <c r="D12" s="5" t="inlineStr">
        <is>
          <t>Voc decreases when Tcell rises</t>
        </is>
      </c>
    </row>
    <row r="13">
      <c r="A13" s="5" t="inlineStr">
        <is>
          <t>temp_coef_pmax_pct_per_c</t>
        </is>
      </c>
      <c r="B13" s="9" t="n">
        <v>-0.29</v>
      </c>
      <c r="C13" s="5" t="inlineStr">
        <is>
          <t>%/°C</t>
        </is>
      </c>
      <c r="D13" s="5" t="inlineStr">
        <is>
          <t>Pmax temperature coefficient</t>
        </is>
      </c>
    </row>
    <row r="14">
      <c r="A14" s="5" t="inlineStr">
        <is>
          <t>temp_coef_isc_pct_per_c</t>
        </is>
      </c>
      <c r="B14" s="9" t="n">
        <v>0.045</v>
      </c>
      <c r="C14" s="5" t="inlineStr">
        <is>
          <t>%/°C</t>
        </is>
      </c>
      <c r="D14" s="5" t="inlineStr">
        <is>
          <t>Isc temperature coefficient (small +)</t>
        </is>
      </c>
    </row>
    <row r="15">
      <c r="A15" s="5" t="inlineStr">
        <is>
          <t>t_stc_c</t>
        </is>
      </c>
      <c r="B15" s="9" t="n">
        <v>25</v>
      </c>
      <c r="C15" s="5" t="inlineStr">
        <is>
          <t>°C</t>
        </is>
      </c>
      <c r="D15" s="5" t="inlineStr">
        <is>
          <t>STC reference temperature</t>
        </is>
      </c>
    </row>
    <row r="16">
      <c r="A16" s="5" t="inlineStr">
        <is>
          <t>max_system_voltage_v</t>
        </is>
      </c>
      <c r="B16" s="9" t="n">
        <v>1500</v>
      </c>
      <c r="C16" s="5" t="inlineStr">
        <is>
          <t>V</t>
        </is>
      </c>
      <c r="D16" s="5" t="inlineStr">
        <is>
          <t>IEC limit</t>
        </is>
      </c>
    </row>
    <row r="17">
      <c r="A17" s="5" t="inlineStr">
        <is>
          <t>default_modules_per_string</t>
        </is>
      </c>
      <c r="B17" s="9" t="n">
        <v>26</v>
      </c>
      <c r="C17" s="5" t="inlineStr">
        <is>
          <t>modules</t>
        </is>
      </c>
      <c r="D17" s="5" t="inlineStr">
        <is>
          <t>Fallback (WB03-10)</t>
        </is>
      </c>
    </row>
    <row r="18">
      <c r="A18" s="5" t="inlineStr">
        <is>
          <t>modules_per_string_WB01</t>
        </is>
      </c>
      <c r="B18" s="9" t="n">
        <v>24</v>
      </c>
      <c r="C18" s="5" t="inlineStr">
        <is>
          <t>modules</t>
        </is>
      </c>
      <c r="D18" s="5" t="inlineStr">
        <is>
          <t>PLTS-IKN WB01 layout</t>
        </is>
      </c>
    </row>
    <row r="19">
      <c r="A19" s="5" t="inlineStr">
        <is>
          <t>modules_per_string_WB02</t>
        </is>
      </c>
      <c r="B19" s="9" t="n">
        <v>24</v>
      </c>
      <c r="C19" s="5" t="inlineStr">
        <is>
          <t>modules</t>
        </is>
      </c>
      <c r="D19" s="5" t="inlineStr">
        <is>
          <t>PLTS-IKN WB02 layout</t>
        </is>
      </c>
    </row>
    <row r="20">
      <c r="A20" s="5" t="inlineStr">
        <is>
          <t>modules_per_string_WB03_10</t>
        </is>
      </c>
      <c r="B20" s="9" t="n">
        <v>26</v>
      </c>
      <c r="C20" s="5" t="inlineStr">
        <is>
          <t>modules</t>
        </is>
      </c>
      <c r="D20" s="5" t="inlineStr">
        <is>
          <t>PLTS-IKN WB03-10 layout</t>
        </is>
      </c>
    </row>
    <row r="22">
      <c r="A22" s="14" t="inlineStr">
        <is>
          <t>voc_at_cell_temp(T_cell) — Excel formula</t>
        </is>
      </c>
    </row>
    <row r="23">
      <c r="A23" t="inlineStr">
        <is>
          <t>Input: cell_temp_c →</t>
        </is>
      </c>
      <c r="B23" s="19" t="n">
        <v>30</v>
      </c>
      <c r="C23" t="inlineStr">
        <is>
          <t>°C (edit untuk recalc)</t>
        </is>
      </c>
    </row>
    <row r="24">
      <c r="A24" t="inlineStr">
        <is>
          <t>voc_per_module = voc_stc × (1 + temp_coef_voc/100 × (T - 25))</t>
        </is>
      </c>
      <c r="B24" s="20">
        <f>panel_voc_stc_v*(1+panel_temp_coef_voc_pct_per_c/100*(B23-panel_t_stc_c))</f>
        <v/>
      </c>
      <c r="C24" t="inlineStr">
        <is>
          <t>V per modul</t>
        </is>
      </c>
    </row>
    <row r="25">
      <c r="A25" t="inlineStr">
        <is>
          <t>voc_string_WB01_WB02 (24 modules)</t>
        </is>
      </c>
      <c r="B25" s="20">
        <f>B24*panel_modules_per_string_WB01</f>
        <v/>
      </c>
      <c r="C25" t="inlineStr">
        <is>
          <t>V per string (cold Voc skenario)</t>
        </is>
      </c>
    </row>
    <row r="26">
      <c r="A26" t="inlineStr">
        <is>
          <t>voc_string_WB03_WB10 (26 modules)</t>
        </is>
      </c>
      <c r="B26" s="20">
        <f>B24*panel_default_modules_per_string</f>
        <v/>
      </c>
      <c r="C26" t="inlineStr">
        <is>
          <t>V per string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7" t="inlineStr">
        <is>
          <t>Raw_Data_M2b — extended dummy data (WB05-INV05, 24 timestep)</t>
        </is>
      </c>
    </row>
    <row r="2">
      <c r="A2" s="2" t="inlineStr">
        <is>
          <t>Skenario: 06:00-06:55 sunrise (I≈0, V≈Voc), 12:00-13:55 noon (full sun). PV3 punya HIGH-R fault (I drop 60%, V naik sedikit) → expected flag.</t>
        </is>
      </c>
    </row>
    <row r="4">
      <c r="A4" s="10" t="inlineStr">
        <is>
          <t>Inverter_ID</t>
        </is>
      </c>
      <c r="B4" s="10" t="inlineStr">
        <is>
          <t>Start Time</t>
        </is>
      </c>
      <c r="C4" s="10" t="inlineStr">
        <is>
          <t>Inverter status</t>
        </is>
      </c>
      <c r="D4" s="10" t="inlineStr">
        <is>
          <t>PV1 input voltage(V)</t>
        </is>
      </c>
      <c r="E4" s="10" t="inlineStr">
        <is>
          <t>PV1 input current(A)</t>
        </is>
      </c>
      <c r="F4" s="10" t="inlineStr">
        <is>
          <t>PV2 input voltage(V)</t>
        </is>
      </c>
      <c r="G4" s="10" t="inlineStr">
        <is>
          <t>PV2 input current(A)</t>
        </is>
      </c>
      <c r="H4" s="10" t="inlineStr">
        <is>
          <t>PV3 input voltage(V)</t>
        </is>
      </c>
      <c r="I4" s="10" t="inlineStr">
        <is>
          <t>PV3 input current(A)</t>
        </is>
      </c>
      <c r="J4" s="10" t="inlineStr">
        <is>
          <t>PV4 input voltage(V)</t>
        </is>
      </c>
      <c r="K4" s="10" t="inlineStr">
        <is>
          <t>PV4 input current(A)</t>
        </is>
      </c>
      <c r="L4" s="10" t="inlineStr">
        <is>
          <t>PV5 input voltage(V)</t>
        </is>
      </c>
      <c r="M4" s="10" t="inlineStr">
        <is>
          <t>PV5 input current(A)</t>
        </is>
      </c>
    </row>
    <row r="5">
      <c r="A5" s="5" t="inlineStr">
        <is>
          <t>WB05-INV05</t>
        </is>
      </c>
      <c r="B5" s="16" t="n">
        <v>46156.25</v>
      </c>
      <c r="C5" s="5" t="inlineStr">
        <is>
          <t>Grid connected</t>
        </is>
      </c>
      <c r="D5" s="5" t="n">
        <v>1467.49</v>
      </c>
      <c r="E5" s="5" t="n">
        <v>-0.023</v>
      </c>
      <c r="F5" s="5" t="n">
        <v>1469.34</v>
      </c>
      <c r="G5" s="5" t="n">
        <v>0.023</v>
      </c>
      <c r="H5" s="5" t="n">
        <v>1469.96</v>
      </c>
      <c r="I5" s="5" t="n">
        <v>-0.036</v>
      </c>
      <c r="J5" s="5" t="n">
        <v>1468.08</v>
      </c>
      <c r="K5" s="5" t="n">
        <v>-0.042</v>
      </c>
      <c r="L5" s="5" t="n">
        <v>0</v>
      </c>
      <c r="M5" s="5" t="n">
        <v>0</v>
      </c>
    </row>
    <row r="6">
      <c r="A6" s="5" t="inlineStr">
        <is>
          <t>WB05-INV05</t>
        </is>
      </c>
      <c r="B6" s="16" t="n">
        <v>46156.25347222222</v>
      </c>
      <c r="C6" s="5" t="inlineStr">
        <is>
          <t>Grid connected</t>
        </is>
      </c>
      <c r="D6" s="5" t="n">
        <v>1462.29</v>
      </c>
      <c r="E6" s="5" t="n">
        <v>0.07099999999999999</v>
      </c>
      <c r="F6" s="5" t="n">
        <v>1464.79</v>
      </c>
      <c r="G6" s="5" t="n">
        <v>0.106</v>
      </c>
      <c r="H6" s="5" t="n">
        <v>1463.07</v>
      </c>
      <c r="I6" s="5" t="n">
        <v>0.11</v>
      </c>
      <c r="J6" s="5" t="n">
        <v>1465.42</v>
      </c>
      <c r="K6" s="5" t="n">
        <v>0.052</v>
      </c>
      <c r="L6" s="5" t="n">
        <v>0</v>
      </c>
      <c r="M6" s="5" t="n">
        <v>0</v>
      </c>
    </row>
    <row r="7">
      <c r="A7" s="5" t="inlineStr">
        <is>
          <t>WB05-INV05</t>
        </is>
      </c>
      <c r="B7" s="16" t="n">
        <v>46156.25694444445</v>
      </c>
      <c r="C7" s="5" t="inlineStr">
        <is>
          <t>Grid connected</t>
        </is>
      </c>
      <c r="D7" s="5" t="n">
        <v>1469.42</v>
      </c>
      <c r="E7" s="5" t="n">
        <v>0.105</v>
      </c>
      <c r="F7" s="5" t="n">
        <v>1471.89</v>
      </c>
      <c r="G7" s="5" t="n">
        <v>0.123</v>
      </c>
      <c r="H7" s="5" t="n">
        <v>1468.43</v>
      </c>
      <c r="I7" s="5" t="n">
        <v>0.099</v>
      </c>
      <c r="J7" s="5" t="n">
        <v>1471.45</v>
      </c>
      <c r="K7" s="5" t="n">
        <v>0.15</v>
      </c>
      <c r="L7" s="5" t="n">
        <v>0</v>
      </c>
      <c r="M7" s="5" t="n">
        <v>0</v>
      </c>
    </row>
    <row r="8">
      <c r="A8" s="5" t="inlineStr">
        <is>
          <t>WB05-INV05</t>
        </is>
      </c>
      <c r="B8" s="16" t="n">
        <v>46156.26041666666</v>
      </c>
      <c r="C8" s="5" t="inlineStr">
        <is>
          <t>Grid connected</t>
        </is>
      </c>
      <c r="D8" s="5" t="n">
        <v>1470.22</v>
      </c>
      <c r="E8" s="5" t="n">
        <v>0.193</v>
      </c>
      <c r="F8" s="5" t="n">
        <v>1469.59</v>
      </c>
      <c r="G8" s="5" t="n">
        <v>0.151</v>
      </c>
      <c r="H8" s="5" t="n">
        <v>1471.39</v>
      </c>
      <c r="I8" s="5" t="n">
        <v>0.158</v>
      </c>
      <c r="J8" s="5" t="n">
        <v>1471.52</v>
      </c>
      <c r="K8" s="5" t="n">
        <v>0.154</v>
      </c>
      <c r="L8" s="5" t="n">
        <v>0</v>
      </c>
      <c r="M8" s="5" t="n">
        <v>0</v>
      </c>
    </row>
    <row r="9">
      <c r="A9" s="5" t="inlineStr">
        <is>
          <t>WB05-INV05</t>
        </is>
      </c>
      <c r="B9" s="16" t="n">
        <v>46156.26388888889</v>
      </c>
      <c r="C9" s="5" t="inlineStr">
        <is>
          <t>Grid connected</t>
        </is>
      </c>
      <c r="D9" s="5" t="n">
        <v>1467.96</v>
      </c>
      <c r="E9" s="5" t="n">
        <v>-0.012</v>
      </c>
      <c r="F9" s="5" t="n">
        <v>1467.36</v>
      </c>
      <c r="G9" s="5" t="n">
        <v>-0.018</v>
      </c>
      <c r="H9" s="5" t="n">
        <v>1467.45</v>
      </c>
      <c r="I9" s="5" t="n">
        <v>-0.013</v>
      </c>
      <c r="J9" s="5" t="n">
        <v>1469.59</v>
      </c>
      <c r="K9" s="5" t="n">
        <v>-0.004</v>
      </c>
      <c r="L9" s="5" t="n">
        <v>0</v>
      </c>
      <c r="M9" s="5" t="n">
        <v>0</v>
      </c>
    </row>
    <row r="10">
      <c r="A10" s="5" t="inlineStr">
        <is>
          <t>WB05-INV05</t>
        </is>
      </c>
      <c r="B10" s="16" t="n">
        <v>46156.26736111111</v>
      </c>
      <c r="C10" s="5" t="inlineStr">
        <is>
          <t>Grid connected</t>
        </is>
      </c>
      <c r="D10" s="5" t="n">
        <v>1464.77</v>
      </c>
      <c r="E10" s="5" t="n">
        <v>0.08599999999999999</v>
      </c>
      <c r="F10" s="5" t="n">
        <v>1466.29</v>
      </c>
      <c r="G10" s="5" t="n">
        <v>0.053</v>
      </c>
      <c r="H10" s="5" t="n">
        <v>1464.39</v>
      </c>
      <c r="I10" s="5" t="n">
        <v>0.065</v>
      </c>
      <c r="J10" s="5" t="n">
        <v>1464.36</v>
      </c>
      <c r="K10" s="5" t="n">
        <v>0.03</v>
      </c>
      <c r="L10" s="5" t="n">
        <v>0</v>
      </c>
      <c r="M10" s="5" t="n">
        <v>0</v>
      </c>
    </row>
    <row r="11">
      <c r="A11" s="5" t="inlineStr">
        <is>
          <t>WB05-INV05</t>
        </is>
      </c>
      <c r="B11" s="16" t="n">
        <v>46156.27083333334</v>
      </c>
      <c r="C11" s="5" t="inlineStr">
        <is>
          <t>Grid connected</t>
        </is>
      </c>
      <c r="D11" s="5" t="n">
        <v>1472.12</v>
      </c>
      <c r="E11" s="5" t="n">
        <v>0.146</v>
      </c>
      <c r="F11" s="5" t="n">
        <v>1473.27</v>
      </c>
      <c r="G11" s="5" t="n">
        <v>0.156</v>
      </c>
      <c r="H11" s="5" t="n">
        <v>1470.81</v>
      </c>
      <c r="I11" s="5" t="n">
        <v>0.081</v>
      </c>
      <c r="J11" s="5" t="n">
        <v>1471.16</v>
      </c>
      <c r="K11" s="5" t="n">
        <v>0.105</v>
      </c>
      <c r="L11" s="5" t="n">
        <v>0</v>
      </c>
      <c r="M11" s="5" t="n">
        <v>0</v>
      </c>
    </row>
    <row r="12">
      <c r="A12" s="5" t="inlineStr">
        <is>
          <t>WB05-INV05</t>
        </is>
      </c>
      <c r="B12" s="16" t="n">
        <v>46156.27430555555</v>
      </c>
      <c r="C12" s="5" t="inlineStr">
        <is>
          <t>Grid connected</t>
        </is>
      </c>
      <c r="D12" s="5" t="n">
        <v>1465.62</v>
      </c>
      <c r="E12" s="5" t="n">
        <v>0.17</v>
      </c>
      <c r="F12" s="5" t="n">
        <v>1464.73</v>
      </c>
      <c r="G12" s="5" t="n">
        <v>0.178</v>
      </c>
      <c r="H12" s="5" t="n">
        <v>1465.77</v>
      </c>
      <c r="I12" s="5" t="n">
        <v>0.184</v>
      </c>
      <c r="J12" s="5" t="n">
        <v>1463.17</v>
      </c>
      <c r="K12" s="5" t="n">
        <v>0.163</v>
      </c>
      <c r="L12" s="5" t="n">
        <v>0</v>
      </c>
      <c r="M12" s="5" t="n">
        <v>0</v>
      </c>
    </row>
    <row r="13">
      <c r="A13" s="5" t="inlineStr">
        <is>
          <t>WB05-INV05</t>
        </is>
      </c>
      <c r="B13" s="16" t="n">
        <v>46156.27777777778</v>
      </c>
      <c r="C13" s="5" t="inlineStr">
        <is>
          <t>Grid connected</t>
        </is>
      </c>
      <c r="D13" s="5" t="n">
        <v>1467.95</v>
      </c>
      <c r="E13" s="5" t="n">
        <v>0.092</v>
      </c>
      <c r="F13" s="5" t="n">
        <v>1467.21</v>
      </c>
      <c r="G13" s="5" t="n">
        <v>0.024</v>
      </c>
      <c r="H13" s="5" t="n">
        <v>1469.6</v>
      </c>
      <c r="I13" s="5" t="n">
        <v>0.054</v>
      </c>
      <c r="J13" s="5" t="n">
        <v>1465.98</v>
      </c>
      <c r="K13" s="5" t="n">
        <v>0.007</v>
      </c>
      <c r="L13" s="5" t="n">
        <v>0</v>
      </c>
      <c r="M13" s="5" t="n">
        <v>0</v>
      </c>
    </row>
    <row r="14">
      <c r="A14" s="5" t="inlineStr">
        <is>
          <t>WB05-INV05</t>
        </is>
      </c>
      <c r="B14" s="16" t="n">
        <v>46156.28125</v>
      </c>
      <c r="C14" s="5" t="inlineStr">
        <is>
          <t>Grid connected</t>
        </is>
      </c>
      <c r="D14" s="5" t="n">
        <v>1464.26</v>
      </c>
      <c r="E14" s="5" t="n">
        <v>0.118</v>
      </c>
      <c r="F14" s="5" t="n">
        <v>1461.35</v>
      </c>
      <c r="G14" s="5" t="n">
        <v>0.114</v>
      </c>
      <c r="H14" s="5" t="n">
        <v>1465.08</v>
      </c>
      <c r="I14" s="5" t="n">
        <v>0.128</v>
      </c>
      <c r="J14" s="5" t="n">
        <v>1464.98</v>
      </c>
      <c r="K14" s="5" t="n">
        <v>0.162</v>
      </c>
      <c r="L14" s="5" t="n">
        <v>0</v>
      </c>
      <c r="M14" s="5" t="n">
        <v>0</v>
      </c>
    </row>
    <row r="15">
      <c r="A15" s="5" t="inlineStr">
        <is>
          <t>WB05-INV05</t>
        </is>
      </c>
      <c r="B15" s="16" t="n">
        <v>46156.28472222222</v>
      </c>
      <c r="C15" s="5" t="inlineStr">
        <is>
          <t>Grid connected</t>
        </is>
      </c>
      <c r="D15" s="5" t="n">
        <v>1462.84</v>
      </c>
      <c r="E15" s="5" t="n">
        <v>0.148</v>
      </c>
      <c r="F15" s="5" t="n">
        <v>1461.18</v>
      </c>
      <c r="G15" s="5" t="n">
        <v>0.158</v>
      </c>
      <c r="H15" s="5" t="n">
        <v>1460.56</v>
      </c>
      <c r="I15" s="5" t="n">
        <v>0.138</v>
      </c>
      <c r="J15" s="5" t="n">
        <v>1461.93</v>
      </c>
      <c r="K15" s="5" t="n">
        <v>0.19</v>
      </c>
      <c r="L15" s="5" t="n">
        <v>0</v>
      </c>
      <c r="M15" s="5" t="n">
        <v>0</v>
      </c>
    </row>
    <row r="16">
      <c r="A16" s="5" t="inlineStr">
        <is>
          <t>WB05-INV05</t>
        </is>
      </c>
      <c r="B16" s="16" t="n">
        <v>46156.28819444445</v>
      </c>
      <c r="C16" s="5" t="inlineStr">
        <is>
          <t>Grid connected</t>
        </is>
      </c>
      <c r="D16" s="5" t="n">
        <v>1470.76</v>
      </c>
      <c r="E16" s="5" t="n">
        <v>0.021</v>
      </c>
      <c r="F16" s="5" t="n">
        <v>1472.41</v>
      </c>
      <c r="G16" s="5" t="n">
        <v>0.09</v>
      </c>
      <c r="H16" s="5" t="n">
        <v>1469.95</v>
      </c>
      <c r="I16" s="5" t="n">
        <v>0.067</v>
      </c>
      <c r="J16" s="5" t="n">
        <v>1471.19</v>
      </c>
      <c r="K16" s="5" t="n">
        <v>0.018</v>
      </c>
      <c r="L16" s="5" t="n">
        <v>0</v>
      </c>
      <c r="M16" s="5" t="n">
        <v>0</v>
      </c>
    </row>
    <row r="17">
      <c r="A17" s="5" t="inlineStr">
        <is>
          <t>WB05-INV05</t>
        </is>
      </c>
      <c r="B17" s="16" t="n">
        <v>46156.5</v>
      </c>
      <c r="C17" s="5" t="inlineStr">
        <is>
          <t>Grid connected</t>
        </is>
      </c>
      <c r="D17" s="5" t="n">
        <v>1205.31</v>
      </c>
      <c r="E17" s="5" t="n">
        <v>13.015</v>
      </c>
      <c r="F17" s="5" t="n">
        <v>1202.2</v>
      </c>
      <c r="G17" s="5" t="n">
        <v>12.994</v>
      </c>
      <c r="H17" s="5" t="n">
        <v>1238.4</v>
      </c>
      <c r="I17" s="5" t="n">
        <v>5.248</v>
      </c>
      <c r="J17" s="5" t="n">
        <v>1205.72</v>
      </c>
      <c r="K17" s="5" t="n">
        <v>13.045</v>
      </c>
      <c r="L17" s="5" t="n">
        <v>0</v>
      </c>
      <c r="M17" s="5" t="n">
        <v>0</v>
      </c>
    </row>
    <row r="18">
      <c r="A18" s="5" t="inlineStr">
        <is>
          <t>WB05-INV05</t>
        </is>
      </c>
      <c r="B18" s="16" t="n">
        <v>46156.50347222222</v>
      </c>
      <c r="C18" s="5" t="inlineStr">
        <is>
          <t>Grid connected</t>
        </is>
      </c>
      <c r="D18" s="5" t="n">
        <v>1198.43</v>
      </c>
      <c r="E18" s="5" t="n">
        <v>12.912</v>
      </c>
      <c r="F18" s="5" t="n">
        <v>1195.26</v>
      </c>
      <c r="G18" s="5" t="n">
        <v>12.866</v>
      </c>
      <c r="H18" s="5" t="n">
        <v>1231.1</v>
      </c>
      <c r="I18" s="5" t="n">
        <v>5.173</v>
      </c>
      <c r="J18" s="5" t="n">
        <v>1197.98</v>
      </c>
      <c r="K18" s="5" t="n">
        <v>12.83</v>
      </c>
      <c r="L18" s="5" t="n">
        <v>0</v>
      </c>
      <c r="M18" s="5" t="n">
        <v>0</v>
      </c>
    </row>
    <row r="19">
      <c r="A19" s="5" t="inlineStr">
        <is>
          <t>WB05-INV05</t>
        </is>
      </c>
      <c r="B19" s="16" t="n">
        <v>46156.50694444445</v>
      </c>
      <c r="C19" s="5" t="inlineStr">
        <is>
          <t>Grid connected</t>
        </is>
      </c>
      <c r="D19" s="5" t="n">
        <v>1198.66</v>
      </c>
      <c r="E19" s="5" t="n">
        <v>13.052</v>
      </c>
      <c r="F19" s="5" t="n">
        <v>1199.3</v>
      </c>
      <c r="G19" s="5" t="n">
        <v>12.986</v>
      </c>
      <c r="H19" s="5" t="n">
        <v>1235.75</v>
      </c>
      <c r="I19" s="5" t="n">
        <v>5.229</v>
      </c>
      <c r="J19" s="5" t="n">
        <v>1198.41</v>
      </c>
      <c r="K19" s="5" t="n">
        <v>12.996</v>
      </c>
      <c r="L19" s="5" t="n">
        <v>0</v>
      </c>
      <c r="M19" s="5" t="n">
        <v>0</v>
      </c>
    </row>
    <row r="20">
      <c r="A20" s="5" t="inlineStr">
        <is>
          <t>WB05-INV05</t>
        </is>
      </c>
      <c r="B20" s="16" t="n">
        <v>46156.51041666666</v>
      </c>
      <c r="C20" s="5" t="inlineStr">
        <is>
          <t>Grid connected</t>
        </is>
      </c>
      <c r="D20" s="5" t="n">
        <v>1207.67</v>
      </c>
      <c r="E20" s="5" t="n">
        <v>13.047</v>
      </c>
      <c r="F20" s="5" t="n">
        <v>1206.41</v>
      </c>
      <c r="G20" s="5" t="n">
        <v>13.017</v>
      </c>
      <c r="H20" s="5" t="n">
        <v>1243.51</v>
      </c>
      <c r="I20" s="5" t="n">
        <v>5.227</v>
      </c>
      <c r="J20" s="5" t="n">
        <v>1206.84</v>
      </c>
      <c r="K20" s="5" t="n">
        <v>13.017</v>
      </c>
      <c r="L20" s="5" t="n">
        <v>0</v>
      </c>
      <c r="M20" s="5" t="n">
        <v>0</v>
      </c>
    </row>
    <row r="21">
      <c r="A21" s="5" t="inlineStr">
        <is>
          <t>WB05-INV05</t>
        </is>
      </c>
      <c r="B21" s="16" t="n">
        <v>46156.51388888889</v>
      </c>
      <c r="C21" s="5" t="inlineStr">
        <is>
          <t>Grid connected</t>
        </is>
      </c>
      <c r="D21" s="5" t="n">
        <v>1192.05</v>
      </c>
      <c r="E21" s="5" t="n">
        <v>13.08</v>
      </c>
      <c r="F21" s="5" t="n">
        <v>1194.57</v>
      </c>
      <c r="G21" s="5" t="n">
        <v>12.996</v>
      </c>
      <c r="H21" s="5" t="n">
        <v>1227.88</v>
      </c>
      <c r="I21" s="5" t="n">
        <v>5.233</v>
      </c>
      <c r="J21" s="5" t="n">
        <v>1191.99</v>
      </c>
      <c r="K21" s="5" t="n">
        <v>13.003</v>
      </c>
      <c r="L21" s="5" t="n">
        <v>0</v>
      </c>
      <c r="M21" s="5" t="n">
        <v>0</v>
      </c>
    </row>
    <row r="22">
      <c r="A22" s="5" t="inlineStr">
        <is>
          <t>WB05-INV05</t>
        </is>
      </c>
      <c r="B22" s="16" t="n">
        <v>46156.51736111111</v>
      </c>
      <c r="C22" s="5" t="inlineStr">
        <is>
          <t>Grid connected</t>
        </is>
      </c>
      <c r="D22" s="5" t="n">
        <v>1206.86</v>
      </c>
      <c r="E22" s="5" t="n">
        <v>13.05</v>
      </c>
      <c r="F22" s="5" t="n">
        <v>1208.2</v>
      </c>
      <c r="G22" s="5" t="n">
        <v>12.99</v>
      </c>
      <c r="H22" s="5" t="n">
        <v>1241.56</v>
      </c>
      <c r="I22" s="5" t="n">
        <v>5.202</v>
      </c>
      <c r="J22" s="5" t="n">
        <v>1206.66</v>
      </c>
      <c r="K22" s="5" t="n">
        <v>13.018</v>
      </c>
      <c r="L22" s="5" t="n">
        <v>0</v>
      </c>
      <c r="M22" s="5" t="n">
        <v>0</v>
      </c>
    </row>
    <row r="23">
      <c r="A23" s="5" t="inlineStr">
        <is>
          <t>WB05-INV05</t>
        </is>
      </c>
      <c r="B23" s="16" t="n">
        <v>46156.52083333334</v>
      </c>
      <c r="C23" s="5" t="inlineStr">
        <is>
          <t>Grid connected</t>
        </is>
      </c>
      <c r="D23" s="5" t="n">
        <v>1205.6</v>
      </c>
      <c r="E23" s="5" t="n">
        <v>13.012</v>
      </c>
      <c r="F23" s="5" t="n">
        <v>1203.28</v>
      </c>
      <c r="G23" s="5" t="n">
        <v>13.036</v>
      </c>
      <c r="H23" s="5" t="n">
        <v>1241.22</v>
      </c>
      <c r="I23" s="5" t="n">
        <v>5.196</v>
      </c>
      <c r="J23" s="5" t="n">
        <v>1202.43</v>
      </c>
      <c r="K23" s="5" t="n">
        <v>13.047</v>
      </c>
      <c r="L23" s="5" t="n">
        <v>0</v>
      </c>
      <c r="M23" s="5" t="n">
        <v>0</v>
      </c>
    </row>
    <row r="24">
      <c r="A24" s="5" t="inlineStr">
        <is>
          <t>WB05-INV05</t>
        </is>
      </c>
      <c r="B24" s="16" t="n">
        <v>46156.52430555555</v>
      </c>
      <c r="C24" s="5" t="inlineStr">
        <is>
          <t>Grid connected</t>
        </is>
      </c>
      <c r="D24" s="5" t="n">
        <v>1197.75</v>
      </c>
      <c r="E24" s="5" t="n">
        <v>12.976</v>
      </c>
      <c r="F24" s="5" t="n">
        <v>1198.52</v>
      </c>
      <c r="G24" s="5" t="n">
        <v>12.97</v>
      </c>
      <c r="H24" s="5" t="n">
        <v>1234.91</v>
      </c>
      <c r="I24" s="5" t="n">
        <v>5.128</v>
      </c>
      <c r="J24" s="5" t="n">
        <v>1200.75</v>
      </c>
      <c r="K24" s="5" t="n">
        <v>12.967</v>
      </c>
      <c r="L24" s="5" t="n">
        <v>0</v>
      </c>
      <c r="M24" s="5" t="n">
        <v>0</v>
      </c>
    </row>
    <row r="25">
      <c r="A25" s="5" t="inlineStr">
        <is>
          <t>WB05-INV05</t>
        </is>
      </c>
      <c r="B25" s="16" t="n">
        <v>46156.52777777778</v>
      </c>
      <c r="C25" s="5" t="inlineStr">
        <is>
          <t>Grid connected</t>
        </is>
      </c>
      <c r="D25" s="5" t="n">
        <v>1208.9</v>
      </c>
      <c r="E25" s="5" t="n">
        <v>13.095</v>
      </c>
      <c r="F25" s="5" t="n">
        <v>1207.45</v>
      </c>
      <c r="G25" s="5" t="n">
        <v>13.099</v>
      </c>
      <c r="H25" s="5" t="n">
        <v>1243.33</v>
      </c>
      <c r="I25" s="5" t="n">
        <v>5.207</v>
      </c>
      <c r="J25" s="5" t="n">
        <v>1207.02</v>
      </c>
      <c r="K25" s="5" t="n">
        <v>13.176</v>
      </c>
      <c r="L25" s="5" t="n">
        <v>0</v>
      </c>
      <c r="M25" s="5" t="n">
        <v>0</v>
      </c>
    </row>
    <row r="26">
      <c r="A26" s="5" t="inlineStr">
        <is>
          <t>WB05-INV05</t>
        </is>
      </c>
      <c r="B26" s="16" t="n">
        <v>46156.53125</v>
      </c>
      <c r="C26" s="5" t="inlineStr">
        <is>
          <t>Grid connected</t>
        </is>
      </c>
      <c r="D26" s="5" t="n">
        <v>1196.06</v>
      </c>
      <c r="E26" s="5" t="n">
        <v>13.078</v>
      </c>
      <c r="F26" s="5" t="n">
        <v>1198.07</v>
      </c>
      <c r="G26" s="5" t="n">
        <v>13.135</v>
      </c>
      <c r="H26" s="5" t="n">
        <v>1232.35</v>
      </c>
      <c r="I26" s="5" t="n">
        <v>5.256</v>
      </c>
      <c r="J26" s="5" t="n">
        <v>1194.86</v>
      </c>
      <c r="K26" s="5" t="n">
        <v>13.065</v>
      </c>
      <c r="L26" s="5" t="n">
        <v>0</v>
      </c>
      <c r="M26" s="5" t="n">
        <v>0</v>
      </c>
    </row>
    <row r="27">
      <c r="A27" s="5" t="inlineStr">
        <is>
          <t>WB05-INV05</t>
        </is>
      </c>
      <c r="B27" s="16" t="n">
        <v>46156.53472222222</v>
      </c>
      <c r="C27" s="5" t="inlineStr">
        <is>
          <t>Grid connected</t>
        </is>
      </c>
      <c r="D27" s="5" t="n">
        <v>1207.67</v>
      </c>
      <c r="E27" s="5" t="n">
        <v>13.049</v>
      </c>
      <c r="F27" s="5" t="n">
        <v>1205.73</v>
      </c>
      <c r="G27" s="5" t="n">
        <v>13.032</v>
      </c>
      <c r="H27" s="5" t="n">
        <v>1243.74</v>
      </c>
      <c r="I27" s="5" t="n">
        <v>5.245</v>
      </c>
      <c r="J27" s="5" t="n">
        <v>1206.13</v>
      </c>
      <c r="K27" s="5" t="n">
        <v>13.07</v>
      </c>
      <c r="L27" s="5" t="n">
        <v>0</v>
      </c>
      <c r="M27" s="5" t="n">
        <v>0</v>
      </c>
    </row>
    <row r="28">
      <c r="A28" s="5" t="inlineStr">
        <is>
          <t>WB05-INV05</t>
        </is>
      </c>
      <c r="B28" s="16" t="n">
        <v>46156.53819444445</v>
      </c>
      <c r="C28" s="5" t="inlineStr">
        <is>
          <t>Grid connected</t>
        </is>
      </c>
      <c r="D28" s="5" t="n">
        <v>1193.66</v>
      </c>
      <c r="E28" s="5" t="n">
        <v>12.923</v>
      </c>
      <c r="F28" s="5" t="n">
        <v>1192.22</v>
      </c>
      <c r="G28" s="5" t="n">
        <v>12.868</v>
      </c>
      <c r="H28" s="5" t="n">
        <v>1230.64</v>
      </c>
      <c r="I28" s="5" t="n">
        <v>5.137</v>
      </c>
      <c r="J28" s="5" t="n">
        <v>1193.66</v>
      </c>
      <c r="K28" s="5" t="n">
        <v>12.918</v>
      </c>
      <c r="L28" s="5" t="n">
        <v>0</v>
      </c>
      <c r="M28" s="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4" customWidth="1" min="3" max="3"/>
  </cols>
  <sheetData>
    <row r="1">
      <c r="A1" s="7" t="inlineStr">
        <is>
          <t>Meteo_Dummy — POA (Plane-of-Array) per timestamp</t>
        </is>
      </c>
    </row>
    <row r="2">
      <c r="A2" s="2" t="inlineStr">
        <is>
          <t>Single source 'pyranometer_avg' (dummy). Produksi: 5 source fan-out (pyranometer_per_ws, pyranometer_avg, pvlib_clearsky_ineichen/simplified_solis/haurwitz).</t>
        </is>
      </c>
    </row>
    <row r="4">
      <c r="A4" s="10" t="inlineStr">
        <is>
          <t>Start Time</t>
        </is>
      </c>
      <c r="B4" s="10" t="inlineStr">
        <is>
          <t>POA pyranometer_avg (W/m²)</t>
        </is>
      </c>
      <c r="C4" s="10" t="inlineStr">
        <is>
          <t>Notes</t>
        </is>
      </c>
    </row>
    <row r="5">
      <c r="A5" s="16" t="n">
        <v>46156.25</v>
      </c>
      <c r="B5" s="18" t="n">
        <v>30</v>
      </c>
      <c r="C5" s="5" t="inlineStr">
        <is>
          <t>sunrise (below gate)</t>
        </is>
      </c>
    </row>
    <row r="6">
      <c r="A6" s="16" t="n">
        <v>46156.25347222222</v>
      </c>
      <c r="B6" s="18" t="n">
        <v>34.5</v>
      </c>
      <c r="C6" s="5" t="inlineStr">
        <is>
          <t>sunrise (below gate)</t>
        </is>
      </c>
    </row>
    <row r="7">
      <c r="A7" s="16" t="n">
        <v>46156.25694444445</v>
      </c>
      <c r="B7" s="18" t="n">
        <v>39.1</v>
      </c>
      <c r="C7" s="5" t="inlineStr">
        <is>
          <t>sunrise (below gate)</t>
        </is>
      </c>
    </row>
    <row r="8">
      <c r="A8" s="16" t="n">
        <v>46156.26041666666</v>
      </c>
      <c r="B8" s="18" t="n">
        <v>43.6</v>
      </c>
      <c r="C8" s="5" t="inlineStr">
        <is>
          <t>sunrise (below gate)</t>
        </is>
      </c>
    </row>
    <row r="9">
      <c r="A9" s="16" t="n">
        <v>46156.26388888889</v>
      </c>
      <c r="B9" s="18" t="n">
        <v>48.2</v>
      </c>
      <c r="C9" s="5" t="inlineStr">
        <is>
          <t>sunrise (below gate)</t>
        </is>
      </c>
    </row>
    <row r="10">
      <c r="A10" s="16" t="n">
        <v>46156.26736111111</v>
      </c>
      <c r="B10" s="18" t="n">
        <v>52.7</v>
      </c>
      <c r="C10" s="5" t="inlineStr">
        <is>
          <t>sunrise (below gate)</t>
        </is>
      </c>
    </row>
    <row r="11">
      <c r="A11" s="16" t="n">
        <v>46156.27083333334</v>
      </c>
      <c r="B11" s="18" t="n">
        <v>57.3</v>
      </c>
      <c r="C11" s="5" t="inlineStr">
        <is>
          <t>sunrise (below gate)</t>
        </is>
      </c>
    </row>
    <row r="12">
      <c r="A12" s="16" t="n">
        <v>46156.27430555555</v>
      </c>
      <c r="B12" s="18" t="n">
        <v>61.8</v>
      </c>
      <c r="C12" s="5" t="inlineStr">
        <is>
          <t>sunrise (below gate)</t>
        </is>
      </c>
    </row>
    <row r="13">
      <c r="A13" s="16" t="n">
        <v>46156.27777777778</v>
      </c>
      <c r="B13" s="18" t="n">
        <v>66.40000000000001</v>
      </c>
      <c r="C13" s="5" t="inlineStr">
        <is>
          <t>sunrise (below gate)</t>
        </is>
      </c>
    </row>
    <row r="14">
      <c r="A14" s="16" t="n">
        <v>46156.28125</v>
      </c>
      <c r="B14" s="18" t="n">
        <v>70.90000000000001</v>
      </c>
      <c r="C14" s="5" t="inlineStr">
        <is>
          <t>sunrise (below gate)</t>
        </is>
      </c>
    </row>
    <row r="15">
      <c r="A15" s="16" t="n">
        <v>46156.28472222222</v>
      </c>
      <c r="B15" s="18" t="n">
        <v>75.5</v>
      </c>
      <c r="C15" s="5" t="inlineStr">
        <is>
          <t>sunrise (below gate)</t>
        </is>
      </c>
    </row>
    <row r="16">
      <c r="A16" s="16" t="n">
        <v>46156.28819444445</v>
      </c>
      <c r="B16" s="18" t="n">
        <v>80</v>
      </c>
      <c r="C16" s="5" t="inlineStr">
        <is>
          <t>sunrise (below gate)</t>
        </is>
      </c>
    </row>
    <row r="17">
      <c r="A17" s="16" t="n">
        <v>46156.5</v>
      </c>
      <c r="B17" s="18" t="n">
        <v>847.6</v>
      </c>
      <c r="C17" s="5" t="inlineStr">
        <is>
          <t>noon (above gate)</t>
        </is>
      </c>
    </row>
    <row r="18">
      <c r="A18" s="16" t="n">
        <v>46156.50347222222</v>
      </c>
      <c r="B18" s="18" t="n">
        <v>857.5</v>
      </c>
      <c r="C18" s="5" t="inlineStr">
        <is>
          <t>noon (above gate)</t>
        </is>
      </c>
    </row>
    <row r="19">
      <c r="A19" s="16" t="n">
        <v>46156.50694444445</v>
      </c>
      <c r="B19" s="18" t="n">
        <v>860.7</v>
      </c>
      <c r="C19" s="5" t="inlineStr">
        <is>
          <t>noon (above gate)</t>
        </is>
      </c>
    </row>
    <row r="20">
      <c r="A20" s="16" t="n">
        <v>46156.51041666666</v>
      </c>
      <c r="B20" s="18" t="n">
        <v>878</v>
      </c>
      <c r="C20" s="5" t="inlineStr">
        <is>
          <t>noon (above gate)</t>
        </is>
      </c>
    </row>
    <row r="21">
      <c r="A21" s="16" t="n">
        <v>46156.51388888889</v>
      </c>
      <c r="B21" s="18" t="n">
        <v>861.1</v>
      </c>
      <c r="C21" s="5" t="inlineStr">
        <is>
          <t>noon (above gate)</t>
        </is>
      </c>
    </row>
    <row r="22">
      <c r="A22" s="16" t="n">
        <v>46156.51736111111</v>
      </c>
      <c r="B22" s="18" t="n">
        <v>881.5</v>
      </c>
      <c r="C22" s="5" t="inlineStr">
        <is>
          <t>noon (above gate)</t>
        </is>
      </c>
    </row>
    <row r="23">
      <c r="A23" s="16" t="n">
        <v>46156.52083333334</v>
      </c>
      <c r="B23" s="18" t="n">
        <v>872.2</v>
      </c>
      <c r="C23" s="5" t="inlineStr">
        <is>
          <t>noon (above gate)</t>
        </is>
      </c>
    </row>
    <row r="24">
      <c r="A24" s="16" t="n">
        <v>46156.52430555555</v>
      </c>
      <c r="B24" s="18" t="n">
        <v>881.9</v>
      </c>
      <c r="C24" s="5" t="inlineStr">
        <is>
          <t>noon (above gate)</t>
        </is>
      </c>
    </row>
    <row r="25">
      <c r="A25" s="16" t="n">
        <v>46156.52777777778</v>
      </c>
      <c r="B25" s="18" t="n">
        <v>895.2</v>
      </c>
      <c r="C25" s="5" t="inlineStr">
        <is>
          <t>noon (above gate)</t>
        </is>
      </c>
    </row>
    <row r="26">
      <c r="A26" s="16" t="n">
        <v>46156.53125</v>
      </c>
      <c r="B26" s="18" t="n">
        <v>889</v>
      </c>
      <c r="C26" s="5" t="inlineStr">
        <is>
          <t>noon (above gate)</t>
        </is>
      </c>
    </row>
    <row r="27">
      <c r="A27" s="16" t="n">
        <v>46156.53472222222</v>
      </c>
      <c r="B27" s="18" t="n">
        <v>894.5</v>
      </c>
      <c r="C27" s="5" t="inlineStr">
        <is>
          <t>noon (above gate)</t>
        </is>
      </c>
    </row>
    <row r="28">
      <c r="A28" s="16" t="n">
        <v>46156.53819444445</v>
      </c>
      <c r="B28" s="18" t="n">
        <v>912.6</v>
      </c>
      <c r="C28" s="5" t="inlineStr">
        <is>
          <t>noon (above gate)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9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7" t="inlineStr">
        <is>
          <t>Helpers_M2b — derived columns per row dari Raw_Data_M2b</t>
        </is>
      </c>
    </row>
    <row r="2">
      <c r="A2" s="2" t="inlineStr">
        <is>
          <t>Per-row: POA value (VLOOKUP dari Meteo_Dummy), mask_poa, R_str per PV. Aggregate (R_str median per PV, fleet stats) ada di sheet M2b_PeerZScore.</t>
        </is>
      </c>
    </row>
    <row r="4">
      <c r="A4" s="10" t="inlineStr">
        <is>
          <t>Inverter_ID</t>
        </is>
      </c>
      <c r="B4" s="10" t="inlineStr">
        <is>
          <t>Start Time</t>
        </is>
      </c>
      <c r="C4" s="10" t="inlineStr">
        <is>
          <t>status</t>
        </is>
      </c>
      <c r="D4" s="10" t="inlineStr">
        <is>
          <t>POA_Wm2</t>
        </is>
      </c>
      <c r="E4" s="10" t="inlineStr">
        <is>
          <t>mask_poa</t>
        </is>
      </c>
      <c r="F4" s="10" t="inlineStr">
        <is>
          <t>is_on</t>
        </is>
      </c>
      <c r="G4" s="10" t="inlineStr">
        <is>
          <t>PV1_V</t>
        </is>
      </c>
      <c r="H4" s="10" t="inlineStr">
        <is>
          <t>PV1_I</t>
        </is>
      </c>
      <c r="I4" s="10" t="inlineStr">
        <is>
          <t>PV1_R</t>
        </is>
      </c>
      <c r="J4" s="10" t="inlineStr">
        <is>
          <t>PV1_voc_cand</t>
        </is>
      </c>
      <c r="K4" s="10" t="inlineStr">
        <is>
          <t>PV2_V</t>
        </is>
      </c>
      <c r="L4" s="10" t="inlineStr">
        <is>
          <t>PV2_I</t>
        </is>
      </c>
      <c r="M4" s="10" t="inlineStr">
        <is>
          <t>PV2_R</t>
        </is>
      </c>
      <c r="N4" s="10" t="inlineStr">
        <is>
          <t>PV2_voc_cand</t>
        </is>
      </c>
      <c r="O4" s="10" t="inlineStr">
        <is>
          <t>PV3_V</t>
        </is>
      </c>
      <c r="P4" s="10" t="inlineStr">
        <is>
          <t>PV3_I</t>
        </is>
      </c>
      <c r="Q4" s="10" t="inlineStr">
        <is>
          <t>PV3_R</t>
        </is>
      </c>
      <c r="R4" s="10" t="inlineStr">
        <is>
          <t>PV3_voc_cand</t>
        </is>
      </c>
      <c r="S4" s="10" t="inlineStr">
        <is>
          <t>PV4_V</t>
        </is>
      </c>
      <c r="T4" s="10" t="inlineStr">
        <is>
          <t>PV4_I</t>
        </is>
      </c>
      <c r="U4" s="10" t="inlineStr">
        <is>
          <t>PV4_R</t>
        </is>
      </c>
      <c r="V4" s="10" t="inlineStr">
        <is>
          <t>PV4_voc_cand</t>
        </is>
      </c>
      <c r="W4" s="10" t="inlineStr">
        <is>
          <t>PV5_V</t>
        </is>
      </c>
      <c r="X4" s="10" t="inlineStr">
        <is>
          <t>PV5_I</t>
        </is>
      </c>
      <c r="Y4" s="10" t="inlineStr">
        <is>
          <t>PV5_R</t>
        </is>
      </c>
      <c r="Z4" s="10" t="inlineStr">
        <is>
          <t>PV5_voc_cand</t>
        </is>
      </c>
    </row>
    <row r="5">
      <c r="A5" s="5">
        <f>Raw_Data_M2b!A5</f>
        <v/>
      </c>
      <c r="B5" s="16">
        <f>Raw_Data_M2b!B5</f>
        <v/>
      </c>
      <c r="C5" s="5">
        <f>Raw_Data_M2b!C5</f>
        <v/>
      </c>
      <c r="D5" s="18">
        <f>IFERROR(VLOOKUP(B5,Meteo_Dummy!$A$5:$B$28,2,FALSE),0)</f>
        <v/>
      </c>
      <c r="E5" s="5">
        <f>IF(AND(D5&gt;cfg_poa_threshold_wm2,D5&gt;cfg_poa_floor_wm2),1,0)</f>
        <v/>
      </c>
      <c r="F5" s="5">
        <f>IF(ISNUMBER(SEARCH("grid connected",LOWER(C5))),1,0)</f>
        <v/>
      </c>
      <c r="G5" s="15">
        <f>Raw_Data_M2b!D5</f>
        <v/>
      </c>
      <c r="H5" s="17">
        <f>Raw_Data_M2b!E5</f>
        <v/>
      </c>
      <c r="I5" s="18">
        <f>IF(E5=1, G5/MAX(H5,cfg_i_clip_floor_a), "")</f>
        <v/>
      </c>
      <c r="J5" s="15">
        <f>IF(AND(ABS(H5)&lt;cfg_i_threshold_a, G5&gt;cfg_min_voc_v), G5, "")</f>
        <v/>
      </c>
      <c r="K5" s="15">
        <f>Raw_Data_M2b!F5</f>
        <v/>
      </c>
      <c r="L5" s="17">
        <f>Raw_Data_M2b!G5</f>
        <v/>
      </c>
      <c r="M5" s="18">
        <f>IF(E5=1, K5/MAX(L5,cfg_i_clip_floor_a), "")</f>
        <v/>
      </c>
      <c r="N5" s="15">
        <f>IF(AND(ABS(L5)&lt;cfg_i_threshold_a, K5&gt;cfg_min_voc_v), K5, "")</f>
        <v/>
      </c>
      <c r="O5" s="15">
        <f>Raw_Data_M2b!H5</f>
        <v/>
      </c>
      <c r="P5" s="17">
        <f>Raw_Data_M2b!I5</f>
        <v/>
      </c>
      <c r="Q5" s="18">
        <f>IF(E5=1, O5/MAX(P5,cfg_i_clip_floor_a), "")</f>
        <v/>
      </c>
      <c r="R5" s="15">
        <f>IF(AND(ABS(P5)&lt;cfg_i_threshold_a, O5&gt;cfg_min_voc_v), O5, "")</f>
        <v/>
      </c>
      <c r="S5" s="15">
        <f>Raw_Data_M2b!J5</f>
        <v/>
      </c>
      <c r="T5" s="17">
        <f>Raw_Data_M2b!K5</f>
        <v/>
      </c>
      <c r="U5" s="18">
        <f>IF(E5=1, S5/MAX(T5,cfg_i_clip_floor_a), "")</f>
        <v/>
      </c>
      <c r="V5" s="15">
        <f>IF(AND(ABS(T5)&lt;cfg_i_threshold_a, S5&gt;cfg_min_voc_v), S5, "")</f>
        <v/>
      </c>
      <c r="W5" s="15">
        <f>Raw_Data_M2b!L5</f>
        <v/>
      </c>
      <c r="X5" s="17">
        <f>Raw_Data_M2b!M5</f>
        <v/>
      </c>
      <c r="Y5" s="18">
        <f>IF(E5=1, W5/MAX(X5,cfg_i_clip_floor_a), "")</f>
        <v/>
      </c>
      <c r="Z5" s="15">
        <f>IF(AND(ABS(X5)&lt;cfg_i_threshold_a, W5&gt;cfg_min_voc_v), W5, "")</f>
        <v/>
      </c>
    </row>
    <row r="6">
      <c r="A6" s="5">
        <f>Raw_Data_M2b!A6</f>
        <v/>
      </c>
      <c r="B6" s="16">
        <f>Raw_Data_M2b!B6</f>
        <v/>
      </c>
      <c r="C6" s="5">
        <f>Raw_Data_M2b!C6</f>
        <v/>
      </c>
      <c r="D6" s="18">
        <f>IFERROR(VLOOKUP(B6,Meteo_Dummy!$A$5:$B$28,2,FALSE),0)</f>
        <v/>
      </c>
      <c r="E6" s="5">
        <f>IF(AND(D6&gt;cfg_poa_threshold_wm2,D6&gt;cfg_poa_floor_wm2),1,0)</f>
        <v/>
      </c>
      <c r="F6" s="5">
        <f>IF(ISNUMBER(SEARCH("grid connected",LOWER(C6))),1,0)</f>
        <v/>
      </c>
      <c r="G6" s="15">
        <f>Raw_Data_M2b!D6</f>
        <v/>
      </c>
      <c r="H6" s="17">
        <f>Raw_Data_M2b!E6</f>
        <v/>
      </c>
      <c r="I6" s="18">
        <f>IF(E6=1, G6/MAX(H6,cfg_i_clip_floor_a), "")</f>
        <v/>
      </c>
      <c r="J6" s="15">
        <f>IF(AND(ABS(H6)&lt;cfg_i_threshold_a, G6&gt;cfg_min_voc_v), G6, "")</f>
        <v/>
      </c>
      <c r="K6" s="15">
        <f>Raw_Data_M2b!F6</f>
        <v/>
      </c>
      <c r="L6" s="17">
        <f>Raw_Data_M2b!G6</f>
        <v/>
      </c>
      <c r="M6" s="18">
        <f>IF(E6=1, K6/MAX(L6,cfg_i_clip_floor_a), "")</f>
        <v/>
      </c>
      <c r="N6" s="15">
        <f>IF(AND(ABS(L6)&lt;cfg_i_threshold_a, K6&gt;cfg_min_voc_v), K6, "")</f>
        <v/>
      </c>
      <c r="O6" s="15">
        <f>Raw_Data_M2b!H6</f>
        <v/>
      </c>
      <c r="P6" s="17">
        <f>Raw_Data_M2b!I6</f>
        <v/>
      </c>
      <c r="Q6" s="18">
        <f>IF(E6=1, O6/MAX(P6,cfg_i_clip_floor_a), "")</f>
        <v/>
      </c>
      <c r="R6" s="15">
        <f>IF(AND(ABS(P6)&lt;cfg_i_threshold_a, O6&gt;cfg_min_voc_v), O6, "")</f>
        <v/>
      </c>
      <c r="S6" s="15">
        <f>Raw_Data_M2b!J6</f>
        <v/>
      </c>
      <c r="T6" s="17">
        <f>Raw_Data_M2b!K6</f>
        <v/>
      </c>
      <c r="U6" s="18">
        <f>IF(E6=1, S6/MAX(T6,cfg_i_clip_floor_a), "")</f>
        <v/>
      </c>
      <c r="V6" s="15">
        <f>IF(AND(ABS(T6)&lt;cfg_i_threshold_a, S6&gt;cfg_min_voc_v), S6, "")</f>
        <v/>
      </c>
      <c r="W6" s="15">
        <f>Raw_Data_M2b!L6</f>
        <v/>
      </c>
      <c r="X6" s="17">
        <f>Raw_Data_M2b!M6</f>
        <v/>
      </c>
      <c r="Y6" s="18">
        <f>IF(E6=1, W6/MAX(X6,cfg_i_clip_floor_a), "")</f>
        <v/>
      </c>
      <c r="Z6" s="15">
        <f>IF(AND(ABS(X6)&lt;cfg_i_threshold_a, W6&gt;cfg_min_voc_v), W6, "")</f>
        <v/>
      </c>
    </row>
    <row r="7">
      <c r="A7" s="5">
        <f>Raw_Data_M2b!A7</f>
        <v/>
      </c>
      <c r="B7" s="16">
        <f>Raw_Data_M2b!B7</f>
        <v/>
      </c>
      <c r="C7" s="5">
        <f>Raw_Data_M2b!C7</f>
        <v/>
      </c>
      <c r="D7" s="18">
        <f>IFERROR(VLOOKUP(B7,Meteo_Dummy!$A$5:$B$28,2,FALSE),0)</f>
        <v/>
      </c>
      <c r="E7" s="5">
        <f>IF(AND(D7&gt;cfg_poa_threshold_wm2,D7&gt;cfg_poa_floor_wm2),1,0)</f>
        <v/>
      </c>
      <c r="F7" s="5">
        <f>IF(ISNUMBER(SEARCH("grid connected",LOWER(C7))),1,0)</f>
        <v/>
      </c>
      <c r="G7" s="15">
        <f>Raw_Data_M2b!D7</f>
        <v/>
      </c>
      <c r="H7" s="17">
        <f>Raw_Data_M2b!E7</f>
        <v/>
      </c>
      <c r="I7" s="18">
        <f>IF(E7=1, G7/MAX(H7,cfg_i_clip_floor_a), "")</f>
        <v/>
      </c>
      <c r="J7" s="15">
        <f>IF(AND(ABS(H7)&lt;cfg_i_threshold_a, G7&gt;cfg_min_voc_v), G7, "")</f>
        <v/>
      </c>
      <c r="K7" s="15">
        <f>Raw_Data_M2b!F7</f>
        <v/>
      </c>
      <c r="L7" s="17">
        <f>Raw_Data_M2b!G7</f>
        <v/>
      </c>
      <c r="M7" s="18">
        <f>IF(E7=1, K7/MAX(L7,cfg_i_clip_floor_a), "")</f>
        <v/>
      </c>
      <c r="N7" s="15">
        <f>IF(AND(ABS(L7)&lt;cfg_i_threshold_a, K7&gt;cfg_min_voc_v), K7, "")</f>
        <v/>
      </c>
      <c r="O7" s="15">
        <f>Raw_Data_M2b!H7</f>
        <v/>
      </c>
      <c r="P7" s="17">
        <f>Raw_Data_M2b!I7</f>
        <v/>
      </c>
      <c r="Q7" s="18">
        <f>IF(E7=1, O7/MAX(P7,cfg_i_clip_floor_a), "")</f>
        <v/>
      </c>
      <c r="R7" s="15">
        <f>IF(AND(ABS(P7)&lt;cfg_i_threshold_a, O7&gt;cfg_min_voc_v), O7, "")</f>
        <v/>
      </c>
      <c r="S7" s="15">
        <f>Raw_Data_M2b!J7</f>
        <v/>
      </c>
      <c r="T7" s="17">
        <f>Raw_Data_M2b!K7</f>
        <v/>
      </c>
      <c r="U7" s="18">
        <f>IF(E7=1, S7/MAX(T7,cfg_i_clip_floor_a), "")</f>
        <v/>
      </c>
      <c r="V7" s="15">
        <f>IF(AND(ABS(T7)&lt;cfg_i_threshold_a, S7&gt;cfg_min_voc_v), S7, "")</f>
        <v/>
      </c>
      <c r="W7" s="15">
        <f>Raw_Data_M2b!L7</f>
        <v/>
      </c>
      <c r="X7" s="17">
        <f>Raw_Data_M2b!M7</f>
        <v/>
      </c>
      <c r="Y7" s="18">
        <f>IF(E7=1, W7/MAX(X7,cfg_i_clip_floor_a), "")</f>
        <v/>
      </c>
      <c r="Z7" s="15">
        <f>IF(AND(ABS(X7)&lt;cfg_i_threshold_a, W7&gt;cfg_min_voc_v), W7, "")</f>
        <v/>
      </c>
    </row>
    <row r="8">
      <c r="A8" s="5">
        <f>Raw_Data_M2b!A8</f>
        <v/>
      </c>
      <c r="B8" s="16">
        <f>Raw_Data_M2b!B8</f>
        <v/>
      </c>
      <c r="C8" s="5">
        <f>Raw_Data_M2b!C8</f>
        <v/>
      </c>
      <c r="D8" s="18">
        <f>IFERROR(VLOOKUP(B8,Meteo_Dummy!$A$5:$B$28,2,FALSE),0)</f>
        <v/>
      </c>
      <c r="E8" s="5">
        <f>IF(AND(D8&gt;cfg_poa_threshold_wm2,D8&gt;cfg_poa_floor_wm2),1,0)</f>
        <v/>
      </c>
      <c r="F8" s="5">
        <f>IF(ISNUMBER(SEARCH("grid connected",LOWER(C8))),1,0)</f>
        <v/>
      </c>
      <c r="G8" s="15">
        <f>Raw_Data_M2b!D8</f>
        <v/>
      </c>
      <c r="H8" s="17">
        <f>Raw_Data_M2b!E8</f>
        <v/>
      </c>
      <c r="I8" s="18">
        <f>IF(E8=1, G8/MAX(H8,cfg_i_clip_floor_a), "")</f>
        <v/>
      </c>
      <c r="J8" s="15">
        <f>IF(AND(ABS(H8)&lt;cfg_i_threshold_a, G8&gt;cfg_min_voc_v), G8, "")</f>
        <v/>
      </c>
      <c r="K8" s="15">
        <f>Raw_Data_M2b!F8</f>
        <v/>
      </c>
      <c r="L8" s="17">
        <f>Raw_Data_M2b!G8</f>
        <v/>
      </c>
      <c r="M8" s="18">
        <f>IF(E8=1, K8/MAX(L8,cfg_i_clip_floor_a), "")</f>
        <v/>
      </c>
      <c r="N8" s="15">
        <f>IF(AND(ABS(L8)&lt;cfg_i_threshold_a, K8&gt;cfg_min_voc_v), K8, "")</f>
        <v/>
      </c>
      <c r="O8" s="15">
        <f>Raw_Data_M2b!H8</f>
        <v/>
      </c>
      <c r="P8" s="17">
        <f>Raw_Data_M2b!I8</f>
        <v/>
      </c>
      <c r="Q8" s="18">
        <f>IF(E8=1, O8/MAX(P8,cfg_i_clip_floor_a), "")</f>
        <v/>
      </c>
      <c r="R8" s="15">
        <f>IF(AND(ABS(P8)&lt;cfg_i_threshold_a, O8&gt;cfg_min_voc_v), O8, "")</f>
        <v/>
      </c>
      <c r="S8" s="15">
        <f>Raw_Data_M2b!J8</f>
        <v/>
      </c>
      <c r="T8" s="17">
        <f>Raw_Data_M2b!K8</f>
        <v/>
      </c>
      <c r="U8" s="18">
        <f>IF(E8=1, S8/MAX(T8,cfg_i_clip_floor_a), "")</f>
        <v/>
      </c>
      <c r="V8" s="15">
        <f>IF(AND(ABS(T8)&lt;cfg_i_threshold_a, S8&gt;cfg_min_voc_v), S8, "")</f>
        <v/>
      </c>
      <c r="W8" s="15">
        <f>Raw_Data_M2b!L8</f>
        <v/>
      </c>
      <c r="X8" s="17">
        <f>Raw_Data_M2b!M8</f>
        <v/>
      </c>
      <c r="Y8" s="18">
        <f>IF(E8=1, W8/MAX(X8,cfg_i_clip_floor_a), "")</f>
        <v/>
      </c>
      <c r="Z8" s="15">
        <f>IF(AND(ABS(X8)&lt;cfg_i_threshold_a, W8&gt;cfg_min_voc_v), W8, "")</f>
        <v/>
      </c>
    </row>
    <row r="9">
      <c r="A9" s="5">
        <f>Raw_Data_M2b!A9</f>
        <v/>
      </c>
      <c r="B9" s="16">
        <f>Raw_Data_M2b!B9</f>
        <v/>
      </c>
      <c r="C9" s="5">
        <f>Raw_Data_M2b!C9</f>
        <v/>
      </c>
      <c r="D9" s="18">
        <f>IFERROR(VLOOKUP(B9,Meteo_Dummy!$A$5:$B$28,2,FALSE),0)</f>
        <v/>
      </c>
      <c r="E9" s="5">
        <f>IF(AND(D9&gt;cfg_poa_threshold_wm2,D9&gt;cfg_poa_floor_wm2),1,0)</f>
        <v/>
      </c>
      <c r="F9" s="5">
        <f>IF(ISNUMBER(SEARCH("grid connected",LOWER(C9))),1,0)</f>
        <v/>
      </c>
      <c r="G9" s="15">
        <f>Raw_Data_M2b!D9</f>
        <v/>
      </c>
      <c r="H9" s="17">
        <f>Raw_Data_M2b!E9</f>
        <v/>
      </c>
      <c r="I9" s="18">
        <f>IF(E9=1, G9/MAX(H9,cfg_i_clip_floor_a), "")</f>
        <v/>
      </c>
      <c r="J9" s="15">
        <f>IF(AND(ABS(H9)&lt;cfg_i_threshold_a, G9&gt;cfg_min_voc_v), G9, "")</f>
        <v/>
      </c>
      <c r="K9" s="15">
        <f>Raw_Data_M2b!F9</f>
        <v/>
      </c>
      <c r="L9" s="17">
        <f>Raw_Data_M2b!G9</f>
        <v/>
      </c>
      <c r="M9" s="18">
        <f>IF(E9=1, K9/MAX(L9,cfg_i_clip_floor_a), "")</f>
        <v/>
      </c>
      <c r="N9" s="15">
        <f>IF(AND(ABS(L9)&lt;cfg_i_threshold_a, K9&gt;cfg_min_voc_v), K9, "")</f>
        <v/>
      </c>
      <c r="O9" s="15">
        <f>Raw_Data_M2b!H9</f>
        <v/>
      </c>
      <c r="P9" s="17">
        <f>Raw_Data_M2b!I9</f>
        <v/>
      </c>
      <c r="Q9" s="18">
        <f>IF(E9=1, O9/MAX(P9,cfg_i_clip_floor_a), "")</f>
        <v/>
      </c>
      <c r="R9" s="15">
        <f>IF(AND(ABS(P9)&lt;cfg_i_threshold_a, O9&gt;cfg_min_voc_v), O9, "")</f>
        <v/>
      </c>
      <c r="S9" s="15">
        <f>Raw_Data_M2b!J9</f>
        <v/>
      </c>
      <c r="T9" s="17">
        <f>Raw_Data_M2b!K9</f>
        <v/>
      </c>
      <c r="U9" s="18">
        <f>IF(E9=1, S9/MAX(T9,cfg_i_clip_floor_a), "")</f>
        <v/>
      </c>
      <c r="V9" s="15">
        <f>IF(AND(ABS(T9)&lt;cfg_i_threshold_a, S9&gt;cfg_min_voc_v), S9, "")</f>
        <v/>
      </c>
      <c r="W9" s="15">
        <f>Raw_Data_M2b!L9</f>
        <v/>
      </c>
      <c r="X9" s="17">
        <f>Raw_Data_M2b!M9</f>
        <v/>
      </c>
      <c r="Y9" s="18">
        <f>IF(E9=1, W9/MAX(X9,cfg_i_clip_floor_a), "")</f>
        <v/>
      </c>
      <c r="Z9" s="15">
        <f>IF(AND(ABS(X9)&lt;cfg_i_threshold_a, W9&gt;cfg_min_voc_v), W9, "")</f>
        <v/>
      </c>
    </row>
    <row r="10">
      <c r="A10" s="5">
        <f>Raw_Data_M2b!A10</f>
        <v/>
      </c>
      <c r="B10" s="16">
        <f>Raw_Data_M2b!B10</f>
        <v/>
      </c>
      <c r="C10" s="5">
        <f>Raw_Data_M2b!C10</f>
        <v/>
      </c>
      <c r="D10" s="18">
        <f>IFERROR(VLOOKUP(B10,Meteo_Dummy!$A$5:$B$28,2,FALSE),0)</f>
        <v/>
      </c>
      <c r="E10" s="5">
        <f>IF(AND(D10&gt;cfg_poa_threshold_wm2,D10&gt;cfg_poa_floor_wm2),1,0)</f>
        <v/>
      </c>
      <c r="F10" s="5">
        <f>IF(ISNUMBER(SEARCH("grid connected",LOWER(C10))),1,0)</f>
        <v/>
      </c>
      <c r="G10" s="15">
        <f>Raw_Data_M2b!D10</f>
        <v/>
      </c>
      <c r="H10" s="17">
        <f>Raw_Data_M2b!E10</f>
        <v/>
      </c>
      <c r="I10" s="18">
        <f>IF(E10=1, G10/MAX(H10,cfg_i_clip_floor_a), "")</f>
        <v/>
      </c>
      <c r="J10" s="15">
        <f>IF(AND(ABS(H10)&lt;cfg_i_threshold_a, G10&gt;cfg_min_voc_v), G10, "")</f>
        <v/>
      </c>
      <c r="K10" s="15">
        <f>Raw_Data_M2b!F10</f>
        <v/>
      </c>
      <c r="L10" s="17">
        <f>Raw_Data_M2b!G10</f>
        <v/>
      </c>
      <c r="M10" s="18">
        <f>IF(E10=1, K10/MAX(L10,cfg_i_clip_floor_a), "")</f>
        <v/>
      </c>
      <c r="N10" s="15">
        <f>IF(AND(ABS(L10)&lt;cfg_i_threshold_a, K10&gt;cfg_min_voc_v), K10, "")</f>
        <v/>
      </c>
      <c r="O10" s="15">
        <f>Raw_Data_M2b!H10</f>
        <v/>
      </c>
      <c r="P10" s="17">
        <f>Raw_Data_M2b!I10</f>
        <v/>
      </c>
      <c r="Q10" s="18">
        <f>IF(E10=1, O10/MAX(P10,cfg_i_clip_floor_a), "")</f>
        <v/>
      </c>
      <c r="R10" s="15">
        <f>IF(AND(ABS(P10)&lt;cfg_i_threshold_a, O10&gt;cfg_min_voc_v), O10, "")</f>
        <v/>
      </c>
      <c r="S10" s="15">
        <f>Raw_Data_M2b!J10</f>
        <v/>
      </c>
      <c r="T10" s="17">
        <f>Raw_Data_M2b!K10</f>
        <v/>
      </c>
      <c r="U10" s="18">
        <f>IF(E10=1, S10/MAX(T10,cfg_i_clip_floor_a), "")</f>
        <v/>
      </c>
      <c r="V10" s="15">
        <f>IF(AND(ABS(T10)&lt;cfg_i_threshold_a, S10&gt;cfg_min_voc_v), S10, "")</f>
        <v/>
      </c>
      <c r="W10" s="15">
        <f>Raw_Data_M2b!L10</f>
        <v/>
      </c>
      <c r="X10" s="17">
        <f>Raw_Data_M2b!M10</f>
        <v/>
      </c>
      <c r="Y10" s="18">
        <f>IF(E10=1, W10/MAX(X10,cfg_i_clip_floor_a), "")</f>
        <v/>
      </c>
      <c r="Z10" s="15">
        <f>IF(AND(ABS(X10)&lt;cfg_i_threshold_a, W10&gt;cfg_min_voc_v), W10, "")</f>
        <v/>
      </c>
    </row>
    <row r="11">
      <c r="A11" s="5">
        <f>Raw_Data_M2b!A11</f>
        <v/>
      </c>
      <c r="B11" s="16">
        <f>Raw_Data_M2b!B11</f>
        <v/>
      </c>
      <c r="C11" s="5">
        <f>Raw_Data_M2b!C11</f>
        <v/>
      </c>
      <c r="D11" s="18">
        <f>IFERROR(VLOOKUP(B11,Meteo_Dummy!$A$5:$B$28,2,FALSE),0)</f>
        <v/>
      </c>
      <c r="E11" s="5">
        <f>IF(AND(D11&gt;cfg_poa_threshold_wm2,D11&gt;cfg_poa_floor_wm2),1,0)</f>
        <v/>
      </c>
      <c r="F11" s="5">
        <f>IF(ISNUMBER(SEARCH("grid connected",LOWER(C11))),1,0)</f>
        <v/>
      </c>
      <c r="G11" s="15">
        <f>Raw_Data_M2b!D11</f>
        <v/>
      </c>
      <c r="H11" s="17">
        <f>Raw_Data_M2b!E11</f>
        <v/>
      </c>
      <c r="I11" s="18">
        <f>IF(E11=1, G11/MAX(H11,cfg_i_clip_floor_a), "")</f>
        <v/>
      </c>
      <c r="J11" s="15">
        <f>IF(AND(ABS(H11)&lt;cfg_i_threshold_a, G11&gt;cfg_min_voc_v), G11, "")</f>
        <v/>
      </c>
      <c r="K11" s="15">
        <f>Raw_Data_M2b!F11</f>
        <v/>
      </c>
      <c r="L11" s="17">
        <f>Raw_Data_M2b!G11</f>
        <v/>
      </c>
      <c r="M11" s="18">
        <f>IF(E11=1, K11/MAX(L11,cfg_i_clip_floor_a), "")</f>
        <v/>
      </c>
      <c r="N11" s="15">
        <f>IF(AND(ABS(L11)&lt;cfg_i_threshold_a, K11&gt;cfg_min_voc_v), K11, "")</f>
        <v/>
      </c>
      <c r="O11" s="15">
        <f>Raw_Data_M2b!H11</f>
        <v/>
      </c>
      <c r="P11" s="17">
        <f>Raw_Data_M2b!I11</f>
        <v/>
      </c>
      <c r="Q11" s="18">
        <f>IF(E11=1, O11/MAX(P11,cfg_i_clip_floor_a), "")</f>
        <v/>
      </c>
      <c r="R11" s="15">
        <f>IF(AND(ABS(P11)&lt;cfg_i_threshold_a, O11&gt;cfg_min_voc_v), O11, "")</f>
        <v/>
      </c>
      <c r="S11" s="15">
        <f>Raw_Data_M2b!J11</f>
        <v/>
      </c>
      <c r="T11" s="17">
        <f>Raw_Data_M2b!K11</f>
        <v/>
      </c>
      <c r="U11" s="18">
        <f>IF(E11=1, S11/MAX(T11,cfg_i_clip_floor_a), "")</f>
        <v/>
      </c>
      <c r="V11" s="15">
        <f>IF(AND(ABS(T11)&lt;cfg_i_threshold_a, S11&gt;cfg_min_voc_v), S11, "")</f>
        <v/>
      </c>
      <c r="W11" s="15">
        <f>Raw_Data_M2b!L11</f>
        <v/>
      </c>
      <c r="X11" s="17">
        <f>Raw_Data_M2b!M11</f>
        <v/>
      </c>
      <c r="Y11" s="18">
        <f>IF(E11=1, W11/MAX(X11,cfg_i_clip_floor_a), "")</f>
        <v/>
      </c>
      <c r="Z11" s="15">
        <f>IF(AND(ABS(X11)&lt;cfg_i_threshold_a, W11&gt;cfg_min_voc_v), W11, "")</f>
        <v/>
      </c>
    </row>
    <row r="12">
      <c r="A12" s="5">
        <f>Raw_Data_M2b!A12</f>
        <v/>
      </c>
      <c r="B12" s="16">
        <f>Raw_Data_M2b!B12</f>
        <v/>
      </c>
      <c r="C12" s="5">
        <f>Raw_Data_M2b!C12</f>
        <v/>
      </c>
      <c r="D12" s="18">
        <f>IFERROR(VLOOKUP(B12,Meteo_Dummy!$A$5:$B$28,2,FALSE),0)</f>
        <v/>
      </c>
      <c r="E12" s="5">
        <f>IF(AND(D12&gt;cfg_poa_threshold_wm2,D12&gt;cfg_poa_floor_wm2),1,0)</f>
        <v/>
      </c>
      <c r="F12" s="5">
        <f>IF(ISNUMBER(SEARCH("grid connected",LOWER(C12))),1,0)</f>
        <v/>
      </c>
      <c r="G12" s="15">
        <f>Raw_Data_M2b!D12</f>
        <v/>
      </c>
      <c r="H12" s="17">
        <f>Raw_Data_M2b!E12</f>
        <v/>
      </c>
      <c r="I12" s="18">
        <f>IF(E12=1, G12/MAX(H12,cfg_i_clip_floor_a), "")</f>
        <v/>
      </c>
      <c r="J12" s="15">
        <f>IF(AND(ABS(H12)&lt;cfg_i_threshold_a, G12&gt;cfg_min_voc_v), G12, "")</f>
        <v/>
      </c>
      <c r="K12" s="15">
        <f>Raw_Data_M2b!F12</f>
        <v/>
      </c>
      <c r="L12" s="17">
        <f>Raw_Data_M2b!G12</f>
        <v/>
      </c>
      <c r="M12" s="18">
        <f>IF(E12=1, K12/MAX(L12,cfg_i_clip_floor_a), "")</f>
        <v/>
      </c>
      <c r="N12" s="15">
        <f>IF(AND(ABS(L12)&lt;cfg_i_threshold_a, K12&gt;cfg_min_voc_v), K12, "")</f>
        <v/>
      </c>
      <c r="O12" s="15">
        <f>Raw_Data_M2b!H12</f>
        <v/>
      </c>
      <c r="P12" s="17">
        <f>Raw_Data_M2b!I12</f>
        <v/>
      </c>
      <c r="Q12" s="18">
        <f>IF(E12=1, O12/MAX(P12,cfg_i_clip_floor_a), "")</f>
        <v/>
      </c>
      <c r="R12" s="15">
        <f>IF(AND(ABS(P12)&lt;cfg_i_threshold_a, O12&gt;cfg_min_voc_v), O12, "")</f>
        <v/>
      </c>
      <c r="S12" s="15">
        <f>Raw_Data_M2b!J12</f>
        <v/>
      </c>
      <c r="T12" s="17">
        <f>Raw_Data_M2b!K12</f>
        <v/>
      </c>
      <c r="U12" s="18">
        <f>IF(E12=1, S12/MAX(T12,cfg_i_clip_floor_a), "")</f>
        <v/>
      </c>
      <c r="V12" s="15">
        <f>IF(AND(ABS(T12)&lt;cfg_i_threshold_a, S12&gt;cfg_min_voc_v), S12, "")</f>
        <v/>
      </c>
      <c r="W12" s="15">
        <f>Raw_Data_M2b!L12</f>
        <v/>
      </c>
      <c r="X12" s="17">
        <f>Raw_Data_M2b!M12</f>
        <v/>
      </c>
      <c r="Y12" s="18">
        <f>IF(E12=1, W12/MAX(X12,cfg_i_clip_floor_a), "")</f>
        <v/>
      </c>
      <c r="Z12" s="15">
        <f>IF(AND(ABS(X12)&lt;cfg_i_threshold_a, W12&gt;cfg_min_voc_v), W12, "")</f>
        <v/>
      </c>
    </row>
    <row r="13">
      <c r="A13" s="5">
        <f>Raw_Data_M2b!A13</f>
        <v/>
      </c>
      <c r="B13" s="16">
        <f>Raw_Data_M2b!B13</f>
        <v/>
      </c>
      <c r="C13" s="5">
        <f>Raw_Data_M2b!C13</f>
        <v/>
      </c>
      <c r="D13" s="18">
        <f>IFERROR(VLOOKUP(B13,Meteo_Dummy!$A$5:$B$28,2,FALSE),0)</f>
        <v/>
      </c>
      <c r="E13" s="5">
        <f>IF(AND(D13&gt;cfg_poa_threshold_wm2,D13&gt;cfg_poa_floor_wm2),1,0)</f>
        <v/>
      </c>
      <c r="F13" s="5">
        <f>IF(ISNUMBER(SEARCH("grid connected",LOWER(C13))),1,0)</f>
        <v/>
      </c>
      <c r="G13" s="15">
        <f>Raw_Data_M2b!D13</f>
        <v/>
      </c>
      <c r="H13" s="17">
        <f>Raw_Data_M2b!E13</f>
        <v/>
      </c>
      <c r="I13" s="18">
        <f>IF(E13=1, G13/MAX(H13,cfg_i_clip_floor_a), "")</f>
        <v/>
      </c>
      <c r="J13" s="15">
        <f>IF(AND(ABS(H13)&lt;cfg_i_threshold_a, G13&gt;cfg_min_voc_v), G13, "")</f>
        <v/>
      </c>
      <c r="K13" s="15">
        <f>Raw_Data_M2b!F13</f>
        <v/>
      </c>
      <c r="L13" s="17">
        <f>Raw_Data_M2b!G13</f>
        <v/>
      </c>
      <c r="M13" s="18">
        <f>IF(E13=1, K13/MAX(L13,cfg_i_clip_floor_a), "")</f>
        <v/>
      </c>
      <c r="N13" s="15">
        <f>IF(AND(ABS(L13)&lt;cfg_i_threshold_a, K13&gt;cfg_min_voc_v), K13, "")</f>
        <v/>
      </c>
      <c r="O13" s="15">
        <f>Raw_Data_M2b!H13</f>
        <v/>
      </c>
      <c r="P13" s="17">
        <f>Raw_Data_M2b!I13</f>
        <v/>
      </c>
      <c r="Q13" s="18">
        <f>IF(E13=1, O13/MAX(P13,cfg_i_clip_floor_a), "")</f>
        <v/>
      </c>
      <c r="R13" s="15">
        <f>IF(AND(ABS(P13)&lt;cfg_i_threshold_a, O13&gt;cfg_min_voc_v), O13, "")</f>
        <v/>
      </c>
      <c r="S13" s="15">
        <f>Raw_Data_M2b!J13</f>
        <v/>
      </c>
      <c r="T13" s="17">
        <f>Raw_Data_M2b!K13</f>
        <v/>
      </c>
      <c r="U13" s="18">
        <f>IF(E13=1, S13/MAX(T13,cfg_i_clip_floor_a), "")</f>
        <v/>
      </c>
      <c r="V13" s="15">
        <f>IF(AND(ABS(T13)&lt;cfg_i_threshold_a, S13&gt;cfg_min_voc_v), S13, "")</f>
        <v/>
      </c>
      <c r="W13" s="15">
        <f>Raw_Data_M2b!L13</f>
        <v/>
      </c>
      <c r="X13" s="17">
        <f>Raw_Data_M2b!M13</f>
        <v/>
      </c>
      <c r="Y13" s="18">
        <f>IF(E13=1, W13/MAX(X13,cfg_i_clip_floor_a), "")</f>
        <v/>
      </c>
      <c r="Z13" s="15">
        <f>IF(AND(ABS(X13)&lt;cfg_i_threshold_a, W13&gt;cfg_min_voc_v), W13, "")</f>
        <v/>
      </c>
    </row>
    <row r="14">
      <c r="A14" s="5">
        <f>Raw_Data_M2b!A14</f>
        <v/>
      </c>
      <c r="B14" s="16">
        <f>Raw_Data_M2b!B14</f>
        <v/>
      </c>
      <c r="C14" s="5">
        <f>Raw_Data_M2b!C14</f>
        <v/>
      </c>
      <c r="D14" s="18">
        <f>IFERROR(VLOOKUP(B14,Meteo_Dummy!$A$5:$B$28,2,FALSE),0)</f>
        <v/>
      </c>
      <c r="E14" s="5">
        <f>IF(AND(D14&gt;cfg_poa_threshold_wm2,D14&gt;cfg_poa_floor_wm2),1,0)</f>
        <v/>
      </c>
      <c r="F14" s="5">
        <f>IF(ISNUMBER(SEARCH("grid connected",LOWER(C14))),1,0)</f>
        <v/>
      </c>
      <c r="G14" s="15">
        <f>Raw_Data_M2b!D14</f>
        <v/>
      </c>
      <c r="H14" s="17">
        <f>Raw_Data_M2b!E14</f>
        <v/>
      </c>
      <c r="I14" s="18">
        <f>IF(E14=1, G14/MAX(H14,cfg_i_clip_floor_a), "")</f>
        <v/>
      </c>
      <c r="J14" s="15">
        <f>IF(AND(ABS(H14)&lt;cfg_i_threshold_a, G14&gt;cfg_min_voc_v), G14, "")</f>
        <v/>
      </c>
      <c r="K14" s="15">
        <f>Raw_Data_M2b!F14</f>
        <v/>
      </c>
      <c r="L14" s="17">
        <f>Raw_Data_M2b!G14</f>
        <v/>
      </c>
      <c r="M14" s="18">
        <f>IF(E14=1, K14/MAX(L14,cfg_i_clip_floor_a), "")</f>
        <v/>
      </c>
      <c r="N14" s="15">
        <f>IF(AND(ABS(L14)&lt;cfg_i_threshold_a, K14&gt;cfg_min_voc_v), K14, "")</f>
        <v/>
      </c>
      <c r="O14" s="15">
        <f>Raw_Data_M2b!H14</f>
        <v/>
      </c>
      <c r="P14" s="17">
        <f>Raw_Data_M2b!I14</f>
        <v/>
      </c>
      <c r="Q14" s="18">
        <f>IF(E14=1, O14/MAX(P14,cfg_i_clip_floor_a), "")</f>
        <v/>
      </c>
      <c r="R14" s="15">
        <f>IF(AND(ABS(P14)&lt;cfg_i_threshold_a, O14&gt;cfg_min_voc_v), O14, "")</f>
        <v/>
      </c>
      <c r="S14" s="15">
        <f>Raw_Data_M2b!J14</f>
        <v/>
      </c>
      <c r="T14" s="17">
        <f>Raw_Data_M2b!K14</f>
        <v/>
      </c>
      <c r="U14" s="18">
        <f>IF(E14=1, S14/MAX(T14,cfg_i_clip_floor_a), "")</f>
        <v/>
      </c>
      <c r="V14" s="15">
        <f>IF(AND(ABS(T14)&lt;cfg_i_threshold_a, S14&gt;cfg_min_voc_v), S14, "")</f>
        <v/>
      </c>
      <c r="W14" s="15">
        <f>Raw_Data_M2b!L14</f>
        <v/>
      </c>
      <c r="X14" s="17">
        <f>Raw_Data_M2b!M14</f>
        <v/>
      </c>
      <c r="Y14" s="18">
        <f>IF(E14=1, W14/MAX(X14,cfg_i_clip_floor_a), "")</f>
        <v/>
      </c>
      <c r="Z14" s="15">
        <f>IF(AND(ABS(X14)&lt;cfg_i_threshold_a, W14&gt;cfg_min_voc_v), W14, "")</f>
        <v/>
      </c>
    </row>
    <row r="15">
      <c r="A15" s="5">
        <f>Raw_Data_M2b!A15</f>
        <v/>
      </c>
      <c r="B15" s="16">
        <f>Raw_Data_M2b!B15</f>
        <v/>
      </c>
      <c r="C15" s="5">
        <f>Raw_Data_M2b!C15</f>
        <v/>
      </c>
      <c r="D15" s="18">
        <f>IFERROR(VLOOKUP(B15,Meteo_Dummy!$A$5:$B$28,2,FALSE),0)</f>
        <v/>
      </c>
      <c r="E15" s="5">
        <f>IF(AND(D15&gt;cfg_poa_threshold_wm2,D15&gt;cfg_poa_floor_wm2),1,0)</f>
        <v/>
      </c>
      <c r="F15" s="5">
        <f>IF(ISNUMBER(SEARCH("grid connected",LOWER(C15))),1,0)</f>
        <v/>
      </c>
      <c r="G15" s="15">
        <f>Raw_Data_M2b!D15</f>
        <v/>
      </c>
      <c r="H15" s="17">
        <f>Raw_Data_M2b!E15</f>
        <v/>
      </c>
      <c r="I15" s="18">
        <f>IF(E15=1, G15/MAX(H15,cfg_i_clip_floor_a), "")</f>
        <v/>
      </c>
      <c r="J15" s="15">
        <f>IF(AND(ABS(H15)&lt;cfg_i_threshold_a, G15&gt;cfg_min_voc_v), G15, "")</f>
        <v/>
      </c>
      <c r="K15" s="15">
        <f>Raw_Data_M2b!F15</f>
        <v/>
      </c>
      <c r="L15" s="17">
        <f>Raw_Data_M2b!G15</f>
        <v/>
      </c>
      <c r="M15" s="18">
        <f>IF(E15=1, K15/MAX(L15,cfg_i_clip_floor_a), "")</f>
        <v/>
      </c>
      <c r="N15" s="15">
        <f>IF(AND(ABS(L15)&lt;cfg_i_threshold_a, K15&gt;cfg_min_voc_v), K15, "")</f>
        <v/>
      </c>
      <c r="O15" s="15">
        <f>Raw_Data_M2b!H15</f>
        <v/>
      </c>
      <c r="P15" s="17">
        <f>Raw_Data_M2b!I15</f>
        <v/>
      </c>
      <c r="Q15" s="18">
        <f>IF(E15=1, O15/MAX(P15,cfg_i_clip_floor_a), "")</f>
        <v/>
      </c>
      <c r="R15" s="15">
        <f>IF(AND(ABS(P15)&lt;cfg_i_threshold_a, O15&gt;cfg_min_voc_v), O15, "")</f>
        <v/>
      </c>
      <c r="S15" s="15">
        <f>Raw_Data_M2b!J15</f>
        <v/>
      </c>
      <c r="T15" s="17">
        <f>Raw_Data_M2b!K15</f>
        <v/>
      </c>
      <c r="U15" s="18">
        <f>IF(E15=1, S15/MAX(T15,cfg_i_clip_floor_a), "")</f>
        <v/>
      </c>
      <c r="V15" s="15">
        <f>IF(AND(ABS(T15)&lt;cfg_i_threshold_a, S15&gt;cfg_min_voc_v), S15, "")</f>
        <v/>
      </c>
      <c r="W15" s="15">
        <f>Raw_Data_M2b!L15</f>
        <v/>
      </c>
      <c r="X15" s="17">
        <f>Raw_Data_M2b!M15</f>
        <v/>
      </c>
      <c r="Y15" s="18">
        <f>IF(E15=1, W15/MAX(X15,cfg_i_clip_floor_a), "")</f>
        <v/>
      </c>
      <c r="Z15" s="15">
        <f>IF(AND(ABS(X15)&lt;cfg_i_threshold_a, W15&gt;cfg_min_voc_v), W15, "")</f>
        <v/>
      </c>
    </row>
    <row r="16">
      <c r="A16" s="5">
        <f>Raw_Data_M2b!A16</f>
        <v/>
      </c>
      <c r="B16" s="16">
        <f>Raw_Data_M2b!B16</f>
        <v/>
      </c>
      <c r="C16" s="5">
        <f>Raw_Data_M2b!C16</f>
        <v/>
      </c>
      <c r="D16" s="18">
        <f>IFERROR(VLOOKUP(B16,Meteo_Dummy!$A$5:$B$28,2,FALSE),0)</f>
        <v/>
      </c>
      <c r="E16" s="5">
        <f>IF(AND(D16&gt;cfg_poa_threshold_wm2,D16&gt;cfg_poa_floor_wm2),1,0)</f>
        <v/>
      </c>
      <c r="F16" s="5">
        <f>IF(ISNUMBER(SEARCH("grid connected",LOWER(C16))),1,0)</f>
        <v/>
      </c>
      <c r="G16" s="15">
        <f>Raw_Data_M2b!D16</f>
        <v/>
      </c>
      <c r="H16" s="17">
        <f>Raw_Data_M2b!E16</f>
        <v/>
      </c>
      <c r="I16" s="18">
        <f>IF(E16=1, G16/MAX(H16,cfg_i_clip_floor_a), "")</f>
        <v/>
      </c>
      <c r="J16" s="15">
        <f>IF(AND(ABS(H16)&lt;cfg_i_threshold_a, G16&gt;cfg_min_voc_v), G16, "")</f>
        <v/>
      </c>
      <c r="K16" s="15">
        <f>Raw_Data_M2b!F16</f>
        <v/>
      </c>
      <c r="L16" s="17">
        <f>Raw_Data_M2b!G16</f>
        <v/>
      </c>
      <c r="M16" s="18">
        <f>IF(E16=1, K16/MAX(L16,cfg_i_clip_floor_a), "")</f>
        <v/>
      </c>
      <c r="N16" s="15">
        <f>IF(AND(ABS(L16)&lt;cfg_i_threshold_a, K16&gt;cfg_min_voc_v), K16, "")</f>
        <v/>
      </c>
      <c r="O16" s="15">
        <f>Raw_Data_M2b!H16</f>
        <v/>
      </c>
      <c r="P16" s="17">
        <f>Raw_Data_M2b!I16</f>
        <v/>
      </c>
      <c r="Q16" s="18">
        <f>IF(E16=1, O16/MAX(P16,cfg_i_clip_floor_a), "")</f>
        <v/>
      </c>
      <c r="R16" s="15">
        <f>IF(AND(ABS(P16)&lt;cfg_i_threshold_a, O16&gt;cfg_min_voc_v), O16, "")</f>
        <v/>
      </c>
      <c r="S16" s="15">
        <f>Raw_Data_M2b!J16</f>
        <v/>
      </c>
      <c r="T16" s="17">
        <f>Raw_Data_M2b!K16</f>
        <v/>
      </c>
      <c r="U16" s="18">
        <f>IF(E16=1, S16/MAX(T16,cfg_i_clip_floor_a), "")</f>
        <v/>
      </c>
      <c r="V16" s="15">
        <f>IF(AND(ABS(T16)&lt;cfg_i_threshold_a, S16&gt;cfg_min_voc_v), S16, "")</f>
        <v/>
      </c>
      <c r="W16" s="15">
        <f>Raw_Data_M2b!L16</f>
        <v/>
      </c>
      <c r="X16" s="17">
        <f>Raw_Data_M2b!M16</f>
        <v/>
      </c>
      <c r="Y16" s="18">
        <f>IF(E16=1, W16/MAX(X16,cfg_i_clip_floor_a), "")</f>
        <v/>
      </c>
      <c r="Z16" s="15">
        <f>IF(AND(ABS(X16)&lt;cfg_i_threshold_a, W16&gt;cfg_min_voc_v), W16, "")</f>
        <v/>
      </c>
    </row>
    <row r="17">
      <c r="A17" s="5">
        <f>Raw_Data_M2b!A17</f>
        <v/>
      </c>
      <c r="B17" s="16">
        <f>Raw_Data_M2b!B17</f>
        <v/>
      </c>
      <c r="C17" s="5">
        <f>Raw_Data_M2b!C17</f>
        <v/>
      </c>
      <c r="D17" s="18">
        <f>IFERROR(VLOOKUP(B17,Meteo_Dummy!$A$5:$B$28,2,FALSE),0)</f>
        <v/>
      </c>
      <c r="E17" s="5">
        <f>IF(AND(D17&gt;cfg_poa_threshold_wm2,D17&gt;cfg_poa_floor_wm2),1,0)</f>
        <v/>
      </c>
      <c r="F17" s="5">
        <f>IF(ISNUMBER(SEARCH("grid connected",LOWER(C17))),1,0)</f>
        <v/>
      </c>
      <c r="G17" s="15">
        <f>Raw_Data_M2b!D17</f>
        <v/>
      </c>
      <c r="H17" s="17">
        <f>Raw_Data_M2b!E17</f>
        <v/>
      </c>
      <c r="I17" s="18">
        <f>IF(E17=1, G17/MAX(H17,cfg_i_clip_floor_a), "")</f>
        <v/>
      </c>
      <c r="J17" s="15">
        <f>IF(AND(ABS(H17)&lt;cfg_i_threshold_a, G17&gt;cfg_min_voc_v), G17, "")</f>
        <v/>
      </c>
      <c r="K17" s="15">
        <f>Raw_Data_M2b!F17</f>
        <v/>
      </c>
      <c r="L17" s="17">
        <f>Raw_Data_M2b!G17</f>
        <v/>
      </c>
      <c r="M17" s="18">
        <f>IF(E17=1, K17/MAX(L17,cfg_i_clip_floor_a), "")</f>
        <v/>
      </c>
      <c r="N17" s="15">
        <f>IF(AND(ABS(L17)&lt;cfg_i_threshold_a, K17&gt;cfg_min_voc_v), K17, "")</f>
        <v/>
      </c>
      <c r="O17" s="15">
        <f>Raw_Data_M2b!H17</f>
        <v/>
      </c>
      <c r="P17" s="17">
        <f>Raw_Data_M2b!I17</f>
        <v/>
      </c>
      <c r="Q17" s="18">
        <f>IF(E17=1, O17/MAX(P17,cfg_i_clip_floor_a), "")</f>
        <v/>
      </c>
      <c r="R17" s="15">
        <f>IF(AND(ABS(P17)&lt;cfg_i_threshold_a, O17&gt;cfg_min_voc_v), O17, "")</f>
        <v/>
      </c>
      <c r="S17" s="15">
        <f>Raw_Data_M2b!J17</f>
        <v/>
      </c>
      <c r="T17" s="17">
        <f>Raw_Data_M2b!K17</f>
        <v/>
      </c>
      <c r="U17" s="18">
        <f>IF(E17=1, S17/MAX(T17,cfg_i_clip_floor_a), "")</f>
        <v/>
      </c>
      <c r="V17" s="15">
        <f>IF(AND(ABS(T17)&lt;cfg_i_threshold_a, S17&gt;cfg_min_voc_v), S17, "")</f>
        <v/>
      </c>
      <c r="W17" s="15">
        <f>Raw_Data_M2b!L17</f>
        <v/>
      </c>
      <c r="X17" s="17">
        <f>Raw_Data_M2b!M17</f>
        <v/>
      </c>
      <c r="Y17" s="18">
        <f>IF(E17=1, W17/MAX(X17,cfg_i_clip_floor_a), "")</f>
        <v/>
      </c>
      <c r="Z17" s="15">
        <f>IF(AND(ABS(X17)&lt;cfg_i_threshold_a, W17&gt;cfg_min_voc_v), W17, "")</f>
        <v/>
      </c>
    </row>
    <row r="18">
      <c r="A18" s="5">
        <f>Raw_Data_M2b!A18</f>
        <v/>
      </c>
      <c r="B18" s="16">
        <f>Raw_Data_M2b!B18</f>
        <v/>
      </c>
      <c r="C18" s="5">
        <f>Raw_Data_M2b!C18</f>
        <v/>
      </c>
      <c r="D18" s="18">
        <f>IFERROR(VLOOKUP(B18,Meteo_Dummy!$A$5:$B$28,2,FALSE),0)</f>
        <v/>
      </c>
      <c r="E18" s="5">
        <f>IF(AND(D18&gt;cfg_poa_threshold_wm2,D18&gt;cfg_poa_floor_wm2),1,0)</f>
        <v/>
      </c>
      <c r="F18" s="5">
        <f>IF(ISNUMBER(SEARCH("grid connected",LOWER(C18))),1,0)</f>
        <v/>
      </c>
      <c r="G18" s="15">
        <f>Raw_Data_M2b!D18</f>
        <v/>
      </c>
      <c r="H18" s="17">
        <f>Raw_Data_M2b!E18</f>
        <v/>
      </c>
      <c r="I18" s="18">
        <f>IF(E18=1, G18/MAX(H18,cfg_i_clip_floor_a), "")</f>
        <v/>
      </c>
      <c r="J18" s="15">
        <f>IF(AND(ABS(H18)&lt;cfg_i_threshold_a, G18&gt;cfg_min_voc_v), G18, "")</f>
        <v/>
      </c>
      <c r="K18" s="15">
        <f>Raw_Data_M2b!F18</f>
        <v/>
      </c>
      <c r="L18" s="17">
        <f>Raw_Data_M2b!G18</f>
        <v/>
      </c>
      <c r="M18" s="18">
        <f>IF(E18=1, K18/MAX(L18,cfg_i_clip_floor_a), "")</f>
        <v/>
      </c>
      <c r="N18" s="15">
        <f>IF(AND(ABS(L18)&lt;cfg_i_threshold_a, K18&gt;cfg_min_voc_v), K18, "")</f>
        <v/>
      </c>
      <c r="O18" s="15">
        <f>Raw_Data_M2b!H18</f>
        <v/>
      </c>
      <c r="P18" s="17">
        <f>Raw_Data_M2b!I18</f>
        <v/>
      </c>
      <c r="Q18" s="18">
        <f>IF(E18=1, O18/MAX(P18,cfg_i_clip_floor_a), "")</f>
        <v/>
      </c>
      <c r="R18" s="15">
        <f>IF(AND(ABS(P18)&lt;cfg_i_threshold_a, O18&gt;cfg_min_voc_v), O18, "")</f>
        <v/>
      </c>
      <c r="S18" s="15">
        <f>Raw_Data_M2b!J18</f>
        <v/>
      </c>
      <c r="T18" s="17">
        <f>Raw_Data_M2b!K18</f>
        <v/>
      </c>
      <c r="U18" s="18">
        <f>IF(E18=1, S18/MAX(T18,cfg_i_clip_floor_a), "")</f>
        <v/>
      </c>
      <c r="V18" s="15">
        <f>IF(AND(ABS(T18)&lt;cfg_i_threshold_a, S18&gt;cfg_min_voc_v), S18, "")</f>
        <v/>
      </c>
      <c r="W18" s="15">
        <f>Raw_Data_M2b!L18</f>
        <v/>
      </c>
      <c r="X18" s="17">
        <f>Raw_Data_M2b!M18</f>
        <v/>
      </c>
      <c r="Y18" s="18">
        <f>IF(E18=1, W18/MAX(X18,cfg_i_clip_floor_a), "")</f>
        <v/>
      </c>
      <c r="Z18" s="15">
        <f>IF(AND(ABS(X18)&lt;cfg_i_threshold_a, W18&gt;cfg_min_voc_v), W18, "")</f>
        <v/>
      </c>
    </row>
    <row r="19">
      <c r="A19" s="5">
        <f>Raw_Data_M2b!A19</f>
        <v/>
      </c>
      <c r="B19" s="16">
        <f>Raw_Data_M2b!B19</f>
        <v/>
      </c>
      <c r="C19" s="5">
        <f>Raw_Data_M2b!C19</f>
        <v/>
      </c>
      <c r="D19" s="18">
        <f>IFERROR(VLOOKUP(B19,Meteo_Dummy!$A$5:$B$28,2,FALSE),0)</f>
        <v/>
      </c>
      <c r="E19" s="5">
        <f>IF(AND(D19&gt;cfg_poa_threshold_wm2,D19&gt;cfg_poa_floor_wm2),1,0)</f>
        <v/>
      </c>
      <c r="F19" s="5">
        <f>IF(ISNUMBER(SEARCH("grid connected",LOWER(C19))),1,0)</f>
        <v/>
      </c>
      <c r="G19" s="15">
        <f>Raw_Data_M2b!D19</f>
        <v/>
      </c>
      <c r="H19" s="17">
        <f>Raw_Data_M2b!E19</f>
        <v/>
      </c>
      <c r="I19" s="18">
        <f>IF(E19=1, G19/MAX(H19,cfg_i_clip_floor_a), "")</f>
        <v/>
      </c>
      <c r="J19" s="15">
        <f>IF(AND(ABS(H19)&lt;cfg_i_threshold_a, G19&gt;cfg_min_voc_v), G19, "")</f>
        <v/>
      </c>
      <c r="K19" s="15">
        <f>Raw_Data_M2b!F19</f>
        <v/>
      </c>
      <c r="L19" s="17">
        <f>Raw_Data_M2b!G19</f>
        <v/>
      </c>
      <c r="M19" s="18">
        <f>IF(E19=1, K19/MAX(L19,cfg_i_clip_floor_a), "")</f>
        <v/>
      </c>
      <c r="N19" s="15">
        <f>IF(AND(ABS(L19)&lt;cfg_i_threshold_a, K19&gt;cfg_min_voc_v), K19, "")</f>
        <v/>
      </c>
      <c r="O19" s="15">
        <f>Raw_Data_M2b!H19</f>
        <v/>
      </c>
      <c r="P19" s="17">
        <f>Raw_Data_M2b!I19</f>
        <v/>
      </c>
      <c r="Q19" s="18">
        <f>IF(E19=1, O19/MAX(P19,cfg_i_clip_floor_a), "")</f>
        <v/>
      </c>
      <c r="R19" s="15">
        <f>IF(AND(ABS(P19)&lt;cfg_i_threshold_a, O19&gt;cfg_min_voc_v), O19, "")</f>
        <v/>
      </c>
      <c r="S19" s="15">
        <f>Raw_Data_M2b!J19</f>
        <v/>
      </c>
      <c r="T19" s="17">
        <f>Raw_Data_M2b!K19</f>
        <v/>
      </c>
      <c r="U19" s="18">
        <f>IF(E19=1, S19/MAX(T19,cfg_i_clip_floor_a), "")</f>
        <v/>
      </c>
      <c r="V19" s="15">
        <f>IF(AND(ABS(T19)&lt;cfg_i_threshold_a, S19&gt;cfg_min_voc_v), S19, "")</f>
        <v/>
      </c>
      <c r="W19" s="15">
        <f>Raw_Data_M2b!L19</f>
        <v/>
      </c>
      <c r="X19" s="17">
        <f>Raw_Data_M2b!M19</f>
        <v/>
      </c>
      <c r="Y19" s="18">
        <f>IF(E19=1, W19/MAX(X19,cfg_i_clip_floor_a), "")</f>
        <v/>
      </c>
      <c r="Z19" s="15">
        <f>IF(AND(ABS(X19)&lt;cfg_i_threshold_a, W19&gt;cfg_min_voc_v), W19, "")</f>
        <v/>
      </c>
    </row>
    <row r="20">
      <c r="A20" s="5">
        <f>Raw_Data_M2b!A20</f>
        <v/>
      </c>
      <c r="B20" s="16">
        <f>Raw_Data_M2b!B20</f>
        <v/>
      </c>
      <c r="C20" s="5">
        <f>Raw_Data_M2b!C20</f>
        <v/>
      </c>
      <c r="D20" s="18">
        <f>IFERROR(VLOOKUP(B20,Meteo_Dummy!$A$5:$B$28,2,FALSE),0)</f>
        <v/>
      </c>
      <c r="E20" s="5">
        <f>IF(AND(D20&gt;cfg_poa_threshold_wm2,D20&gt;cfg_poa_floor_wm2),1,0)</f>
        <v/>
      </c>
      <c r="F20" s="5">
        <f>IF(ISNUMBER(SEARCH("grid connected",LOWER(C20))),1,0)</f>
        <v/>
      </c>
      <c r="G20" s="15">
        <f>Raw_Data_M2b!D20</f>
        <v/>
      </c>
      <c r="H20" s="17">
        <f>Raw_Data_M2b!E20</f>
        <v/>
      </c>
      <c r="I20" s="18">
        <f>IF(E20=1, G20/MAX(H20,cfg_i_clip_floor_a), "")</f>
        <v/>
      </c>
      <c r="J20" s="15">
        <f>IF(AND(ABS(H20)&lt;cfg_i_threshold_a, G20&gt;cfg_min_voc_v), G20, "")</f>
        <v/>
      </c>
      <c r="K20" s="15">
        <f>Raw_Data_M2b!F20</f>
        <v/>
      </c>
      <c r="L20" s="17">
        <f>Raw_Data_M2b!G20</f>
        <v/>
      </c>
      <c r="M20" s="18">
        <f>IF(E20=1, K20/MAX(L20,cfg_i_clip_floor_a), "")</f>
        <v/>
      </c>
      <c r="N20" s="15">
        <f>IF(AND(ABS(L20)&lt;cfg_i_threshold_a, K20&gt;cfg_min_voc_v), K20, "")</f>
        <v/>
      </c>
      <c r="O20" s="15">
        <f>Raw_Data_M2b!H20</f>
        <v/>
      </c>
      <c r="P20" s="17">
        <f>Raw_Data_M2b!I20</f>
        <v/>
      </c>
      <c r="Q20" s="18">
        <f>IF(E20=1, O20/MAX(P20,cfg_i_clip_floor_a), "")</f>
        <v/>
      </c>
      <c r="R20" s="15">
        <f>IF(AND(ABS(P20)&lt;cfg_i_threshold_a, O20&gt;cfg_min_voc_v), O20, "")</f>
        <v/>
      </c>
      <c r="S20" s="15">
        <f>Raw_Data_M2b!J20</f>
        <v/>
      </c>
      <c r="T20" s="17">
        <f>Raw_Data_M2b!K20</f>
        <v/>
      </c>
      <c r="U20" s="18">
        <f>IF(E20=1, S20/MAX(T20,cfg_i_clip_floor_a), "")</f>
        <v/>
      </c>
      <c r="V20" s="15">
        <f>IF(AND(ABS(T20)&lt;cfg_i_threshold_a, S20&gt;cfg_min_voc_v), S20, "")</f>
        <v/>
      </c>
      <c r="W20" s="15">
        <f>Raw_Data_M2b!L20</f>
        <v/>
      </c>
      <c r="X20" s="17">
        <f>Raw_Data_M2b!M20</f>
        <v/>
      </c>
      <c r="Y20" s="18">
        <f>IF(E20=1, W20/MAX(X20,cfg_i_clip_floor_a), "")</f>
        <v/>
      </c>
      <c r="Z20" s="15">
        <f>IF(AND(ABS(X20)&lt;cfg_i_threshold_a, W20&gt;cfg_min_voc_v), W20, "")</f>
        <v/>
      </c>
    </row>
    <row r="21">
      <c r="A21" s="5">
        <f>Raw_Data_M2b!A21</f>
        <v/>
      </c>
      <c r="B21" s="16">
        <f>Raw_Data_M2b!B21</f>
        <v/>
      </c>
      <c r="C21" s="5">
        <f>Raw_Data_M2b!C21</f>
        <v/>
      </c>
      <c r="D21" s="18">
        <f>IFERROR(VLOOKUP(B21,Meteo_Dummy!$A$5:$B$28,2,FALSE),0)</f>
        <v/>
      </c>
      <c r="E21" s="5">
        <f>IF(AND(D21&gt;cfg_poa_threshold_wm2,D21&gt;cfg_poa_floor_wm2),1,0)</f>
        <v/>
      </c>
      <c r="F21" s="5">
        <f>IF(ISNUMBER(SEARCH("grid connected",LOWER(C21))),1,0)</f>
        <v/>
      </c>
      <c r="G21" s="15">
        <f>Raw_Data_M2b!D21</f>
        <v/>
      </c>
      <c r="H21" s="17">
        <f>Raw_Data_M2b!E21</f>
        <v/>
      </c>
      <c r="I21" s="18">
        <f>IF(E21=1, G21/MAX(H21,cfg_i_clip_floor_a), "")</f>
        <v/>
      </c>
      <c r="J21" s="15">
        <f>IF(AND(ABS(H21)&lt;cfg_i_threshold_a, G21&gt;cfg_min_voc_v), G21, "")</f>
        <v/>
      </c>
      <c r="K21" s="15">
        <f>Raw_Data_M2b!F21</f>
        <v/>
      </c>
      <c r="L21" s="17">
        <f>Raw_Data_M2b!G21</f>
        <v/>
      </c>
      <c r="M21" s="18">
        <f>IF(E21=1, K21/MAX(L21,cfg_i_clip_floor_a), "")</f>
        <v/>
      </c>
      <c r="N21" s="15">
        <f>IF(AND(ABS(L21)&lt;cfg_i_threshold_a, K21&gt;cfg_min_voc_v), K21, "")</f>
        <v/>
      </c>
      <c r="O21" s="15">
        <f>Raw_Data_M2b!H21</f>
        <v/>
      </c>
      <c r="P21" s="17">
        <f>Raw_Data_M2b!I21</f>
        <v/>
      </c>
      <c r="Q21" s="18">
        <f>IF(E21=1, O21/MAX(P21,cfg_i_clip_floor_a), "")</f>
        <v/>
      </c>
      <c r="R21" s="15">
        <f>IF(AND(ABS(P21)&lt;cfg_i_threshold_a, O21&gt;cfg_min_voc_v), O21, "")</f>
        <v/>
      </c>
      <c r="S21" s="15">
        <f>Raw_Data_M2b!J21</f>
        <v/>
      </c>
      <c r="T21" s="17">
        <f>Raw_Data_M2b!K21</f>
        <v/>
      </c>
      <c r="U21" s="18">
        <f>IF(E21=1, S21/MAX(T21,cfg_i_clip_floor_a), "")</f>
        <v/>
      </c>
      <c r="V21" s="15">
        <f>IF(AND(ABS(T21)&lt;cfg_i_threshold_a, S21&gt;cfg_min_voc_v), S21, "")</f>
        <v/>
      </c>
      <c r="W21" s="15">
        <f>Raw_Data_M2b!L21</f>
        <v/>
      </c>
      <c r="X21" s="17">
        <f>Raw_Data_M2b!M21</f>
        <v/>
      </c>
      <c r="Y21" s="18">
        <f>IF(E21=1, W21/MAX(X21,cfg_i_clip_floor_a), "")</f>
        <v/>
      </c>
      <c r="Z21" s="15">
        <f>IF(AND(ABS(X21)&lt;cfg_i_threshold_a, W21&gt;cfg_min_voc_v), W21, "")</f>
        <v/>
      </c>
    </row>
    <row r="22">
      <c r="A22" s="5">
        <f>Raw_Data_M2b!A22</f>
        <v/>
      </c>
      <c r="B22" s="16">
        <f>Raw_Data_M2b!B22</f>
        <v/>
      </c>
      <c r="C22" s="5">
        <f>Raw_Data_M2b!C22</f>
        <v/>
      </c>
      <c r="D22" s="18">
        <f>IFERROR(VLOOKUP(B22,Meteo_Dummy!$A$5:$B$28,2,FALSE),0)</f>
        <v/>
      </c>
      <c r="E22" s="5">
        <f>IF(AND(D22&gt;cfg_poa_threshold_wm2,D22&gt;cfg_poa_floor_wm2),1,0)</f>
        <v/>
      </c>
      <c r="F22" s="5">
        <f>IF(ISNUMBER(SEARCH("grid connected",LOWER(C22))),1,0)</f>
        <v/>
      </c>
      <c r="G22" s="15">
        <f>Raw_Data_M2b!D22</f>
        <v/>
      </c>
      <c r="H22" s="17">
        <f>Raw_Data_M2b!E22</f>
        <v/>
      </c>
      <c r="I22" s="18">
        <f>IF(E22=1, G22/MAX(H22,cfg_i_clip_floor_a), "")</f>
        <v/>
      </c>
      <c r="J22" s="15">
        <f>IF(AND(ABS(H22)&lt;cfg_i_threshold_a, G22&gt;cfg_min_voc_v), G22, "")</f>
        <v/>
      </c>
      <c r="K22" s="15">
        <f>Raw_Data_M2b!F22</f>
        <v/>
      </c>
      <c r="L22" s="17">
        <f>Raw_Data_M2b!G22</f>
        <v/>
      </c>
      <c r="M22" s="18">
        <f>IF(E22=1, K22/MAX(L22,cfg_i_clip_floor_a), "")</f>
        <v/>
      </c>
      <c r="N22" s="15">
        <f>IF(AND(ABS(L22)&lt;cfg_i_threshold_a, K22&gt;cfg_min_voc_v), K22, "")</f>
        <v/>
      </c>
      <c r="O22" s="15">
        <f>Raw_Data_M2b!H22</f>
        <v/>
      </c>
      <c r="P22" s="17">
        <f>Raw_Data_M2b!I22</f>
        <v/>
      </c>
      <c r="Q22" s="18">
        <f>IF(E22=1, O22/MAX(P22,cfg_i_clip_floor_a), "")</f>
        <v/>
      </c>
      <c r="R22" s="15">
        <f>IF(AND(ABS(P22)&lt;cfg_i_threshold_a, O22&gt;cfg_min_voc_v), O22, "")</f>
        <v/>
      </c>
      <c r="S22" s="15">
        <f>Raw_Data_M2b!J22</f>
        <v/>
      </c>
      <c r="T22" s="17">
        <f>Raw_Data_M2b!K22</f>
        <v/>
      </c>
      <c r="U22" s="18">
        <f>IF(E22=1, S22/MAX(T22,cfg_i_clip_floor_a), "")</f>
        <v/>
      </c>
      <c r="V22" s="15">
        <f>IF(AND(ABS(T22)&lt;cfg_i_threshold_a, S22&gt;cfg_min_voc_v), S22, "")</f>
        <v/>
      </c>
      <c r="W22" s="15">
        <f>Raw_Data_M2b!L22</f>
        <v/>
      </c>
      <c r="X22" s="17">
        <f>Raw_Data_M2b!M22</f>
        <v/>
      </c>
      <c r="Y22" s="18">
        <f>IF(E22=1, W22/MAX(X22,cfg_i_clip_floor_a), "")</f>
        <v/>
      </c>
      <c r="Z22" s="15">
        <f>IF(AND(ABS(X22)&lt;cfg_i_threshold_a, W22&gt;cfg_min_voc_v), W22, "")</f>
        <v/>
      </c>
    </row>
    <row r="23">
      <c r="A23" s="5">
        <f>Raw_Data_M2b!A23</f>
        <v/>
      </c>
      <c r="B23" s="16">
        <f>Raw_Data_M2b!B23</f>
        <v/>
      </c>
      <c r="C23" s="5">
        <f>Raw_Data_M2b!C23</f>
        <v/>
      </c>
      <c r="D23" s="18">
        <f>IFERROR(VLOOKUP(B23,Meteo_Dummy!$A$5:$B$28,2,FALSE),0)</f>
        <v/>
      </c>
      <c r="E23" s="5">
        <f>IF(AND(D23&gt;cfg_poa_threshold_wm2,D23&gt;cfg_poa_floor_wm2),1,0)</f>
        <v/>
      </c>
      <c r="F23" s="5">
        <f>IF(ISNUMBER(SEARCH("grid connected",LOWER(C23))),1,0)</f>
        <v/>
      </c>
      <c r="G23" s="15">
        <f>Raw_Data_M2b!D23</f>
        <v/>
      </c>
      <c r="H23" s="17">
        <f>Raw_Data_M2b!E23</f>
        <v/>
      </c>
      <c r="I23" s="18">
        <f>IF(E23=1, G23/MAX(H23,cfg_i_clip_floor_a), "")</f>
        <v/>
      </c>
      <c r="J23" s="15">
        <f>IF(AND(ABS(H23)&lt;cfg_i_threshold_a, G23&gt;cfg_min_voc_v), G23, "")</f>
        <v/>
      </c>
      <c r="K23" s="15">
        <f>Raw_Data_M2b!F23</f>
        <v/>
      </c>
      <c r="L23" s="17">
        <f>Raw_Data_M2b!G23</f>
        <v/>
      </c>
      <c r="M23" s="18">
        <f>IF(E23=1, K23/MAX(L23,cfg_i_clip_floor_a), "")</f>
        <v/>
      </c>
      <c r="N23" s="15">
        <f>IF(AND(ABS(L23)&lt;cfg_i_threshold_a, K23&gt;cfg_min_voc_v), K23, "")</f>
        <v/>
      </c>
      <c r="O23" s="15">
        <f>Raw_Data_M2b!H23</f>
        <v/>
      </c>
      <c r="P23" s="17">
        <f>Raw_Data_M2b!I23</f>
        <v/>
      </c>
      <c r="Q23" s="18">
        <f>IF(E23=1, O23/MAX(P23,cfg_i_clip_floor_a), "")</f>
        <v/>
      </c>
      <c r="R23" s="15">
        <f>IF(AND(ABS(P23)&lt;cfg_i_threshold_a, O23&gt;cfg_min_voc_v), O23, "")</f>
        <v/>
      </c>
      <c r="S23" s="15">
        <f>Raw_Data_M2b!J23</f>
        <v/>
      </c>
      <c r="T23" s="17">
        <f>Raw_Data_M2b!K23</f>
        <v/>
      </c>
      <c r="U23" s="18">
        <f>IF(E23=1, S23/MAX(T23,cfg_i_clip_floor_a), "")</f>
        <v/>
      </c>
      <c r="V23" s="15">
        <f>IF(AND(ABS(T23)&lt;cfg_i_threshold_a, S23&gt;cfg_min_voc_v), S23, "")</f>
        <v/>
      </c>
      <c r="W23" s="15">
        <f>Raw_Data_M2b!L23</f>
        <v/>
      </c>
      <c r="X23" s="17">
        <f>Raw_Data_M2b!M23</f>
        <v/>
      </c>
      <c r="Y23" s="18">
        <f>IF(E23=1, W23/MAX(X23,cfg_i_clip_floor_a), "")</f>
        <v/>
      </c>
      <c r="Z23" s="15">
        <f>IF(AND(ABS(X23)&lt;cfg_i_threshold_a, W23&gt;cfg_min_voc_v), W23, "")</f>
        <v/>
      </c>
    </row>
    <row r="24">
      <c r="A24" s="5">
        <f>Raw_Data_M2b!A24</f>
        <v/>
      </c>
      <c r="B24" s="16">
        <f>Raw_Data_M2b!B24</f>
        <v/>
      </c>
      <c r="C24" s="5">
        <f>Raw_Data_M2b!C24</f>
        <v/>
      </c>
      <c r="D24" s="18">
        <f>IFERROR(VLOOKUP(B24,Meteo_Dummy!$A$5:$B$28,2,FALSE),0)</f>
        <v/>
      </c>
      <c r="E24" s="5">
        <f>IF(AND(D24&gt;cfg_poa_threshold_wm2,D24&gt;cfg_poa_floor_wm2),1,0)</f>
        <v/>
      </c>
      <c r="F24" s="5">
        <f>IF(ISNUMBER(SEARCH("grid connected",LOWER(C24))),1,0)</f>
        <v/>
      </c>
      <c r="G24" s="15">
        <f>Raw_Data_M2b!D24</f>
        <v/>
      </c>
      <c r="H24" s="17">
        <f>Raw_Data_M2b!E24</f>
        <v/>
      </c>
      <c r="I24" s="18">
        <f>IF(E24=1, G24/MAX(H24,cfg_i_clip_floor_a), "")</f>
        <v/>
      </c>
      <c r="J24" s="15">
        <f>IF(AND(ABS(H24)&lt;cfg_i_threshold_a, G24&gt;cfg_min_voc_v), G24, "")</f>
        <v/>
      </c>
      <c r="K24" s="15">
        <f>Raw_Data_M2b!F24</f>
        <v/>
      </c>
      <c r="L24" s="17">
        <f>Raw_Data_M2b!G24</f>
        <v/>
      </c>
      <c r="M24" s="18">
        <f>IF(E24=1, K24/MAX(L24,cfg_i_clip_floor_a), "")</f>
        <v/>
      </c>
      <c r="N24" s="15">
        <f>IF(AND(ABS(L24)&lt;cfg_i_threshold_a, K24&gt;cfg_min_voc_v), K24, "")</f>
        <v/>
      </c>
      <c r="O24" s="15">
        <f>Raw_Data_M2b!H24</f>
        <v/>
      </c>
      <c r="P24" s="17">
        <f>Raw_Data_M2b!I24</f>
        <v/>
      </c>
      <c r="Q24" s="18">
        <f>IF(E24=1, O24/MAX(P24,cfg_i_clip_floor_a), "")</f>
        <v/>
      </c>
      <c r="R24" s="15">
        <f>IF(AND(ABS(P24)&lt;cfg_i_threshold_a, O24&gt;cfg_min_voc_v), O24, "")</f>
        <v/>
      </c>
      <c r="S24" s="15">
        <f>Raw_Data_M2b!J24</f>
        <v/>
      </c>
      <c r="T24" s="17">
        <f>Raw_Data_M2b!K24</f>
        <v/>
      </c>
      <c r="U24" s="18">
        <f>IF(E24=1, S24/MAX(T24,cfg_i_clip_floor_a), "")</f>
        <v/>
      </c>
      <c r="V24" s="15">
        <f>IF(AND(ABS(T24)&lt;cfg_i_threshold_a, S24&gt;cfg_min_voc_v), S24, "")</f>
        <v/>
      </c>
      <c r="W24" s="15">
        <f>Raw_Data_M2b!L24</f>
        <v/>
      </c>
      <c r="X24" s="17">
        <f>Raw_Data_M2b!M24</f>
        <v/>
      </c>
      <c r="Y24" s="18">
        <f>IF(E24=1, W24/MAX(X24,cfg_i_clip_floor_a), "")</f>
        <v/>
      </c>
      <c r="Z24" s="15">
        <f>IF(AND(ABS(X24)&lt;cfg_i_threshold_a, W24&gt;cfg_min_voc_v), W24, "")</f>
        <v/>
      </c>
    </row>
    <row r="25">
      <c r="A25" s="5">
        <f>Raw_Data_M2b!A25</f>
        <v/>
      </c>
      <c r="B25" s="16">
        <f>Raw_Data_M2b!B25</f>
        <v/>
      </c>
      <c r="C25" s="5">
        <f>Raw_Data_M2b!C25</f>
        <v/>
      </c>
      <c r="D25" s="18">
        <f>IFERROR(VLOOKUP(B25,Meteo_Dummy!$A$5:$B$28,2,FALSE),0)</f>
        <v/>
      </c>
      <c r="E25" s="5">
        <f>IF(AND(D25&gt;cfg_poa_threshold_wm2,D25&gt;cfg_poa_floor_wm2),1,0)</f>
        <v/>
      </c>
      <c r="F25" s="5">
        <f>IF(ISNUMBER(SEARCH("grid connected",LOWER(C25))),1,0)</f>
        <v/>
      </c>
      <c r="G25" s="15">
        <f>Raw_Data_M2b!D25</f>
        <v/>
      </c>
      <c r="H25" s="17">
        <f>Raw_Data_M2b!E25</f>
        <v/>
      </c>
      <c r="I25" s="18">
        <f>IF(E25=1, G25/MAX(H25,cfg_i_clip_floor_a), "")</f>
        <v/>
      </c>
      <c r="J25" s="15">
        <f>IF(AND(ABS(H25)&lt;cfg_i_threshold_a, G25&gt;cfg_min_voc_v), G25, "")</f>
        <v/>
      </c>
      <c r="K25" s="15">
        <f>Raw_Data_M2b!F25</f>
        <v/>
      </c>
      <c r="L25" s="17">
        <f>Raw_Data_M2b!G25</f>
        <v/>
      </c>
      <c r="M25" s="18">
        <f>IF(E25=1, K25/MAX(L25,cfg_i_clip_floor_a), "")</f>
        <v/>
      </c>
      <c r="N25" s="15">
        <f>IF(AND(ABS(L25)&lt;cfg_i_threshold_a, K25&gt;cfg_min_voc_v), K25, "")</f>
        <v/>
      </c>
      <c r="O25" s="15">
        <f>Raw_Data_M2b!H25</f>
        <v/>
      </c>
      <c r="P25" s="17">
        <f>Raw_Data_M2b!I25</f>
        <v/>
      </c>
      <c r="Q25" s="18">
        <f>IF(E25=1, O25/MAX(P25,cfg_i_clip_floor_a), "")</f>
        <v/>
      </c>
      <c r="R25" s="15">
        <f>IF(AND(ABS(P25)&lt;cfg_i_threshold_a, O25&gt;cfg_min_voc_v), O25, "")</f>
        <v/>
      </c>
      <c r="S25" s="15">
        <f>Raw_Data_M2b!J25</f>
        <v/>
      </c>
      <c r="T25" s="17">
        <f>Raw_Data_M2b!K25</f>
        <v/>
      </c>
      <c r="U25" s="18">
        <f>IF(E25=1, S25/MAX(T25,cfg_i_clip_floor_a), "")</f>
        <v/>
      </c>
      <c r="V25" s="15">
        <f>IF(AND(ABS(T25)&lt;cfg_i_threshold_a, S25&gt;cfg_min_voc_v), S25, "")</f>
        <v/>
      </c>
      <c r="W25" s="15">
        <f>Raw_Data_M2b!L25</f>
        <v/>
      </c>
      <c r="X25" s="17">
        <f>Raw_Data_M2b!M25</f>
        <v/>
      </c>
      <c r="Y25" s="18">
        <f>IF(E25=1, W25/MAX(X25,cfg_i_clip_floor_a), "")</f>
        <v/>
      </c>
      <c r="Z25" s="15">
        <f>IF(AND(ABS(X25)&lt;cfg_i_threshold_a, W25&gt;cfg_min_voc_v), W25, "")</f>
        <v/>
      </c>
    </row>
    <row r="26">
      <c r="A26" s="5">
        <f>Raw_Data_M2b!A26</f>
        <v/>
      </c>
      <c r="B26" s="16">
        <f>Raw_Data_M2b!B26</f>
        <v/>
      </c>
      <c r="C26" s="5">
        <f>Raw_Data_M2b!C26</f>
        <v/>
      </c>
      <c r="D26" s="18">
        <f>IFERROR(VLOOKUP(B26,Meteo_Dummy!$A$5:$B$28,2,FALSE),0)</f>
        <v/>
      </c>
      <c r="E26" s="5">
        <f>IF(AND(D26&gt;cfg_poa_threshold_wm2,D26&gt;cfg_poa_floor_wm2),1,0)</f>
        <v/>
      </c>
      <c r="F26" s="5">
        <f>IF(ISNUMBER(SEARCH("grid connected",LOWER(C26))),1,0)</f>
        <v/>
      </c>
      <c r="G26" s="15">
        <f>Raw_Data_M2b!D26</f>
        <v/>
      </c>
      <c r="H26" s="17">
        <f>Raw_Data_M2b!E26</f>
        <v/>
      </c>
      <c r="I26" s="18">
        <f>IF(E26=1, G26/MAX(H26,cfg_i_clip_floor_a), "")</f>
        <v/>
      </c>
      <c r="J26" s="15">
        <f>IF(AND(ABS(H26)&lt;cfg_i_threshold_a, G26&gt;cfg_min_voc_v), G26, "")</f>
        <v/>
      </c>
      <c r="K26" s="15">
        <f>Raw_Data_M2b!F26</f>
        <v/>
      </c>
      <c r="L26" s="17">
        <f>Raw_Data_M2b!G26</f>
        <v/>
      </c>
      <c r="M26" s="18">
        <f>IF(E26=1, K26/MAX(L26,cfg_i_clip_floor_a), "")</f>
        <v/>
      </c>
      <c r="N26" s="15">
        <f>IF(AND(ABS(L26)&lt;cfg_i_threshold_a, K26&gt;cfg_min_voc_v), K26, "")</f>
        <v/>
      </c>
      <c r="O26" s="15">
        <f>Raw_Data_M2b!H26</f>
        <v/>
      </c>
      <c r="P26" s="17">
        <f>Raw_Data_M2b!I26</f>
        <v/>
      </c>
      <c r="Q26" s="18">
        <f>IF(E26=1, O26/MAX(P26,cfg_i_clip_floor_a), "")</f>
        <v/>
      </c>
      <c r="R26" s="15">
        <f>IF(AND(ABS(P26)&lt;cfg_i_threshold_a, O26&gt;cfg_min_voc_v), O26, "")</f>
        <v/>
      </c>
      <c r="S26" s="15">
        <f>Raw_Data_M2b!J26</f>
        <v/>
      </c>
      <c r="T26" s="17">
        <f>Raw_Data_M2b!K26</f>
        <v/>
      </c>
      <c r="U26" s="18">
        <f>IF(E26=1, S26/MAX(T26,cfg_i_clip_floor_a), "")</f>
        <v/>
      </c>
      <c r="V26" s="15">
        <f>IF(AND(ABS(T26)&lt;cfg_i_threshold_a, S26&gt;cfg_min_voc_v), S26, "")</f>
        <v/>
      </c>
      <c r="W26" s="15">
        <f>Raw_Data_M2b!L26</f>
        <v/>
      </c>
      <c r="X26" s="17">
        <f>Raw_Data_M2b!M26</f>
        <v/>
      </c>
      <c r="Y26" s="18">
        <f>IF(E26=1, W26/MAX(X26,cfg_i_clip_floor_a), "")</f>
        <v/>
      </c>
      <c r="Z26" s="15">
        <f>IF(AND(ABS(X26)&lt;cfg_i_threshold_a, W26&gt;cfg_min_voc_v), W26, "")</f>
        <v/>
      </c>
    </row>
    <row r="27">
      <c r="A27" s="5">
        <f>Raw_Data_M2b!A27</f>
        <v/>
      </c>
      <c r="B27" s="16">
        <f>Raw_Data_M2b!B27</f>
        <v/>
      </c>
      <c r="C27" s="5">
        <f>Raw_Data_M2b!C27</f>
        <v/>
      </c>
      <c r="D27" s="18">
        <f>IFERROR(VLOOKUP(B27,Meteo_Dummy!$A$5:$B$28,2,FALSE),0)</f>
        <v/>
      </c>
      <c r="E27" s="5">
        <f>IF(AND(D27&gt;cfg_poa_threshold_wm2,D27&gt;cfg_poa_floor_wm2),1,0)</f>
        <v/>
      </c>
      <c r="F27" s="5">
        <f>IF(ISNUMBER(SEARCH("grid connected",LOWER(C27))),1,0)</f>
        <v/>
      </c>
      <c r="G27" s="15">
        <f>Raw_Data_M2b!D27</f>
        <v/>
      </c>
      <c r="H27" s="17">
        <f>Raw_Data_M2b!E27</f>
        <v/>
      </c>
      <c r="I27" s="18">
        <f>IF(E27=1, G27/MAX(H27,cfg_i_clip_floor_a), "")</f>
        <v/>
      </c>
      <c r="J27" s="15">
        <f>IF(AND(ABS(H27)&lt;cfg_i_threshold_a, G27&gt;cfg_min_voc_v), G27, "")</f>
        <v/>
      </c>
      <c r="K27" s="15">
        <f>Raw_Data_M2b!F27</f>
        <v/>
      </c>
      <c r="L27" s="17">
        <f>Raw_Data_M2b!G27</f>
        <v/>
      </c>
      <c r="M27" s="18">
        <f>IF(E27=1, K27/MAX(L27,cfg_i_clip_floor_a), "")</f>
        <v/>
      </c>
      <c r="N27" s="15">
        <f>IF(AND(ABS(L27)&lt;cfg_i_threshold_a, K27&gt;cfg_min_voc_v), K27, "")</f>
        <v/>
      </c>
      <c r="O27" s="15">
        <f>Raw_Data_M2b!H27</f>
        <v/>
      </c>
      <c r="P27" s="17">
        <f>Raw_Data_M2b!I27</f>
        <v/>
      </c>
      <c r="Q27" s="18">
        <f>IF(E27=1, O27/MAX(P27,cfg_i_clip_floor_a), "")</f>
        <v/>
      </c>
      <c r="R27" s="15">
        <f>IF(AND(ABS(P27)&lt;cfg_i_threshold_a, O27&gt;cfg_min_voc_v), O27, "")</f>
        <v/>
      </c>
      <c r="S27" s="15">
        <f>Raw_Data_M2b!J27</f>
        <v/>
      </c>
      <c r="T27" s="17">
        <f>Raw_Data_M2b!K27</f>
        <v/>
      </c>
      <c r="U27" s="18">
        <f>IF(E27=1, S27/MAX(T27,cfg_i_clip_floor_a), "")</f>
        <v/>
      </c>
      <c r="V27" s="15">
        <f>IF(AND(ABS(T27)&lt;cfg_i_threshold_a, S27&gt;cfg_min_voc_v), S27, "")</f>
        <v/>
      </c>
      <c r="W27" s="15">
        <f>Raw_Data_M2b!L27</f>
        <v/>
      </c>
      <c r="X27" s="17">
        <f>Raw_Data_M2b!M27</f>
        <v/>
      </c>
      <c r="Y27" s="18">
        <f>IF(E27=1, W27/MAX(X27,cfg_i_clip_floor_a), "")</f>
        <v/>
      </c>
      <c r="Z27" s="15">
        <f>IF(AND(ABS(X27)&lt;cfg_i_threshold_a, W27&gt;cfg_min_voc_v), W27, "")</f>
        <v/>
      </c>
    </row>
    <row r="28">
      <c r="A28" s="5">
        <f>Raw_Data_M2b!A28</f>
        <v/>
      </c>
      <c r="B28" s="16">
        <f>Raw_Data_M2b!B28</f>
        <v/>
      </c>
      <c r="C28" s="5">
        <f>Raw_Data_M2b!C28</f>
        <v/>
      </c>
      <c r="D28" s="18">
        <f>IFERROR(VLOOKUP(B28,Meteo_Dummy!$A$5:$B$28,2,FALSE),0)</f>
        <v/>
      </c>
      <c r="E28" s="5">
        <f>IF(AND(D28&gt;cfg_poa_threshold_wm2,D28&gt;cfg_poa_floor_wm2),1,0)</f>
        <v/>
      </c>
      <c r="F28" s="5">
        <f>IF(ISNUMBER(SEARCH("grid connected",LOWER(C28))),1,0)</f>
        <v/>
      </c>
      <c r="G28" s="15">
        <f>Raw_Data_M2b!D28</f>
        <v/>
      </c>
      <c r="H28" s="17">
        <f>Raw_Data_M2b!E28</f>
        <v/>
      </c>
      <c r="I28" s="18">
        <f>IF(E28=1, G28/MAX(H28,cfg_i_clip_floor_a), "")</f>
        <v/>
      </c>
      <c r="J28" s="15">
        <f>IF(AND(ABS(H28)&lt;cfg_i_threshold_a, G28&gt;cfg_min_voc_v), G28, "")</f>
        <v/>
      </c>
      <c r="K28" s="15">
        <f>Raw_Data_M2b!F28</f>
        <v/>
      </c>
      <c r="L28" s="17">
        <f>Raw_Data_M2b!G28</f>
        <v/>
      </c>
      <c r="M28" s="18">
        <f>IF(E28=1, K28/MAX(L28,cfg_i_clip_floor_a), "")</f>
        <v/>
      </c>
      <c r="N28" s="15">
        <f>IF(AND(ABS(L28)&lt;cfg_i_threshold_a, K28&gt;cfg_min_voc_v), K28, "")</f>
        <v/>
      </c>
      <c r="O28" s="15">
        <f>Raw_Data_M2b!H28</f>
        <v/>
      </c>
      <c r="P28" s="17">
        <f>Raw_Data_M2b!I28</f>
        <v/>
      </c>
      <c r="Q28" s="18">
        <f>IF(E28=1, O28/MAX(P28,cfg_i_clip_floor_a), "")</f>
        <v/>
      </c>
      <c r="R28" s="15">
        <f>IF(AND(ABS(P28)&lt;cfg_i_threshold_a, O28&gt;cfg_min_voc_v), O28, "")</f>
        <v/>
      </c>
      <c r="S28" s="15">
        <f>Raw_Data_M2b!J28</f>
        <v/>
      </c>
      <c r="T28" s="17">
        <f>Raw_Data_M2b!K28</f>
        <v/>
      </c>
      <c r="U28" s="18">
        <f>IF(E28=1, S28/MAX(T28,cfg_i_clip_floor_a), "")</f>
        <v/>
      </c>
      <c r="V28" s="15">
        <f>IF(AND(ABS(T28)&lt;cfg_i_threshold_a, S28&gt;cfg_min_voc_v), S28, "")</f>
        <v/>
      </c>
      <c r="W28" s="15">
        <f>Raw_Data_M2b!L28</f>
        <v/>
      </c>
      <c r="X28" s="17">
        <f>Raw_Data_M2b!M28</f>
        <v/>
      </c>
      <c r="Y28" s="18">
        <f>IF(E28=1, W28/MAX(X28,cfg_i_clip_floor_a), "")</f>
        <v/>
      </c>
      <c r="Z28" s="15">
        <f>IF(AND(ABS(X28)&lt;cfg_i_threshold_a, W28&gt;cfg_min_voc_v), W28, "")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5" customWidth="1" min="3" max="3"/>
    <col width="16" customWidth="1" min="4" max="4"/>
    <col width="14" customWidth="1" min="5" max="5"/>
    <col width="17" customWidth="1" min="6" max="6"/>
    <col width="17" customWidth="1" min="7" max="7"/>
    <col width="14" customWidth="1" min="8" max="8"/>
    <col width="11" customWidth="1" min="9" max="9"/>
    <col width="14" customWidth="1" min="10" max="10"/>
    <col width="70" customWidth="1" min="11" max="11"/>
  </cols>
  <sheetData>
    <row r="1">
      <c r="A1" s="7" t="inlineStr">
        <is>
          <t>M2b PeerZScore — agregat per PV (R_str median dari mask_poa samples) + Z-score + voc_ratio + fault decision</t>
        </is>
      </c>
    </row>
    <row r="2">
      <c r="A2" s="2" t="inlineStr">
        <is>
          <t>Spec 4.2.1: |z| &gt; 2.5 → flag. Spec 4.2.3 high_R: AND voc_ratio &gt; 0.95 → emit. Confidence = min(90, |z|/4*100). Severity: |z| &gt; 3.5 HIGH else MEDIUM.</t>
        </is>
      </c>
    </row>
    <row r="4">
      <c r="A4" s="14" t="inlineStr">
        <is>
          <t>A. Per-PV string metrics (WB05-INV05, 5 PV strings)</t>
        </is>
      </c>
    </row>
    <row r="5">
      <c r="A5" s="10" t="inlineStr">
        <is>
          <t>PV_string</t>
        </is>
      </c>
      <c r="B5" s="10" t="inlineStr">
        <is>
          <t>R_str (median)</t>
        </is>
      </c>
      <c r="C5" s="10" t="inlineStr">
        <is>
          <t>voc_actual_v (median I&lt;0.5A)</t>
        </is>
      </c>
      <c r="D5" s="10" t="inlineStr">
        <is>
          <t>voc_string_nominal_v</t>
        </is>
      </c>
      <c r="E5" s="10" t="inlineStr">
        <is>
          <t>voc_ratio</t>
        </is>
      </c>
      <c r="F5" s="10" t="inlineStr">
        <is>
          <t>n_R_samples</t>
        </is>
      </c>
      <c r="G5" s="10" t="inlineStr">
        <is>
          <t>n_voc_samples</t>
        </is>
      </c>
    </row>
    <row r="6">
      <c r="A6" s="5" t="inlineStr">
        <is>
          <t>PV1</t>
        </is>
      </c>
      <c r="B6" s="18">
        <f>IF(IFERROR(IF(ISNUMBER(SEARCH(","&amp;1&amp;",",","&amp;VLOOKUP("WB05-INV05",EmptyPVMap!$A$5:$B$9,2,FALSE)&amp;",")),1,0),0)=1,"EMPTY",IFERROR(MEDIAN(Helpers_M2b!$I$5:$I$28),""))</f>
        <v/>
      </c>
      <c r="C6" s="15">
        <f>IF(IFERROR(IF(ISNUMBER(SEARCH(","&amp;1&amp;",",","&amp;VLOOKUP("WB05-INV05",EmptyPVMap!$A$5:$B$9,2,FALSE)&amp;",")),1,0),0)=1,"EMPTY",IFERROR(MEDIAN(Helpers_M2b!$J$5:$J$28),""))</f>
        <v/>
      </c>
      <c r="D6" s="15">
        <f>voc_string_26_calc</f>
        <v/>
      </c>
      <c r="E6" s="17">
        <f>IFERROR(C6/D6,"")</f>
        <v/>
      </c>
      <c r="F6" s="5">
        <f>COUNT(Helpers_M2b!$I$5:$I$28)</f>
        <v/>
      </c>
      <c r="G6" s="5">
        <f>COUNT(Helpers_M2b!$J$5:$J$28)</f>
        <v/>
      </c>
    </row>
    <row r="7">
      <c r="A7" s="5" t="inlineStr">
        <is>
          <t>PV2</t>
        </is>
      </c>
      <c r="B7" s="18">
        <f>IF(IFERROR(IF(ISNUMBER(SEARCH(","&amp;2&amp;",",","&amp;VLOOKUP("WB05-INV05",EmptyPVMap!$A$5:$B$9,2,FALSE)&amp;",")),1,0),0)=1,"EMPTY",IFERROR(MEDIAN(Helpers_M2b!$M$5:$M$28),""))</f>
        <v/>
      </c>
      <c r="C7" s="15">
        <f>IF(IFERROR(IF(ISNUMBER(SEARCH(","&amp;2&amp;",",","&amp;VLOOKUP("WB05-INV05",EmptyPVMap!$A$5:$B$9,2,FALSE)&amp;",")),1,0),0)=1,"EMPTY",IFERROR(MEDIAN(Helpers_M2b!$N$5:$N$28),""))</f>
        <v/>
      </c>
      <c r="D7" s="15">
        <f>voc_string_26_calc</f>
        <v/>
      </c>
      <c r="E7" s="17">
        <f>IFERROR(C7/D7,"")</f>
        <v/>
      </c>
      <c r="F7" s="5">
        <f>COUNT(Helpers_M2b!$M$5:$M$28)</f>
        <v/>
      </c>
      <c r="G7" s="5">
        <f>COUNT(Helpers_M2b!$N$5:$N$28)</f>
        <v/>
      </c>
    </row>
    <row r="8">
      <c r="A8" s="5" t="inlineStr">
        <is>
          <t>PV3</t>
        </is>
      </c>
      <c r="B8" s="18">
        <f>IF(IFERROR(IF(ISNUMBER(SEARCH(","&amp;3&amp;",",","&amp;VLOOKUP("WB05-INV05",EmptyPVMap!$A$5:$B$9,2,FALSE)&amp;",")),1,0),0)=1,"EMPTY",IFERROR(MEDIAN(Helpers_M2b!$Q$5:$Q$28),""))</f>
        <v/>
      </c>
      <c r="C8" s="15">
        <f>IF(IFERROR(IF(ISNUMBER(SEARCH(","&amp;3&amp;",",","&amp;VLOOKUP("WB05-INV05",EmptyPVMap!$A$5:$B$9,2,FALSE)&amp;",")),1,0),0)=1,"EMPTY",IFERROR(MEDIAN(Helpers_M2b!$R$5:$R$28),""))</f>
        <v/>
      </c>
      <c r="D8" s="15">
        <f>voc_string_26_calc</f>
        <v/>
      </c>
      <c r="E8" s="17">
        <f>IFERROR(C8/D8,"")</f>
        <v/>
      </c>
      <c r="F8" s="5">
        <f>COUNT(Helpers_M2b!$Q$5:$Q$28)</f>
        <v/>
      </c>
      <c r="G8" s="5">
        <f>COUNT(Helpers_M2b!$R$5:$R$28)</f>
        <v/>
      </c>
    </row>
    <row r="9">
      <c r="A9" s="5" t="inlineStr">
        <is>
          <t>PV4</t>
        </is>
      </c>
      <c r="B9" s="18">
        <f>IF(IFERROR(IF(ISNUMBER(SEARCH(","&amp;4&amp;",",","&amp;VLOOKUP("WB05-INV05",EmptyPVMap!$A$5:$B$9,2,FALSE)&amp;",")),1,0),0)=1,"EMPTY",IFERROR(MEDIAN(Helpers_M2b!$U$5:$U$28),""))</f>
        <v/>
      </c>
      <c r="C9" s="15">
        <f>IF(IFERROR(IF(ISNUMBER(SEARCH(","&amp;4&amp;",",","&amp;VLOOKUP("WB05-INV05",EmptyPVMap!$A$5:$B$9,2,FALSE)&amp;",")),1,0),0)=1,"EMPTY",IFERROR(MEDIAN(Helpers_M2b!$V$5:$V$28),""))</f>
        <v/>
      </c>
      <c r="D9" s="15">
        <f>voc_string_26_calc</f>
        <v/>
      </c>
      <c r="E9" s="17">
        <f>IFERROR(C9/D9,"")</f>
        <v/>
      </c>
      <c r="F9" s="5">
        <f>COUNT(Helpers_M2b!$U$5:$U$28)</f>
        <v/>
      </c>
      <c r="G9" s="5">
        <f>COUNT(Helpers_M2b!$V$5:$V$28)</f>
        <v/>
      </c>
    </row>
    <row r="10">
      <c r="A10" s="5" t="inlineStr">
        <is>
          <t>PV5</t>
        </is>
      </c>
      <c r="B10" s="18">
        <f>IF(IFERROR(IF(ISNUMBER(SEARCH(","&amp;5&amp;",",","&amp;VLOOKUP("WB05-INV05",EmptyPVMap!$A$5:$B$9,2,FALSE)&amp;",")),1,0),0)=1,"EMPTY",IFERROR(MEDIAN(Helpers_M2b!$Y$5:$Y$28),""))</f>
        <v/>
      </c>
      <c r="C10" s="15">
        <f>IF(IFERROR(IF(ISNUMBER(SEARCH(","&amp;5&amp;",",","&amp;VLOOKUP("WB05-INV05",EmptyPVMap!$A$5:$B$9,2,FALSE)&amp;",")),1,0),0)=1,"EMPTY",IFERROR(MEDIAN(Helpers_M2b!$Z$5:$Z$28),""))</f>
        <v/>
      </c>
      <c r="D10" s="15">
        <f>voc_string_26_calc</f>
        <v/>
      </c>
      <c r="E10" s="17">
        <f>IFERROR(C10/D10,"")</f>
        <v/>
      </c>
      <c r="F10" s="5">
        <f>COUNT(Helpers_M2b!$Y$5:$Y$28)</f>
        <v/>
      </c>
      <c r="G10" s="5">
        <f>COUNT(Helpers_M2b!$Z$5:$Z$28)</f>
        <v/>
      </c>
    </row>
    <row r="13">
      <c r="A13" s="14" t="inlineStr">
        <is>
          <t>B. Fleet statistics across PV1..PV5 (skip blanks)</t>
        </is>
      </c>
    </row>
    <row r="14">
      <c r="A14" s="10" t="inlineStr">
        <is>
          <t>Metric</t>
        </is>
      </c>
      <c r="B14" s="10" t="inlineStr">
        <is>
          <t>Value</t>
        </is>
      </c>
      <c r="C14" s="10" t="inlineStr"/>
      <c r="D14" s="10" t="inlineStr"/>
      <c r="E14" s="10" t="inlineStr"/>
      <c r="F14" s="10" t="inlineStr"/>
      <c r="G14" s="10" t="inlineStr"/>
    </row>
    <row r="15">
      <c r="A15" s="5" t="inlineStr">
        <is>
          <t>R_str fleet mean</t>
        </is>
      </c>
      <c r="B15" s="15">
        <f>AVERAGE(B6:B10)</f>
        <v/>
      </c>
    </row>
    <row r="16">
      <c r="A16" s="5" t="inlineStr">
        <is>
          <t>R_str fleet median</t>
        </is>
      </c>
      <c r="B16" s="15">
        <f>MEDIAN(B6:B10)</f>
        <v/>
      </c>
    </row>
    <row r="17">
      <c r="A17" s="5" t="inlineStr">
        <is>
          <t>R_str fleet std (sample stdev)</t>
        </is>
      </c>
      <c r="B17" s="15">
        <f>STDEV(B6:B10)</f>
        <v/>
      </c>
    </row>
    <row r="20">
      <c r="A20" s="14" t="inlineStr">
        <is>
          <t>C. Z-score &amp; fault decision per PV</t>
        </is>
      </c>
    </row>
    <row r="21">
      <c r="A21" s="10" t="inlineStr">
        <is>
          <t>PV_string</t>
        </is>
      </c>
      <c r="B21" s="10" t="inlineStr">
        <is>
          <t>z_mean</t>
        </is>
      </c>
      <c r="C21" s="10" t="inlineStr">
        <is>
          <t>z_median</t>
        </is>
      </c>
      <c r="D21" s="10" t="inlineStr">
        <is>
          <t>z_primary (per stat_method)</t>
        </is>
      </c>
      <c r="E21" s="10" t="inlineStr">
        <is>
          <t>flagged_by_z (|z|&gt;2.5)</t>
        </is>
      </c>
      <c r="F21" s="10" t="inlineStr">
        <is>
          <t>voc_ok (voc_ratio&gt;0.95)</t>
        </is>
      </c>
      <c r="G21" s="10" t="inlineStr">
        <is>
          <t>emit_finding</t>
        </is>
      </c>
      <c r="H21" s="10" t="inlineStr">
        <is>
          <t>fault_type</t>
        </is>
      </c>
      <c r="I21" s="10" t="inlineStr">
        <is>
          <t>severity</t>
        </is>
      </c>
      <c r="J21" s="10" t="inlineStr">
        <is>
          <t>confidence_pct</t>
        </is>
      </c>
      <c r="K21" s="10" t="inlineStr">
        <is>
          <t>message</t>
        </is>
      </c>
    </row>
    <row r="22">
      <c r="A22" s="5" t="inlineStr">
        <is>
          <t>PV1</t>
        </is>
      </c>
      <c r="B22" s="15">
        <f>IFERROR((B6-rstr_fleet_mean)/rstr_fleet_std,"")</f>
        <v/>
      </c>
      <c r="C22" s="15">
        <f>IFERROR((B6-rstr_fleet_median)/rstr_fleet_std,"")</f>
        <v/>
      </c>
      <c r="D22" s="15">
        <f>IF(cfg_stat_method="median",C22,IF(cfg_stat_method="mean",B22,IF(ABS(B22)&gt;=ABS(C22),B22,C22)))</f>
        <v/>
      </c>
      <c r="E22" s="5">
        <f>IF(ABS(D22)&gt;cfg_z_threshold,1,0)</f>
        <v/>
      </c>
      <c r="F22" s="5">
        <f>IFERROR(IF(E6&gt;cfg_voc_ratio_threshold,1,0),0)</f>
        <v/>
      </c>
      <c r="G22" s="5">
        <f>IF(AND(E22=1,F22=1),1,0)</f>
        <v/>
      </c>
      <c r="H22" s="5">
        <f>IF(G22=1,"high_R","")</f>
        <v/>
      </c>
      <c r="I22" s="5">
        <f>IF(G22=1,IF(ABS(D22)&gt;cfg_z_high_threshold,"HIGH","MEDIUM"),"")</f>
        <v/>
      </c>
      <c r="J22" s="18">
        <f>IF(G22=1,MIN(90,ABS(D22)/4*100),"")</f>
        <v/>
      </c>
      <c r="K22" s="5">
        <f>IF(G22=1,"High-R suspect PV"&amp;1&amp;": |z|="&amp;TEXT(ABS(D22),"0.00")&amp;" voc_ratio="&amp;TEXT(E6,"0.000"),"")</f>
        <v/>
      </c>
    </row>
    <row r="23">
      <c r="A23" s="5" t="inlineStr">
        <is>
          <t>PV2</t>
        </is>
      </c>
      <c r="B23" s="15">
        <f>IFERROR((B7-rstr_fleet_mean)/rstr_fleet_std,"")</f>
        <v/>
      </c>
      <c r="C23" s="15">
        <f>IFERROR((B7-rstr_fleet_median)/rstr_fleet_std,"")</f>
        <v/>
      </c>
      <c r="D23" s="15">
        <f>IF(cfg_stat_method="median",C23,IF(cfg_stat_method="mean",B23,IF(ABS(B23)&gt;=ABS(C23),B23,C23)))</f>
        <v/>
      </c>
      <c r="E23" s="5">
        <f>IF(ABS(D23)&gt;cfg_z_threshold,1,0)</f>
        <v/>
      </c>
      <c r="F23" s="5">
        <f>IFERROR(IF(E7&gt;cfg_voc_ratio_threshold,1,0),0)</f>
        <v/>
      </c>
      <c r="G23" s="5">
        <f>IF(AND(E23=1,F23=1),1,0)</f>
        <v/>
      </c>
      <c r="H23" s="5">
        <f>IF(G23=1,"high_R","")</f>
        <v/>
      </c>
      <c r="I23" s="5">
        <f>IF(G23=1,IF(ABS(D23)&gt;cfg_z_high_threshold,"HIGH","MEDIUM"),"")</f>
        <v/>
      </c>
      <c r="J23" s="18">
        <f>IF(G23=1,MIN(90,ABS(D23)/4*100),"")</f>
        <v/>
      </c>
      <c r="K23" s="5">
        <f>IF(G23=1,"High-R suspect PV"&amp;2&amp;": |z|="&amp;TEXT(ABS(D23),"0.00")&amp;" voc_ratio="&amp;TEXT(E7,"0.000"),"")</f>
        <v/>
      </c>
    </row>
    <row r="24">
      <c r="A24" s="5" t="inlineStr">
        <is>
          <t>PV3</t>
        </is>
      </c>
      <c r="B24" s="15">
        <f>IFERROR((B8-rstr_fleet_mean)/rstr_fleet_std,"")</f>
        <v/>
      </c>
      <c r="C24" s="15">
        <f>IFERROR((B8-rstr_fleet_median)/rstr_fleet_std,"")</f>
        <v/>
      </c>
      <c r="D24" s="15">
        <f>IF(cfg_stat_method="median",C24,IF(cfg_stat_method="mean",B24,IF(ABS(B24)&gt;=ABS(C24),B24,C24)))</f>
        <v/>
      </c>
      <c r="E24" s="5">
        <f>IF(ABS(D24)&gt;cfg_z_threshold,1,0)</f>
        <v/>
      </c>
      <c r="F24" s="5">
        <f>IFERROR(IF(E8&gt;cfg_voc_ratio_threshold,1,0),0)</f>
        <v/>
      </c>
      <c r="G24" s="5">
        <f>IF(AND(E24=1,F24=1),1,0)</f>
        <v/>
      </c>
      <c r="H24" s="5">
        <f>IF(G24=1,"high_R","")</f>
        <v/>
      </c>
      <c r="I24" s="5">
        <f>IF(G24=1,IF(ABS(D24)&gt;cfg_z_high_threshold,"HIGH","MEDIUM"),"")</f>
        <v/>
      </c>
      <c r="J24" s="18">
        <f>IF(G24=1,MIN(90,ABS(D24)/4*100),"")</f>
        <v/>
      </c>
      <c r="K24" s="5">
        <f>IF(G24=1,"High-R suspect PV"&amp;3&amp;": |z|="&amp;TEXT(ABS(D24),"0.00")&amp;" voc_ratio="&amp;TEXT(E8,"0.000"),"")</f>
        <v/>
      </c>
    </row>
    <row r="25">
      <c r="A25" s="5" t="inlineStr">
        <is>
          <t>PV4</t>
        </is>
      </c>
      <c r="B25" s="15">
        <f>IFERROR((B9-rstr_fleet_mean)/rstr_fleet_std,"")</f>
        <v/>
      </c>
      <c r="C25" s="15">
        <f>IFERROR((B9-rstr_fleet_median)/rstr_fleet_std,"")</f>
        <v/>
      </c>
      <c r="D25" s="15">
        <f>IF(cfg_stat_method="median",C25,IF(cfg_stat_method="mean",B25,IF(ABS(B25)&gt;=ABS(C25),B25,C25)))</f>
        <v/>
      </c>
      <c r="E25" s="5">
        <f>IF(ABS(D25)&gt;cfg_z_threshold,1,0)</f>
        <v/>
      </c>
      <c r="F25" s="5">
        <f>IFERROR(IF(E9&gt;cfg_voc_ratio_threshold,1,0),0)</f>
        <v/>
      </c>
      <c r="G25" s="5">
        <f>IF(AND(E25=1,F25=1),1,0)</f>
        <v/>
      </c>
      <c r="H25" s="5">
        <f>IF(G25=1,"high_R","")</f>
        <v/>
      </c>
      <c r="I25" s="5">
        <f>IF(G25=1,IF(ABS(D25)&gt;cfg_z_high_threshold,"HIGH","MEDIUM"),"")</f>
        <v/>
      </c>
      <c r="J25" s="18">
        <f>IF(G25=1,MIN(90,ABS(D25)/4*100),"")</f>
        <v/>
      </c>
      <c r="K25" s="5">
        <f>IF(G25=1,"High-R suspect PV"&amp;4&amp;": |z|="&amp;TEXT(ABS(D25),"0.00")&amp;" voc_ratio="&amp;TEXT(E9,"0.000"),"")</f>
        <v/>
      </c>
    </row>
    <row r="26">
      <c r="A26" s="5" t="inlineStr">
        <is>
          <t>PV5</t>
        </is>
      </c>
      <c r="B26" s="15">
        <f>IFERROR((B10-rstr_fleet_mean)/rstr_fleet_std,"")</f>
        <v/>
      </c>
      <c r="C26" s="15">
        <f>IFERROR((B10-rstr_fleet_median)/rstr_fleet_std,"")</f>
        <v/>
      </c>
      <c r="D26" s="15" t="inlineStr"/>
      <c r="E26" s="5" t="inlineStr"/>
      <c r="F26" s="5" t="inlineStr"/>
      <c r="G26" s="5" t="inlineStr"/>
      <c r="H26" s="5">
        <f>IF(G26=1,"high_R","")</f>
        <v/>
      </c>
      <c r="I26" s="5">
        <f>IF(G26=1,IF(ABS(D26)&gt;cfg_z_high_threshold,"HIGH","MEDIUM"),"")</f>
        <v/>
      </c>
      <c r="J26" s="18">
        <f>IF(G26=1,MIN(90,ABS(D26)/4*100),"")</f>
        <v/>
      </c>
      <c r="K26" s="5">
        <f>IF(G26=1,"High-R suspect PV"&amp;5&amp;": |z|="&amp;TEXT(ABS(D26),"0.00")&amp;" voc_ratio="&amp;TEXT(E10,"0.000"),"")</f>
        <v/>
      </c>
    </row>
  </sheetData>
  <conditionalFormatting sqref="I22:I26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"INFO"</formula>
    </cfRule>
    <cfRule type="cellIs" priority="5" operator="equal" dxfId="4">
      <formula>"NORMAL"</formula>
    </cfRule>
    <cfRule type="cellIs" priority="6" operator="equal" dxfId="5">
      <formula>"EMPTY"</formula>
    </cfRule>
    <cfRule type="cellIs" priority="7" operator="equal" dxfId="0">
      <formula>"high_R"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8" customWidth="1" min="3" max="3"/>
    <col width="11" customWidth="1" min="4" max="4"/>
    <col width="11" customWidth="1" min="5" max="5"/>
    <col width="9" customWidth="1" min="6" max="6"/>
    <col width="14" customWidth="1" min="7" max="7"/>
    <col width="12" customWidth="1" min="8" max="8"/>
    <col width="9" customWidth="1" min="9" max="9"/>
    <col width="10" customWidth="1" min="10" max="10"/>
    <col width="13" customWidth="1" min="11" max="11"/>
    <col width="17" customWidth="1" min="12" max="12"/>
    <col width="11" customWidth="1" min="13" max="13"/>
    <col width="9" customWidth="1" min="14" max="14"/>
    <col width="14" customWidth="1" min="15" max="15"/>
  </cols>
  <sheetData>
    <row r="1">
      <c r="A1" s="7" t="inlineStr">
        <is>
          <t>M2b_StringStatus — replika Python self.artifacts['StringStatus']</t>
        </is>
      </c>
    </row>
    <row r="2">
      <c r="A2" s="2" t="inlineStr">
        <is>
          <t>Pull dari M2b_PeerZScore sections A &amp; C.</t>
        </is>
      </c>
    </row>
    <row r="4">
      <c r="A4" s="10" t="inlineStr">
        <is>
          <t>poa_source</t>
        </is>
      </c>
      <c r="B4" s="10" t="inlineStr">
        <is>
          <t>inverter_id</t>
        </is>
      </c>
      <c r="C4" s="10" t="inlineStr">
        <is>
          <t>wb_id</t>
        </is>
      </c>
      <c r="D4" s="10" t="inlineStr">
        <is>
          <t>pv_string</t>
        </is>
      </c>
      <c r="E4" s="10" t="inlineStr">
        <is>
          <t>status</t>
        </is>
      </c>
      <c r="F4" s="10" t="inlineStr">
        <is>
          <t>rstr</t>
        </is>
      </c>
      <c r="G4" s="10" t="inlineStr">
        <is>
          <t>rstr_fleet_median</t>
        </is>
      </c>
      <c r="H4" s="10" t="inlineStr">
        <is>
          <t>rstr_fleet_std</t>
        </is>
      </c>
      <c r="I4" s="10" t="inlineStr">
        <is>
          <t>z_mean</t>
        </is>
      </c>
      <c r="J4" s="10" t="inlineStr">
        <is>
          <t>z_median</t>
        </is>
      </c>
      <c r="K4" s="10" t="inlineStr">
        <is>
          <t>voc_actual_v</t>
        </is>
      </c>
      <c r="L4" s="10" t="inlineStr">
        <is>
          <t>voc_string_nominal_v</t>
        </is>
      </c>
      <c r="M4" s="10" t="inlineStr">
        <is>
          <t>voc_ratio</t>
        </is>
      </c>
      <c r="N4" s="10" t="inlineStr">
        <is>
          <t>voc_ok</t>
        </is>
      </c>
      <c r="O4" s="10" t="inlineStr">
        <is>
          <t>emitted_finding</t>
        </is>
      </c>
    </row>
    <row r="5">
      <c r="A5" s="5" t="inlineStr">
        <is>
          <t>pyranometer_avg</t>
        </is>
      </c>
      <c r="B5" s="5" t="inlineStr">
        <is>
          <t>WB05-INV05</t>
        </is>
      </c>
      <c r="C5" s="5" t="inlineStr">
        <is>
          <t>WB05</t>
        </is>
      </c>
      <c r="D5" s="5" t="inlineStr">
        <is>
          <t>PV1</t>
        </is>
      </c>
      <c r="E5" s="5">
        <f>IF(M2b_PeerZScore!G22=1,"high_R","NORMAL")</f>
        <v/>
      </c>
      <c r="F5" s="18">
        <f>M2b_PeerZScore!B6</f>
        <v/>
      </c>
      <c r="G5" s="18">
        <f>rstr_fleet_median</f>
        <v/>
      </c>
      <c r="H5" s="18">
        <f>rstr_fleet_std</f>
        <v/>
      </c>
      <c r="I5" s="15">
        <f>M2b_PeerZScore!B22</f>
        <v/>
      </c>
      <c r="J5" s="15">
        <f>M2b_PeerZScore!C22</f>
        <v/>
      </c>
      <c r="K5" s="15">
        <f>M2b_PeerZScore!C6</f>
        <v/>
      </c>
      <c r="L5" s="15">
        <f>M2b_PeerZScore!D6</f>
        <v/>
      </c>
      <c r="M5" s="17">
        <f>M2b_PeerZScore!E6</f>
        <v/>
      </c>
      <c r="N5" s="5">
        <f>M2b_PeerZScore!F22</f>
        <v/>
      </c>
      <c r="O5" s="5">
        <f>M2b_PeerZScore!G22</f>
        <v/>
      </c>
    </row>
    <row r="6">
      <c r="A6" s="5" t="inlineStr">
        <is>
          <t>pyranometer_avg</t>
        </is>
      </c>
      <c r="B6" s="5" t="inlineStr">
        <is>
          <t>WB05-INV05</t>
        </is>
      </c>
      <c r="C6" s="5" t="inlineStr">
        <is>
          <t>WB05</t>
        </is>
      </c>
      <c r="D6" s="5" t="inlineStr">
        <is>
          <t>PV2</t>
        </is>
      </c>
      <c r="E6" s="5">
        <f>IF(M2b_PeerZScore!G23=1,"high_R","NORMAL")</f>
        <v/>
      </c>
      <c r="F6" s="18">
        <f>M2b_PeerZScore!B7</f>
        <v/>
      </c>
      <c r="G6" s="18">
        <f>rstr_fleet_median</f>
        <v/>
      </c>
      <c r="H6" s="18">
        <f>rstr_fleet_std</f>
        <v/>
      </c>
      <c r="I6" s="15">
        <f>M2b_PeerZScore!B23</f>
        <v/>
      </c>
      <c r="J6" s="15">
        <f>M2b_PeerZScore!C23</f>
        <v/>
      </c>
      <c r="K6" s="15">
        <f>M2b_PeerZScore!C7</f>
        <v/>
      </c>
      <c r="L6" s="15">
        <f>M2b_PeerZScore!D7</f>
        <v/>
      </c>
      <c r="M6" s="17">
        <f>M2b_PeerZScore!E7</f>
        <v/>
      </c>
      <c r="N6" s="5">
        <f>M2b_PeerZScore!F23</f>
        <v/>
      </c>
      <c r="O6" s="5">
        <f>M2b_PeerZScore!G23</f>
        <v/>
      </c>
    </row>
    <row r="7">
      <c r="A7" s="5" t="inlineStr">
        <is>
          <t>pyranometer_avg</t>
        </is>
      </c>
      <c r="B7" s="5" t="inlineStr">
        <is>
          <t>WB05-INV05</t>
        </is>
      </c>
      <c r="C7" s="5" t="inlineStr">
        <is>
          <t>WB05</t>
        </is>
      </c>
      <c r="D7" s="5" t="inlineStr">
        <is>
          <t>PV3</t>
        </is>
      </c>
      <c r="E7" s="5">
        <f>IF(M2b_PeerZScore!G24=1,"high_R","NORMAL")</f>
        <v/>
      </c>
      <c r="F7" s="18">
        <f>M2b_PeerZScore!B8</f>
        <v/>
      </c>
      <c r="G7" s="18">
        <f>rstr_fleet_median</f>
        <v/>
      </c>
      <c r="H7" s="18">
        <f>rstr_fleet_std</f>
        <v/>
      </c>
      <c r="I7" s="15">
        <f>M2b_PeerZScore!B24</f>
        <v/>
      </c>
      <c r="J7" s="15">
        <f>M2b_PeerZScore!C24</f>
        <v/>
      </c>
      <c r="K7" s="15">
        <f>M2b_PeerZScore!C8</f>
        <v/>
      </c>
      <c r="L7" s="15">
        <f>M2b_PeerZScore!D8</f>
        <v/>
      </c>
      <c r="M7" s="17">
        <f>M2b_PeerZScore!E8</f>
        <v/>
      </c>
      <c r="N7" s="5">
        <f>M2b_PeerZScore!F24</f>
        <v/>
      </c>
      <c r="O7" s="5">
        <f>M2b_PeerZScore!G24</f>
        <v/>
      </c>
    </row>
    <row r="8">
      <c r="A8" s="5" t="inlineStr">
        <is>
          <t>pyranometer_avg</t>
        </is>
      </c>
      <c r="B8" s="5" t="inlineStr">
        <is>
          <t>WB05-INV05</t>
        </is>
      </c>
      <c r="C8" s="5" t="inlineStr">
        <is>
          <t>WB05</t>
        </is>
      </c>
      <c r="D8" s="5" t="inlineStr">
        <is>
          <t>PV4</t>
        </is>
      </c>
      <c r="E8" s="5">
        <f>IF(M2b_PeerZScore!G25=1,"high_R","NORMAL")</f>
        <v/>
      </c>
      <c r="F8" s="18">
        <f>M2b_PeerZScore!B9</f>
        <v/>
      </c>
      <c r="G8" s="18">
        <f>rstr_fleet_median</f>
        <v/>
      </c>
      <c r="H8" s="18">
        <f>rstr_fleet_std</f>
        <v/>
      </c>
      <c r="I8" s="15">
        <f>M2b_PeerZScore!B25</f>
        <v/>
      </c>
      <c r="J8" s="15">
        <f>M2b_PeerZScore!C25</f>
        <v/>
      </c>
      <c r="K8" s="15">
        <f>M2b_PeerZScore!C9</f>
        <v/>
      </c>
      <c r="L8" s="15">
        <f>M2b_PeerZScore!D9</f>
        <v/>
      </c>
      <c r="M8" s="17">
        <f>M2b_PeerZScore!E9</f>
        <v/>
      </c>
      <c r="N8" s="5">
        <f>M2b_PeerZScore!F25</f>
        <v/>
      </c>
      <c r="O8" s="5">
        <f>M2b_PeerZScore!G25</f>
        <v/>
      </c>
    </row>
    <row r="9">
      <c r="A9" s="5" t="inlineStr">
        <is>
          <t>pyranometer_avg</t>
        </is>
      </c>
      <c r="B9" s="5" t="inlineStr">
        <is>
          <t>WB05-INV05</t>
        </is>
      </c>
      <c r="C9" s="5" t="inlineStr">
        <is>
          <t>WB05</t>
        </is>
      </c>
      <c r="D9" s="5" t="inlineStr">
        <is>
          <t>PV5</t>
        </is>
      </c>
      <c r="E9" s="5" t="inlineStr">
        <is>
          <t>EMPTY</t>
        </is>
      </c>
      <c r="F9" s="18">
        <f>M2b_PeerZScore!B10</f>
        <v/>
      </c>
      <c r="G9" s="18">
        <f>rstr_fleet_median</f>
        <v/>
      </c>
      <c r="H9" s="18">
        <f>rstr_fleet_std</f>
        <v/>
      </c>
      <c r="I9" s="15">
        <f>M2b_PeerZScore!B26</f>
        <v/>
      </c>
      <c r="J9" s="15">
        <f>M2b_PeerZScore!C26</f>
        <v/>
      </c>
      <c r="K9" s="15">
        <f>M2b_PeerZScore!C10</f>
        <v/>
      </c>
      <c r="L9" s="15">
        <f>M2b_PeerZScore!D10</f>
        <v/>
      </c>
      <c r="M9" s="17">
        <f>M2b_PeerZScore!E10</f>
        <v/>
      </c>
      <c r="N9" s="5">
        <f>M2b_PeerZScore!F26</f>
        <v/>
      </c>
      <c r="O9" s="5">
        <f>M2b_PeerZScore!G26</f>
        <v/>
      </c>
    </row>
  </sheetData>
  <conditionalFormatting sqref="E5:E9">
    <cfRule type="cellIs" priority="1" operator="equal" dxfId="0">
      <formula>"high_R"</formula>
    </cfRule>
    <cfRule type="cellIs" priority="2" operator="equal" dxfId="4">
      <formula>"NORMAL"</formula>
    </cfRule>
    <cfRule type="cellIs" priority="3" operator="equal" dxfId="5">
      <formula>"EMPTY"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2" customWidth="1" min="3" max="3"/>
    <col width="22" customWidth="1" min="4" max="4"/>
    <col width="16" customWidth="1" min="5" max="5"/>
    <col width="17" customWidth="1" min="6" max="6"/>
    <col width="19" customWidth="1" min="7" max="7"/>
    <col width="22" customWidth="1" min="8" max="8"/>
  </cols>
  <sheetData>
    <row r="1">
      <c r="A1" s="7" t="inlineStr">
        <is>
          <t>M2b StatComparison — Z-score mean vs median cross-check</t>
        </is>
      </c>
    </row>
    <row r="2">
      <c r="A2" s="2" t="inlineStr">
        <is>
          <t>Spec dual-stat: |z_mean| dan |z_median| dievaluasi. flagged_by_mean / flagged_by_median. Median lebih robust ke outlier (PV3 fault tidak skew median sebanyak mean).</t>
        </is>
      </c>
    </row>
    <row r="4">
      <c r="A4" s="10" t="inlineStr">
        <is>
          <t>PV_string</t>
        </is>
      </c>
      <c r="B4" s="10" t="inlineStr">
        <is>
          <t>R_str</t>
        </is>
      </c>
      <c r="C4" s="10" t="inlineStr">
        <is>
          <t>z_mean (vs fleet_mean)</t>
        </is>
      </c>
      <c r="D4" s="10" t="inlineStr">
        <is>
          <t>z_median (vs fleet_median)</t>
        </is>
      </c>
      <c r="E4" s="10" t="inlineStr">
        <is>
          <t>|z_mean| &gt; 2.5?</t>
        </is>
      </c>
      <c r="F4" s="10" t="inlineStr">
        <is>
          <t>|z_median| &gt; 2.5?</t>
        </is>
      </c>
      <c r="G4" s="10" t="inlineStr">
        <is>
          <t>agree (both flagged)?</t>
        </is>
      </c>
      <c r="H4" s="10" t="inlineStr">
        <is>
          <t>diff |z_mean - z_median|</t>
        </is>
      </c>
    </row>
    <row r="5">
      <c r="A5" s="5" t="inlineStr">
        <is>
          <t>PV1</t>
        </is>
      </c>
      <c r="B5" s="18">
        <f>M2b_PeerZScore!B6</f>
        <v/>
      </c>
      <c r="C5" s="15">
        <f>M2b_PeerZScore!B22</f>
        <v/>
      </c>
      <c r="D5" s="15">
        <f>M2b_PeerZScore!C22</f>
        <v/>
      </c>
      <c r="E5" s="5">
        <f>IF(ABS(C5)&gt;cfg_z_threshold,1,0)</f>
        <v/>
      </c>
      <c r="F5" s="5">
        <f>IF(ABS(D5)&gt;cfg_z_threshold,1,0)</f>
        <v/>
      </c>
      <c r="G5" s="5">
        <f>IF(AND(E5=1,F5=1),1,IF(OR(E5=1,F5=1),"disagree",0))</f>
        <v/>
      </c>
      <c r="H5" s="15">
        <f>IFERROR(ABS(C5-D5),"")</f>
        <v/>
      </c>
    </row>
    <row r="6">
      <c r="A6" s="5" t="inlineStr">
        <is>
          <t>PV2</t>
        </is>
      </c>
      <c r="B6" s="18">
        <f>M2b_PeerZScore!B7</f>
        <v/>
      </c>
      <c r="C6" s="15">
        <f>M2b_PeerZScore!B23</f>
        <v/>
      </c>
      <c r="D6" s="15">
        <f>M2b_PeerZScore!C23</f>
        <v/>
      </c>
      <c r="E6" s="5">
        <f>IF(ABS(C6)&gt;cfg_z_threshold,1,0)</f>
        <v/>
      </c>
      <c r="F6" s="5">
        <f>IF(ABS(D6)&gt;cfg_z_threshold,1,0)</f>
        <v/>
      </c>
      <c r="G6" s="5">
        <f>IF(AND(E6=1,F6=1),1,IF(OR(E6=1,F6=1),"disagree",0))</f>
        <v/>
      </c>
      <c r="H6" s="15">
        <f>IFERROR(ABS(C6-D6),"")</f>
        <v/>
      </c>
    </row>
    <row r="7">
      <c r="A7" s="5" t="inlineStr">
        <is>
          <t>PV3</t>
        </is>
      </c>
      <c r="B7" s="18">
        <f>M2b_PeerZScore!B8</f>
        <v/>
      </c>
      <c r="C7" s="15">
        <f>M2b_PeerZScore!B24</f>
        <v/>
      </c>
      <c r="D7" s="15">
        <f>M2b_PeerZScore!C24</f>
        <v/>
      </c>
      <c r="E7" s="5">
        <f>IF(ABS(C7)&gt;cfg_z_threshold,1,0)</f>
        <v/>
      </c>
      <c r="F7" s="5">
        <f>IF(ABS(D7)&gt;cfg_z_threshold,1,0)</f>
        <v/>
      </c>
      <c r="G7" s="5">
        <f>IF(AND(E7=1,F7=1),1,IF(OR(E7=1,F7=1),"disagree",0))</f>
        <v/>
      </c>
      <c r="H7" s="15">
        <f>IFERROR(ABS(C7-D7),"")</f>
        <v/>
      </c>
    </row>
    <row r="8">
      <c r="A8" s="5" t="inlineStr">
        <is>
          <t>PV4</t>
        </is>
      </c>
      <c r="B8" s="18">
        <f>M2b_PeerZScore!B9</f>
        <v/>
      </c>
      <c r="C8" s="15">
        <f>M2b_PeerZScore!B25</f>
        <v/>
      </c>
      <c r="D8" s="15">
        <f>M2b_PeerZScore!C25</f>
        <v/>
      </c>
      <c r="E8" s="5">
        <f>IF(ABS(C8)&gt;cfg_z_threshold,1,0)</f>
        <v/>
      </c>
      <c r="F8" s="5">
        <f>IF(ABS(D8)&gt;cfg_z_threshold,1,0)</f>
        <v/>
      </c>
      <c r="G8" s="5">
        <f>IF(AND(E8=1,F8=1),1,IF(OR(E8=1,F8=1),"disagree",0))</f>
        <v/>
      </c>
      <c r="H8" s="15">
        <f>IFERROR(ABS(C8-D8),"")</f>
        <v/>
      </c>
    </row>
    <row r="9">
      <c r="A9" s="5" t="inlineStr">
        <is>
          <t>PV5</t>
        </is>
      </c>
      <c r="B9" s="18">
        <f>M2b_PeerZScore!B10</f>
        <v/>
      </c>
      <c r="C9" s="15">
        <f>M2b_PeerZScore!B26</f>
        <v/>
      </c>
      <c r="D9" s="15">
        <f>M2b_PeerZScore!C26</f>
        <v/>
      </c>
      <c r="E9" s="5">
        <f>IF(ABS(C9)&gt;cfg_z_threshold,1,0)</f>
        <v/>
      </c>
      <c r="F9" s="5">
        <f>IF(ABS(D9)&gt;cfg_z_threshold,1,0)</f>
        <v/>
      </c>
      <c r="G9" s="5">
        <f>IF(AND(E9=1,F9=1),1,IF(OR(E9=1,F9=1),"disagree",0))</f>
        <v/>
      </c>
      <c r="H9" s="15">
        <f>IFERROR(ABS(C9-D9),"")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2" customWidth="1" min="3" max="3"/>
    <col width="18" customWidth="1" min="4" max="4"/>
    <col width="13" customWidth="1" min="5" max="5"/>
    <col width="22" customWidth="1" min="6" max="6"/>
    <col width="13" customWidth="1" min="7" max="7"/>
    <col width="17" customWidth="1" min="8" max="8"/>
  </cols>
  <sheetData>
    <row r="1">
      <c r="A1" s="7" t="inlineStr">
        <is>
          <t>Hampel Preprocessing — A/B comparison V series original vs Hampel-cleaned</t>
        </is>
      </c>
    </row>
    <row r="2">
      <c r="A2" s="2" t="inlineStr">
        <is>
          <t>Demo Wave 9: rolling median window 15 (75-min) + MAD-based outlier mask. Approximation of pvanalytics.quality.outliers.hampel(). Toggle via cfg_enabled.</t>
        </is>
      </c>
    </row>
    <row r="4">
      <c r="A4" s="21" t="inlineStr">
        <is>
          <t>Note: rolling_MAD pakai AVEDEV (mean-abs-dev) = proxy MAD universal-compatible (MEDIAN(IF()) array gagal tanpa CSE di LibreOffice). True Hampel = median-abs-dev x 1.4826; AVEDEV strict ~1.2533. Demo mekanisme, bukan filter produksi (preprocessing.py pakai pvanalytics).</t>
        </is>
      </c>
    </row>
    <row r="5">
      <c r="A5" s="10" t="inlineStr">
        <is>
          <t>Start Time</t>
        </is>
      </c>
      <c r="B5" s="10" t="inlineStr">
        <is>
          <t>PV3_V_original</t>
        </is>
      </c>
      <c r="C5" s="10" t="inlineStr">
        <is>
          <t>rolling_median (window 15)</t>
        </is>
      </c>
      <c r="D5" s="10" t="inlineStr">
        <is>
          <t>abs_dev_from_median</t>
        </is>
      </c>
      <c r="E5" s="10" t="inlineStr">
        <is>
          <t>rolling_MAD</t>
        </is>
      </c>
      <c r="F5" s="10" t="inlineStr">
        <is>
          <t>deviation_in_MAD_sigma</t>
        </is>
      </c>
      <c r="G5" s="10" t="inlineStr">
        <is>
          <t>is_outlier</t>
        </is>
      </c>
      <c r="H5" s="10" t="inlineStr">
        <is>
          <t>PV3_V_cleaned</t>
        </is>
      </c>
    </row>
    <row r="6">
      <c r="A6" s="16">
        <f>Helpers_M2b!B5</f>
        <v/>
      </c>
      <c r="B6" s="15">
        <f>Helpers_M2b!O5</f>
        <v/>
      </c>
      <c r="C6" s="15">
        <f>MEDIAN(B6:B6)</f>
        <v/>
      </c>
      <c r="D6" s="15">
        <f>ABS(B6-C6)</f>
        <v/>
      </c>
      <c r="E6" s="15">
        <f>AVEDEV(B6:B6)</f>
        <v/>
      </c>
      <c r="F6" s="15">
        <f>IFERROR(D6/(1.4826*E6),0)</f>
        <v/>
      </c>
      <c r="G6" s="5">
        <f>IF(F6&gt;cfg_hampel_max_deviation,1,0)</f>
        <v/>
      </c>
      <c r="H6" s="15">
        <f>IF(G6=1,"",B6)</f>
        <v/>
      </c>
    </row>
    <row r="7">
      <c r="A7" s="16">
        <f>Helpers_M2b!B6</f>
        <v/>
      </c>
      <c r="B7" s="15">
        <f>Helpers_M2b!O6</f>
        <v/>
      </c>
      <c r="C7" s="15">
        <f>MEDIAN(B6:B7)</f>
        <v/>
      </c>
      <c r="D7" s="15">
        <f>ABS(B7-C7)</f>
        <v/>
      </c>
      <c r="E7" s="15">
        <f>AVEDEV(B6:B7)</f>
        <v/>
      </c>
      <c r="F7" s="15">
        <f>IFERROR(D7/(1.4826*E7),0)</f>
        <v/>
      </c>
      <c r="G7" s="5">
        <f>IF(F7&gt;cfg_hampel_max_deviation,1,0)</f>
        <v/>
      </c>
      <c r="H7" s="15">
        <f>IF(G7=1,"",B7)</f>
        <v/>
      </c>
    </row>
    <row r="8">
      <c r="A8" s="16">
        <f>Helpers_M2b!B7</f>
        <v/>
      </c>
      <c r="B8" s="15">
        <f>Helpers_M2b!O7</f>
        <v/>
      </c>
      <c r="C8" s="15">
        <f>MEDIAN(B6:B8)</f>
        <v/>
      </c>
      <c r="D8" s="15">
        <f>ABS(B8-C8)</f>
        <v/>
      </c>
      <c r="E8" s="15">
        <f>AVEDEV(B6:B8)</f>
        <v/>
      </c>
      <c r="F8" s="15">
        <f>IFERROR(D8/(1.4826*E8),0)</f>
        <v/>
      </c>
      <c r="G8" s="5">
        <f>IF(F8&gt;cfg_hampel_max_deviation,1,0)</f>
        <v/>
      </c>
      <c r="H8" s="15">
        <f>IF(G8=1,"",B8)</f>
        <v/>
      </c>
    </row>
    <row r="9">
      <c r="A9" s="16">
        <f>Helpers_M2b!B8</f>
        <v/>
      </c>
      <c r="B9" s="15">
        <f>Helpers_M2b!O8</f>
        <v/>
      </c>
      <c r="C9" s="15">
        <f>MEDIAN(B6:B9)</f>
        <v/>
      </c>
      <c r="D9" s="15">
        <f>ABS(B9-C9)</f>
        <v/>
      </c>
      <c r="E9" s="15">
        <f>AVEDEV(B6:B9)</f>
        <v/>
      </c>
      <c r="F9" s="15">
        <f>IFERROR(D9/(1.4826*E9),0)</f>
        <v/>
      </c>
      <c r="G9" s="5">
        <f>IF(F9&gt;cfg_hampel_max_deviation,1,0)</f>
        <v/>
      </c>
      <c r="H9" s="15">
        <f>IF(G9=1,"",B9)</f>
        <v/>
      </c>
    </row>
    <row r="10">
      <c r="A10" s="16">
        <f>Helpers_M2b!B9</f>
        <v/>
      </c>
      <c r="B10" s="15">
        <f>Helpers_M2b!O9</f>
        <v/>
      </c>
      <c r="C10" s="15">
        <f>MEDIAN(B6:B10)</f>
        <v/>
      </c>
      <c r="D10" s="15">
        <f>ABS(B10-C10)</f>
        <v/>
      </c>
      <c r="E10" s="15">
        <f>AVEDEV(B6:B10)</f>
        <v/>
      </c>
      <c r="F10" s="15">
        <f>IFERROR(D10/(1.4826*E10),0)</f>
        <v/>
      </c>
      <c r="G10" s="5">
        <f>IF(F10&gt;cfg_hampel_max_deviation,1,0)</f>
        <v/>
      </c>
      <c r="H10" s="15">
        <f>IF(G10=1,"",B10)</f>
        <v/>
      </c>
    </row>
    <row r="11">
      <c r="A11" s="16">
        <f>Helpers_M2b!B10</f>
        <v/>
      </c>
      <c r="B11" s="15">
        <f>Helpers_M2b!O10</f>
        <v/>
      </c>
      <c r="C11" s="15">
        <f>MEDIAN(B6:B11)</f>
        <v/>
      </c>
      <c r="D11" s="15">
        <f>ABS(B11-C11)</f>
        <v/>
      </c>
      <c r="E11" s="15">
        <f>AVEDEV(B6:B11)</f>
        <v/>
      </c>
      <c r="F11" s="15">
        <f>IFERROR(D11/(1.4826*E11),0)</f>
        <v/>
      </c>
      <c r="G11" s="5">
        <f>IF(F11&gt;cfg_hampel_max_deviation,1,0)</f>
        <v/>
      </c>
      <c r="H11" s="15">
        <f>IF(G11=1,"",B11)</f>
        <v/>
      </c>
    </row>
    <row r="12">
      <c r="A12" s="16">
        <f>Helpers_M2b!B11</f>
        <v/>
      </c>
      <c r="B12" s="15">
        <f>Helpers_M2b!O11</f>
        <v/>
      </c>
      <c r="C12" s="15">
        <f>MEDIAN(B6:B12)</f>
        <v/>
      </c>
      <c r="D12" s="15">
        <f>ABS(B12-C12)</f>
        <v/>
      </c>
      <c r="E12" s="15">
        <f>AVEDEV(B6:B12)</f>
        <v/>
      </c>
      <c r="F12" s="15">
        <f>IFERROR(D12/(1.4826*E12),0)</f>
        <v/>
      </c>
      <c r="G12" s="5">
        <f>IF(F12&gt;cfg_hampel_max_deviation,1,0)</f>
        <v/>
      </c>
      <c r="H12" s="15">
        <f>IF(G12=1,"",B12)</f>
        <v/>
      </c>
    </row>
    <row r="13">
      <c r="A13" s="16">
        <f>Helpers_M2b!B12</f>
        <v/>
      </c>
      <c r="B13" s="15">
        <f>Helpers_M2b!O12</f>
        <v/>
      </c>
      <c r="C13" s="15">
        <f>MEDIAN(B6:B13)</f>
        <v/>
      </c>
      <c r="D13" s="15">
        <f>ABS(B13-C13)</f>
        <v/>
      </c>
      <c r="E13" s="15">
        <f>AVEDEV(B6:B13)</f>
        <v/>
      </c>
      <c r="F13" s="15">
        <f>IFERROR(D13/(1.4826*E13),0)</f>
        <v/>
      </c>
      <c r="G13" s="5">
        <f>IF(F13&gt;cfg_hampel_max_deviation,1,0)</f>
        <v/>
      </c>
      <c r="H13" s="15">
        <f>IF(G13=1,"",B13)</f>
        <v/>
      </c>
    </row>
    <row r="14">
      <c r="A14" s="16">
        <f>Helpers_M2b!B13</f>
        <v/>
      </c>
      <c r="B14" s="15">
        <f>Helpers_M2b!O13</f>
        <v/>
      </c>
      <c r="C14" s="15">
        <f>MEDIAN(B6:B14)</f>
        <v/>
      </c>
      <c r="D14" s="15">
        <f>ABS(B14-C14)</f>
        <v/>
      </c>
      <c r="E14" s="15">
        <f>AVEDEV(B6:B14)</f>
        <v/>
      </c>
      <c r="F14" s="15">
        <f>IFERROR(D14/(1.4826*E14),0)</f>
        <v/>
      </c>
      <c r="G14" s="5">
        <f>IF(F14&gt;cfg_hampel_max_deviation,1,0)</f>
        <v/>
      </c>
      <c r="H14" s="15">
        <f>IF(G14=1,"",B14)</f>
        <v/>
      </c>
    </row>
    <row r="15">
      <c r="A15" s="16">
        <f>Helpers_M2b!B14</f>
        <v/>
      </c>
      <c r="B15" s="15">
        <f>Helpers_M2b!O14</f>
        <v/>
      </c>
      <c r="C15" s="15">
        <f>MEDIAN(B6:B15)</f>
        <v/>
      </c>
      <c r="D15" s="15">
        <f>ABS(B15-C15)</f>
        <v/>
      </c>
      <c r="E15" s="15">
        <f>AVEDEV(B6:B15)</f>
        <v/>
      </c>
      <c r="F15" s="15">
        <f>IFERROR(D15/(1.4826*E15),0)</f>
        <v/>
      </c>
      <c r="G15" s="5">
        <f>IF(F15&gt;cfg_hampel_max_deviation,1,0)</f>
        <v/>
      </c>
      <c r="H15" s="15">
        <f>IF(G15=1,"",B15)</f>
        <v/>
      </c>
    </row>
    <row r="16">
      <c r="A16" s="16">
        <f>Helpers_M2b!B15</f>
        <v/>
      </c>
      <c r="B16" s="15">
        <f>Helpers_M2b!O15</f>
        <v/>
      </c>
      <c r="C16" s="15">
        <f>MEDIAN(B6:B16)</f>
        <v/>
      </c>
      <c r="D16" s="15">
        <f>ABS(B16-C16)</f>
        <v/>
      </c>
      <c r="E16" s="15">
        <f>AVEDEV(B6:B16)</f>
        <v/>
      </c>
      <c r="F16" s="15">
        <f>IFERROR(D16/(1.4826*E16),0)</f>
        <v/>
      </c>
      <c r="G16" s="5">
        <f>IF(F16&gt;cfg_hampel_max_deviation,1,0)</f>
        <v/>
      </c>
      <c r="H16" s="15">
        <f>IF(G16=1,"",B16)</f>
        <v/>
      </c>
    </row>
    <row r="17">
      <c r="A17" s="16">
        <f>Helpers_M2b!B16</f>
        <v/>
      </c>
      <c r="B17" s="15">
        <f>Helpers_M2b!O16</f>
        <v/>
      </c>
      <c r="C17" s="15">
        <f>MEDIAN(B6:B17)</f>
        <v/>
      </c>
      <c r="D17" s="15">
        <f>ABS(B17-C17)</f>
        <v/>
      </c>
      <c r="E17" s="15">
        <f>AVEDEV(B6:B17)</f>
        <v/>
      </c>
      <c r="F17" s="15">
        <f>IFERROR(D17/(1.4826*E17),0)</f>
        <v/>
      </c>
      <c r="G17" s="5">
        <f>IF(F17&gt;cfg_hampel_max_deviation,1,0)</f>
        <v/>
      </c>
      <c r="H17" s="15">
        <f>IF(G17=1,"",B17)</f>
        <v/>
      </c>
    </row>
    <row r="18">
      <c r="A18" s="16">
        <f>Helpers_M2b!B17</f>
        <v/>
      </c>
      <c r="B18" s="15">
        <f>Helpers_M2b!O17</f>
        <v/>
      </c>
      <c r="C18" s="15">
        <f>MEDIAN(B6:B18)</f>
        <v/>
      </c>
      <c r="D18" s="15">
        <f>ABS(B18-C18)</f>
        <v/>
      </c>
      <c r="E18" s="15">
        <f>AVEDEV(B6:B18)</f>
        <v/>
      </c>
      <c r="F18" s="15">
        <f>IFERROR(D18/(1.4826*E18),0)</f>
        <v/>
      </c>
      <c r="G18" s="5">
        <f>IF(F18&gt;cfg_hampel_max_deviation,1,0)</f>
        <v/>
      </c>
      <c r="H18" s="15">
        <f>IF(G18=1,"",B18)</f>
        <v/>
      </c>
    </row>
    <row r="19">
      <c r="A19" s="16">
        <f>Helpers_M2b!B18</f>
        <v/>
      </c>
      <c r="B19" s="15">
        <f>Helpers_M2b!O18</f>
        <v/>
      </c>
      <c r="C19" s="15">
        <f>MEDIAN(B6:B19)</f>
        <v/>
      </c>
      <c r="D19" s="15">
        <f>ABS(B19-C19)</f>
        <v/>
      </c>
      <c r="E19" s="15">
        <f>AVEDEV(B6:B19)</f>
        <v/>
      </c>
      <c r="F19" s="15">
        <f>IFERROR(D19/(1.4826*E19),0)</f>
        <v/>
      </c>
      <c r="G19" s="5">
        <f>IF(F19&gt;cfg_hampel_max_deviation,1,0)</f>
        <v/>
      </c>
      <c r="H19" s="15">
        <f>IF(G19=1,"",B19)</f>
        <v/>
      </c>
    </row>
    <row r="20">
      <c r="A20" s="16">
        <f>Helpers_M2b!B19</f>
        <v/>
      </c>
      <c r="B20" s="15">
        <f>Helpers_M2b!O19</f>
        <v/>
      </c>
      <c r="C20" s="15">
        <f>MEDIAN(B6:B20)</f>
        <v/>
      </c>
      <c r="D20" s="15">
        <f>ABS(B20-C20)</f>
        <v/>
      </c>
      <c r="E20" s="15">
        <f>AVEDEV(B6:B20)</f>
        <v/>
      </c>
      <c r="F20" s="15">
        <f>IFERROR(D20/(1.4826*E20),0)</f>
        <v/>
      </c>
      <c r="G20" s="5">
        <f>IF(F20&gt;cfg_hampel_max_deviation,1,0)</f>
        <v/>
      </c>
      <c r="H20" s="15">
        <f>IF(G20=1,"",B20)</f>
        <v/>
      </c>
    </row>
    <row r="21">
      <c r="A21" s="16">
        <f>Helpers_M2b!B20</f>
        <v/>
      </c>
      <c r="B21" s="15">
        <f>Helpers_M2b!O20</f>
        <v/>
      </c>
      <c r="C21" s="15">
        <f>MEDIAN(B7:B21)</f>
        <v/>
      </c>
      <c r="D21" s="15">
        <f>ABS(B21-C21)</f>
        <v/>
      </c>
      <c r="E21" s="15">
        <f>AVEDEV(B7:B21)</f>
        <v/>
      </c>
      <c r="F21" s="15">
        <f>IFERROR(D21/(1.4826*E21),0)</f>
        <v/>
      </c>
      <c r="G21" s="5">
        <f>IF(F21&gt;cfg_hampel_max_deviation,1,0)</f>
        <v/>
      </c>
      <c r="H21" s="15">
        <f>IF(G21=1,"",B21)</f>
        <v/>
      </c>
    </row>
    <row r="22">
      <c r="A22" s="16">
        <f>Helpers_M2b!B21</f>
        <v/>
      </c>
      <c r="B22" s="15">
        <f>Helpers_M2b!O21</f>
        <v/>
      </c>
      <c r="C22" s="15">
        <f>MEDIAN(B8:B22)</f>
        <v/>
      </c>
      <c r="D22" s="15">
        <f>ABS(B22-C22)</f>
        <v/>
      </c>
      <c r="E22" s="15">
        <f>AVEDEV(B8:B22)</f>
        <v/>
      </c>
      <c r="F22" s="15">
        <f>IFERROR(D22/(1.4826*E22),0)</f>
        <v/>
      </c>
      <c r="G22" s="5">
        <f>IF(F22&gt;cfg_hampel_max_deviation,1,0)</f>
        <v/>
      </c>
      <c r="H22" s="15">
        <f>IF(G22=1,"",B22)</f>
        <v/>
      </c>
    </row>
    <row r="23">
      <c r="A23" s="16">
        <f>Helpers_M2b!B22</f>
        <v/>
      </c>
      <c r="B23" s="15">
        <f>Helpers_M2b!O22</f>
        <v/>
      </c>
      <c r="C23" s="15">
        <f>MEDIAN(B9:B23)</f>
        <v/>
      </c>
      <c r="D23" s="15">
        <f>ABS(B23-C23)</f>
        <v/>
      </c>
      <c r="E23" s="15">
        <f>AVEDEV(B9:B23)</f>
        <v/>
      </c>
      <c r="F23" s="15">
        <f>IFERROR(D23/(1.4826*E23),0)</f>
        <v/>
      </c>
      <c r="G23" s="5">
        <f>IF(F23&gt;cfg_hampel_max_deviation,1,0)</f>
        <v/>
      </c>
      <c r="H23" s="15">
        <f>IF(G23=1,"",B23)</f>
        <v/>
      </c>
    </row>
    <row r="24">
      <c r="A24" s="16">
        <f>Helpers_M2b!B23</f>
        <v/>
      </c>
      <c r="B24" s="15">
        <f>Helpers_M2b!O23</f>
        <v/>
      </c>
      <c r="C24" s="15">
        <f>MEDIAN(B10:B24)</f>
        <v/>
      </c>
      <c r="D24" s="15">
        <f>ABS(B24-C24)</f>
        <v/>
      </c>
      <c r="E24" s="15">
        <f>AVEDEV(B10:B24)</f>
        <v/>
      </c>
      <c r="F24" s="15">
        <f>IFERROR(D24/(1.4826*E24),0)</f>
        <v/>
      </c>
      <c r="G24" s="5">
        <f>IF(F24&gt;cfg_hampel_max_deviation,1,0)</f>
        <v/>
      </c>
      <c r="H24" s="15">
        <f>IF(G24=1,"",B24)</f>
        <v/>
      </c>
    </row>
    <row r="25">
      <c r="A25" s="16">
        <f>Helpers_M2b!B24</f>
        <v/>
      </c>
      <c r="B25" s="15">
        <f>Helpers_M2b!O24</f>
        <v/>
      </c>
      <c r="C25" s="15">
        <f>MEDIAN(B11:B25)</f>
        <v/>
      </c>
      <c r="D25" s="15">
        <f>ABS(B25-C25)</f>
        <v/>
      </c>
      <c r="E25" s="15">
        <f>AVEDEV(B11:B25)</f>
        <v/>
      </c>
      <c r="F25" s="15">
        <f>IFERROR(D25/(1.4826*E25),0)</f>
        <v/>
      </c>
      <c r="G25" s="5">
        <f>IF(F25&gt;cfg_hampel_max_deviation,1,0)</f>
        <v/>
      </c>
      <c r="H25" s="15">
        <f>IF(G25=1,"",B25)</f>
        <v/>
      </c>
    </row>
    <row r="26">
      <c r="A26" s="16">
        <f>Helpers_M2b!B25</f>
        <v/>
      </c>
      <c r="B26" s="15">
        <f>Helpers_M2b!O25</f>
        <v/>
      </c>
      <c r="C26" s="15">
        <f>MEDIAN(B12:B26)</f>
        <v/>
      </c>
      <c r="D26" s="15">
        <f>ABS(B26-C26)</f>
        <v/>
      </c>
      <c r="E26" s="15">
        <f>AVEDEV(B12:B26)</f>
        <v/>
      </c>
      <c r="F26" s="15">
        <f>IFERROR(D26/(1.4826*E26),0)</f>
        <v/>
      </c>
      <c r="G26" s="5">
        <f>IF(F26&gt;cfg_hampel_max_deviation,1,0)</f>
        <v/>
      </c>
      <c r="H26" s="15">
        <f>IF(G26=1,"",B26)</f>
        <v/>
      </c>
    </row>
    <row r="27">
      <c r="A27" s="16">
        <f>Helpers_M2b!B26</f>
        <v/>
      </c>
      <c r="B27" s="15">
        <f>Helpers_M2b!O26</f>
        <v/>
      </c>
      <c r="C27" s="15">
        <f>MEDIAN(B13:B27)</f>
        <v/>
      </c>
      <c r="D27" s="15">
        <f>ABS(B27-C27)</f>
        <v/>
      </c>
      <c r="E27" s="15">
        <f>AVEDEV(B13:B27)</f>
        <v/>
      </c>
      <c r="F27" s="15">
        <f>IFERROR(D27/(1.4826*E27),0)</f>
        <v/>
      </c>
      <c r="G27" s="5">
        <f>IF(F27&gt;cfg_hampel_max_deviation,1,0)</f>
        <v/>
      </c>
      <c r="H27" s="15">
        <f>IF(G27=1,"",B27)</f>
        <v/>
      </c>
    </row>
    <row r="28">
      <c r="A28" s="16">
        <f>Helpers_M2b!B27</f>
        <v/>
      </c>
      <c r="B28" s="15">
        <f>Helpers_M2b!O27</f>
        <v/>
      </c>
      <c r="C28" s="15">
        <f>MEDIAN(B14:B28)</f>
        <v/>
      </c>
      <c r="D28" s="15">
        <f>ABS(B28-C28)</f>
        <v/>
      </c>
      <c r="E28" s="15">
        <f>AVEDEV(B14:B28)</f>
        <v/>
      </c>
      <c r="F28" s="15">
        <f>IFERROR(D28/(1.4826*E28),0)</f>
        <v/>
      </c>
      <c r="G28" s="5">
        <f>IF(F28&gt;cfg_hampel_max_deviation,1,0)</f>
        <v/>
      </c>
      <c r="H28" s="15">
        <f>IF(G28=1,"",B28)</f>
        <v/>
      </c>
    </row>
    <row r="29">
      <c r="A29" s="16">
        <f>Helpers_M2b!B28</f>
        <v/>
      </c>
      <c r="B29" s="15">
        <f>Helpers_M2b!O28</f>
        <v/>
      </c>
      <c r="C29" s="15">
        <f>MEDIAN(B15:B29)</f>
        <v/>
      </c>
      <c r="D29" s="15">
        <f>ABS(B29-C29)</f>
        <v/>
      </c>
      <c r="E29" s="15">
        <f>AVEDEV(B15:B29)</f>
        <v/>
      </c>
      <c r="F29" s="15">
        <f>IFERROR(D29/(1.4826*E29),0)</f>
        <v/>
      </c>
      <c r="G29" s="5">
        <f>IF(F29&gt;cfg_hampel_max_deviation,1,0)</f>
        <v/>
      </c>
      <c r="H29" s="15">
        <f>IF(G29=1,"",B29)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23" t="inlineStr">
        <is>
          <t>Raw_Data_OC — time-series arus per PV string (WB05-INV05)</t>
        </is>
      </c>
    </row>
    <row r="2">
      <c r="A2" s="24" t="inlineStr">
        <is>
          <t>Dummy 1 inverter, 5 PV string. PV1/PV2 healthy · PV3 GENUINE open-circuit · PV4 glitch 3-step · PV5 EMPTY.</t>
        </is>
      </c>
    </row>
    <row r="3">
      <c r="A3" s="24" t="inlineStr">
        <is>
          <t>24 baris daylight (12:00–13:55 @5-min, POA=900) + 2 baris twilight (18:10/18:20, POA=120 → gated). Ganti dengan data Huawei aktual (paste over).</t>
        </is>
      </c>
    </row>
    <row r="4">
      <c r="A4" s="10" t="inlineStr">
        <is>
          <t>Start Time</t>
        </is>
      </c>
      <c r="B4" s="10" t="inlineStr">
        <is>
          <t>POA (W/m²)</t>
        </is>
      </c>
      <c r="C4" s="10" t="inlineStr">
        <is>
          <t>PV1 input current(A)</t>
        </is>
      </c>
      <c r="D4" s="10" t="inlineStr">
        <is>
          <t>PV2 input current(A)</t>
        </is>
      </c>
      <c r="E4" s="10" t="inlineStr">
        <is>
          <t>PV3 input current(A)</t>
        </is>
      </c>
      <c r="F4" s="10" t="inlineStr">
        <is>
          <t>PV4 input current(A)</t>
        </is>
      </c>
      <c r="G4" s="10" t="inlineStr">
        <is>
          <t>PV5 input current(A)</t>
        </is>
      </c>
    </row>
    <row r="5">
      <c r="A5" s="16" t="n">
        <v>46156.5</v>
      </c>
      <c r="B5" s="5" t="n">
        <v>900</v>
      </c>
      <c r="C5" s="17" t="n">
        <v>13</v>
      </c>
      <c r="D5" s="17" t="n">
        <v>12.8</v>
      </c>
      <c r="E5" s="25" t="n">
        <v>0.1</v>
      </c>
      <c r="F5" s="17" t="n">
        <v>12.9</v>
      </c>
      <c r="G5" s="17" t="n">
        <v>0</v>
      </c>
    </row>
    <row r="6">
      <c r="A6" s="16" t="n">
        <v>46156.50347222222</v>
      </c>
      <c r="B6" s="5" t="n">
        <v>900</v>
      </c>
      <c r="C6" s="17" t="n">
        <v>13</v>
      </c>
      <c r="D6" s="17" t="n">
        <v>12.8</v>
      </c>
      <c r="E6" s="25" t="n">
        <v>0.1</v>
      </c>
      <c r="F6" s="17" t="n">
        <v>12.9</v>
      </c>
      <c r="G6" s="17" t="n">
        <v>0</v>
      </c>
    </row>
    <row r="7">
      <c r="A7" s="16" t="n">
        <v>46156.50694444445</v>
      </c>
      <c r="B7" s="5" t="n">
        <v>900</v>
      </c>
      <c r="C7" s="17" t="n">
        <v>13</v>
      </c>
      <c r="D7" s="17" t="n">
        <v>12.8</v>
      </c>
      <c r="E7" s="25" t="n">
        <v>0.1</v>
      </c>
      <c r="F7" s="17" t="n">
        <v>12.9</v>
      </c>
      <c r="G7" s="17" t="n">
        <v>0</v>
      </c>
    </row>
    <row r="8">
      <c r="A8" s="16" t="n">
        <v>46156.51041666666</v>
      </c>
      <c r="B8" s="5" t="n">
        <v>900</v>
      </c>
      <c r="C8" s="17" t="n">
        <v>13</v>
      </c>
      <c r="D8" s="17" t="n">
        <v>12.8</v>
      </c>
      <c r="E8" s="25" t="n">
        <v>0.1</v>
      </c>
      <c r="F8" s="17" t="n">
        <v>12.9</v>
      </c>
      <c r="G8" s="17" t="n">
        <v>0</v>
      </c>
    </row>
    <row r="9">
      <c r="A9" s="16" t="n">
        <v>46156.51388888889</v>
      </c>
      <c r="B9" s="5" t="n">
        <v>900</v>
      </c>
      <c r="C9" s="17" t="n">
        <v>13</v>
      </c>
      <c r="D9" s="17" t="n">
        <v>12.8</v>
      </c>
      <c r="E9" s="25" t="n">
        <v>0.1</v>
      </c>
      <c r="F9" s="26" t="n">
        <v>0.05</v>
      </c>
      <c r="G9" s="17" t="n">
        <v>0</v>
      </c>
    </row>
    <row r="10">
      <c r="A10" s="16" t="n">
        <v>46156.51736111111</v>
      </c>
      <c r="B10" s="5" t="n">
        <v>900</v>
      </c>
      <c r="C10" s="17" t="n">
        <v>13</v>
      </c>
      <c r="D10" s="17" t="n">
        <v>12.8</v>
      </c>
      <c r="E10" s="25" t="n">
        <v>0.1</v>
      </c>
      <c r="F10" s="26" t="n">
        <v>0.05</v>
      </c>
      <c r="G10" s="17" t="n">
        <v>0</v>
      </c>
    </row>
    <row r="11">
      <c r="A11" s="16" t="n">
        <v>46156.52083333334</v>
      </c>
      <c r="B11" s="5" t="n">
        <v>900</v>
      </c>
      <c r="C11" s="17" t="n">
        <v>13</v>
      </c>
      <c r="D11" s="17" t="n">
        <v>12.8</v>
      </c>
      <c r="E11" s="25" t="n">
        <v>0.1</v>
      </c>
      <c r="F11" s="26" t="n">
        <v>0.05</v>
      </c>
      <c r="G11" s="17" t="n">
        <v>0</v>
      </c>
    </row>
    <row r="12">
      <c r="A12" s="16" t="n">
        <v>46156.52430555555</v>
      </c>
      <c r="B12" s="5" t="n">
        <v>900</v>
      </c>
      <c r="C12" s="17" t="n">
        <v>13</v>
      </c>
      <c r="D12" s="17" t="n">
        <v>12.8</v>
      </c>
      <c r="E12" s="25" t="n">
        <v>0.1</v>
      </c>
      <c r="F12" s="17" t="n">
        <v>12.9</v>
      </c>
      <c r="G12" s="17" t="n">
        <v>0</v>
      </c>
    </row>
    <row r="13">
      <c r="A13" s="16" t="n">
        <v>46156.52777777778</v>
      </c>
      <c r="B13" s="5" t="n">
        <v>900</v>
      </c>
      <c r="C13" s="17" t="n">
        <v>13</v>
      </c>
      <c r="D13" s="17" t="n">
        <v>12.8</v>
      </c>
      <c r="E13" s="25" t="n">
        <v>0.1</v>
      </c>
      <c r="F13" s="17" t="n">
        <v>12.9</v>
      </c>
      <c r="G13" s="17" t="n">
        <v>0</v>
      </c>
    </row>
    <row r="14">
      <c r="A14" s="16" t="n">
        <v>46156.53125</v>
      </c>
      <c r="B14" s="5" t="n">
        <v>900</v>
      </c>
      <c r="C14" s="17" t="n">
        <v>13</v>
      </c>
      <c r="D14" s="17" t="n">
        <v>12.8</v>
      </c>
      <c r="E14" s="25" t="n">
        <v>0.1</v>
      </c>
      <c r="F14" s="17" t="n">
        <v>12.9</v>
      </c>
      <c r="G14" s="17" t="n">
        <v>0</v>
      </c>
    </row>
    <row r="15">
      <c r="A15" s="16" t="n">
        <v>46156.53472222222</v>
      </c>
      <c r="B15" s="5" t="n">
        <v>900</v>
      </c>
      <c r="C15" s="17" t="n">
        <v>13</v>
      </c>
      <c r="D15" s="17" t="n">
        <v>12.8</v>
      </c>
      <c r="E15" s="25" t="n">
        <v>0.1</v>
      </c>
      <c r="F15" s="17" t="n">
        <v>12.9</v>
      </c>
      <c r="G15" s="17" t="n">
        <v>0</v>
      </c>
    </row>
    <row r="16">
      <c r="A16" s="16" t="n">
        <v>46156.53819444445</v>
      </c>
      <c r="B16" s="5" t="n">
        <v>900</v>
      </c>
      <c r="C16" s="17" t="n">
        <v>13</v>
      </c>
      <c r="D16" s="17" t="n">
        <v>12.8</v>
      </c>
      <c r="E16" s="25" t="n">
        <v>0.1</v>
      </c>
      <c r="F16" s="17" t="n">
        <v>12.9</v>
      </c>
      <c r="G16" s="17" t="n">
        <v>0</v>
      </c>
    </row>
    <row r="17">
      <c r="A17" s="16" t="n">
        <v>46156.54166666666</v>
      </c>
      <c r="B17" s="5" t="n">
        <v>900</v>
      </c>
      <c r="C17" s="17" t="n">
        <v>13</v>
      </c>
      <c r="D17" s="17" t="n">
        <v>12.8</v>
      </c>
      <c r="E17" s="25" t="n">
        <v>0.1</v>
      </c>
      <c r="F17" s="17" t="n">
        <v>12.9</v>
      </c>
      <c r="G17" s="17" t="n">
        <v>0</v>
      </c>
    </row>
    <row r="18">
      <c r="A18" s="16" t="n">
        <v>46156.54513888889</v>
      </c>
      <c r="B18" s="5" t="n">
        <v>900</v>
      </c>
      <c r="C18" s="17" t="n">
        <v>13</v>
      </c>
      <c r="D18" s="17" t="n">
        <v>12.8</v>
      </c>
      <c r="E18" s="25" t="n">
        <v>0.1</v>
      </c>
      <c r="F18" s="17" t="n">
        <v>12.9</v>
      </c>
      <c r="G18" s="17" t="n">
        <v>0</v>
      </c>
    </row>
    <row r="19">
      <c r="A19" s="16" t="n">
        <v>46156.54861111111</v>
      </c>
      <c r="B19" s="5" t="n">
        <v>900</v>
      </c>
      <c r="C19" s="17" t="n">
        <v>13</v>
      </c>
      <c r="D19" s="17" t="n">
        <v>12.8</v>
      </c>
      <c r="E19" s="25" t="n">
        <v>0.1</v>
      </c>
      <c r="F19" s="17" t="n">
        <v>12.9</v>
      </c>
      <c r="G19" s="17" t="n">
        <v>0</v>
      </c>
    </row>
    <row r="20">
      <c r="A20" s="16" t="n">
        <v>46156.55208333334</v>
      </c>
      <c r="B20" s="5" t="n">
        <v>900</v>
      </c>
      <c r="C20" s="17" t="n">
        <v>13</v>
      </c>
      <c r="D20" s="17" t="n">
        <v>12.8</v>
      </c>
      <c r="E20" s="25" t="n">
        <v>0.1</v>
      </c>
      <c r="F20" s="17" t="n">
        <v>12.9</v>
      </c>
      <c r="G20" s="17" t="n">
        <v>0</v>
      </c>
    </row>
    <row r="21">
      <c r="A21" s="16" t="n">
        <v>46156.55555555555</v>
      </c>
      <c r="B21" s="5" t="n">
        <v>900</v>
      </c>
      <c r="C21" s="17" t="n">
        <v>13</v>
      </c>
      <c r="D21" s="17" t="n">
        <v>12.8</v>
      </c>
      <c r="E21" s="25" t="n">
        <v>0.1</v>
      </c>
      <c r="F21" s="17" t="n">
        <v>12.9</v>
      </c>
      <c r="G21" s="17" t="n">
        <v>0</v>
      </c>
    </row>
    <row r="22">
      <c r="A22" s="16" t="n">
        <v>46156.55902777778</v>
      </c>
      <c r="B22" s="5" t="n">
        <v>900</v>
      </c>
      <c r="C22" s="17" t="n">
        <v>13</v>
      </c>
      <c r="D22" s="17" t="n">
        <v>12.8</v>
      </c>
      <c r="E22" s="25" t="n">
        <v>0.1</v>
      </c>
      <c r="F22" s="17" t="n">
        <v>12.9</v>
      </c>
      <c r="G22" s="17" t="n">
        <v>0</v>
      </c>
    </row>
    <row r="23">
      <c r="A23" s="16" t="n">
        <v>46156.5625</v>
      </c>
      <c r="B23" s="5" t="n">
        <v>900</v>
      </c>
      <c r="C23" s="17" t="n">
        <v>13</v>
      </c>
      <c r="D23" s="17" t="n">
        <v>12.8</v>
      </c>
      <c r="E23" s="25" t="n">
        <v>0.1</v>
      </c>
      <c r="F23" s="17" t="n">
        <v>12.9</v>
      </c>
      <c r="G23" s="17" t="n">
        <v>0</v>
      </c>
    </row>
    <row r="24">
      <c r="A24" s="16" t="n">
        <v>46156.56597222222</v>
      </c>
      <c r="B24" s="5" t="n">
        <v>900</v>
      </c>
      <c r="C24" s="17" t="n">
        <v>13</v>
      </c>
      <c r="D24" s="17" t="n">
        <v>12.8</v>
      </c>
      <c r="E24" s="25" t="n">
        <v>0.1</v>
      </c>
      <c r="F24" s="17" t="n">
        <v>12.9</v>
      </c>
      <c r="G24" s="17" t="n">
        <v>0</v>
      </c>
    </row>
    <row r="25">
      <c r="A25" s="16" t="n">
        <v>46156.56944444445</v>
      </c>
      <c r="B25" s="5" t="n">
        <v>900</v>
      </c>
      <c r="C25" s="17" t="n">
        <v>13</v>
      </c>
      <c r="D25" s="17" t="n">
        <v>12.8</v>
      </c>
      <c r="E25" s="25" t="n">
        <v>0.1</v>
      </c>
      <c r="F25" s="17" t="n">
        <v>12.9</v>
      </c>
      <c r="G25" s="17" t="n">
        <v>0</v>
      </c>
    </row>
    <row r="26">
      <c r="A26" s="16" t="n">
        <v>46156.57291666666</v>
      </c>
      <c r="B26" s="5" t="n">
        <v>900</v>
      </c>
      <c r="C26" s="17" t="n">
        <v>13</v>
      </c>
      <c r="D26" s="17" t="n">
        <v>12.8</v>
      </c>
      <c r="E26" s="25" t="n">
        <v>0.1</v>
      </c>
      <c r="F26" s="17" t="n">
        <v>12.9</v>
      </c>
      <c r="G26" s="17" t="n">
        <v>0</v>
      </c>
    </row>
    <row r="27">
      <c r="A27" s="16" t="n">
        <v>46156.57638888889</v>
      </c>
      <c r="B27" s="5" t="n">
        <v>900</v>
      </c>
      <c r="C27" s="17" t="n">
        <v>13</v>
      </c>
      <c r="D27" s="17" t="n">
        <v>12.8</v>
      </c>
      <c r="E27" s="25" t="n">
        <v>0.1</v>
      </c>
      <c r="F27" s="17" t="n">
        <v>12.9</v>
      </c>
      <c r="G27" s="17" t="n">
        <v>0</v>
      </c>
    </row>
    <row r="28">
      <c r="A28" s="16" t="n">
        <v>46156.57986111111</v>
      </c>
      <c r="B28" s="5" t="n">
        <v>900</v>
      </c>
      <c r="C28" s="17" t="n">
        <v>13</v>
      </c>
      <c r="D28" s="17" t="n">
        <v>12.8</v>
      </c>
      <c r="E28" s="25" t="n">
        <v>0.1</v>
      </c>
      <c r="F28" s="17" t="n">
        <v>12.9</v>
      </c>
      <c r="G28" s="17" t="n">
        <v>0</v>
      </c>
    </row>
    <row r="29">
      <c r="A29" s="16" t="n">
        <v>46156.75694444445</v>
      </c>
      <c r="B29" s="5" t="n">
        <v>120</v>
      </c>
      <c r="C29" s="17" t="n">
        <v>0</v>
      </c>
      <c r="D29" s="17" t="n">
        <v>0</v>
      </c>
      <c r="E29" s="25" t="n">
        <v>0</v>
      </c>
      <c r="F29" s="17" t="n">
        <v>0</v>
      </c>
      <c r="G29" s="17" t="n">
        <v>0</v>
      </c>
    </row>
    <row r="30">
      <c r="A30" s="16" t="n">
        <v>46156.76388888889</v>
      </c>
      <c r="B30" s="5" t="n">
        <v>120</v>
      </c>
      <c r="C30" s="17" t="n">
        <v>0</v>
      </c>
      <c r="D30" s="17" t="n">
        <v>0</v>
      </c>
      <c r="E30" s="25" t="n">
        <v>0</v>
      </c>
      <c r="F30" s="17" t="n">
        <v>0</v>
      </c>
      <c r="G30" s="1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cols>
    <col width="19" customWidth="1" min="1" max="1"/>
  </cols>
  <sheetData>
    <row r="1">
      <c r="A1" s="23" t="inlineStr">
        <is>
          <t>Helpers_OC — jembatan open_circuit.py (per-row mekanik)</t>
        </is>
      </c>
    </row>
    <row r="2">
      <c r="A2" s="24" t="inlineStr">
        <is>
          <t>I_q95 = PERCENTILE(arus PV1..PV5 baris itu, 0.95) ≡ quantile(0.95,axis=1). ratio = I/MAX(I_q95,0.01). qualifying = (ratio&lt;thr) DAN daylight.</t>
        </is>
      </c>
    </row>
    <row r="3">
      <c r="A3" s="24" t="inlineStr">
        <is>
          <t>consec = running counter qualifying konsekutif (reset saat gagal). emit &lt;=&gt; MAX(consec) ≥ debounce. Production juga AND solar_elev&gt;5° &amp; inverter-shutdown (ephemeris, tak direplika statis).</t>
        </is>
      </c>
    </row>
    <row r="4">
      <c r="A4" s="10" t="inlineStr">
        <is>
          <t>Start Time</t>
        </is>
      </c>
      <c r="B4" s="10" t="inlineStr">
        <is>
          <t>POA</t>
        </is>
      </c>
      <c r="C4" s="10" t="inlineStr">
        <is>
          <t>daylight</t>
        </is>
      </c>
      <c r="D4" s="10" t="inlineStr">
        <is>
          <t>I_q95</t>
        </is>
      </c>
      <c r="E4" s="10" t="inlineStr">
        <is>
          <t>ratio PV1</t>
        </is>
      </c>
      <c r="F4" s="10" t="inlineStr">
        <is>
          <t>ratio PV2</t>
        </is>
      </c>
      <c r="G4" s="10" t="inlineStr">
        <is>
          <t>ratio PV3</t>
        </is>
      </c>
      <c r="H4" s="10" t="inlineStr">
        <is>
          <t>ratio PV4</t>
        </is>
      </c>
      <c r="I4" s="10" t="inlineStr">
        <is>
          <t>ratio PV5</t>
        </is>
      </c>
      <c r="J4" s="10" t="inlineStr">
        <is>
          <t>qual PV1</t>
        </is>
      </c>
      <c r="K4" s="10" t="inlineStr">
        <is>
          <t>qual PV2</t>
        </is>
      </c>
      <c r="L4" s="10" t="inlineStr">
        <is>
          <t>qual PV3</t>
        </is>
      </c>
      <c r="M4" s="10" t="inlineStr">
        <is>
          <t>qual PV4</t>
        </is>
      </c>
      <c r="N4" s="10" t="inlineStr">
        <is>
          <t>qual PV5</t>
        </is>
      </c>
      <c r="O4" s="10" t="inlineStr">
        <is>
          <t>consec PV1</t>
        </is>
      </c>
      <c r="P4" s="10" t="inlineStr">
        <is>
          <t>consec PV2</t>
        </is>
      </c>
      <c r="Q4" s="10" t="inlineStr">
        <is>
          <t>consec PV3</t>
        </is>
      </c>
      <c r="R4" s="10" t="inlineStr">
        <is>
          <t>consec PV4</t>
        </is>
      </c>
      <c r="S4" s="10" t="inlineStr">
        <is>
          <t>consec PV5</t>
        </is>
      </c>
    </row>
    <row r="5">
      <c r="A5" s="16">
        <f>Raw_Data_OC!A5</f>
        <v/>
      </c>
      <c r="B5" s="27">
        <f>Raw_Data_OC!B5</f>
        <v/>
      </c>
      <c r="C5" s="5">
        <f>IF(AND(B5&gt;cfg_oc_poa_threshold_wm2,B5&gt;cfg_oc_poa_floor_wm2),1,0)</f>
        <v/>
      </c>
      <c r="D5" s="17">
        <f>PERCENTILE(Raw_Data_OC!C5:G5,0.95)</f>
        <v/>
      </c>
      <c r="E5" s="31">
        <f>Raw_Data_OC!C5/MAX($D5,cfg_oc_iq95_clip)</f>
        <v/>
      </c>
      <c r="F5" s="31">
        <f>Raw_Data_OC!D5/MAX($D5,cfg_oc_iq95_clip)</f>
        <v/>
      </c>
      <c r="G5" s="31">
        <f>Raw_Data_OC!E5/MAX($D5,cfg_oc_iq95_clip)</f>
        <v/>
      </c>
      <c r="H5" s="31">
        <f>Raw_Data_OC!F5/MAX($D5,cfg_oc_iq95_clip)</f>
        <v/>
      </c>
      <c r="I5" s="31">
        <f>Raw_Data_OC!G5/MAX($D5,cfg_oc_iq95_clip)</f>
        <v/>
      </c>
      <c r="J5" s="5">
        <f>IF(AND(E5&lt;cfg_oc_i_ratio_threshold,$C5=1),1,0)</f>
        <v/>
      </c>
      <c r="K5" s="5">
        <f>IF(AND(F5&lt;cfg_oc_i_ratio_threshold,$C5=1),1,0)</f>
        <v/>
      </c>
      <c r="L5" s="5">
        <f>IF(AND(G5&lt;cfg_oc_i_ratio_threshold,$C5=1),1,0)</f>
        <v/>
      </c>
      <c r="M5" s="5">
        <f>IF(AND(H5&lt;cfg_oc_i_ratio_threshold,$C5=1),1,0)</f>
        <v/>
      </c>
      <c r="N5" s="5">
        <f>IF(AND(I5&lt;cfg_oc_i_ratio_threshold,$C5=1),1,0)</f>
        <v/>
      </c>
      <c r="O5" s="5">
        <f>J5</f>
        <v/>
      </c>
      <c r="P5" s="5">
        <f>K5</f>
        <v/>
      </c>
      <c r="Q5" s="5">
        <f>L5</f>
        <v/>
      </c>
      <c r="R5" s="5">
        <f>M5</f>
        <v/>
      </c>
      <c r="S5" s="5">
        <f>N5</f>
        <v/>
      </c>
    </row>
    <row r="6">
      <c r="A6" s="16">
        <f>Raw_Data_OC!A6</f>
        <v/>
      </c>
      <c r="B6" s="27">
        <f>Raw_Data_OC!B6</f>
        <v/>
      </c>
      <c r="C6" s="5">
        <f>IF(AND(B6&gt;cfg_oc_poa_threshold_wm2,B6&gt;cfg_oc_poa_floor_wm2),1,0)</f>
        <v/>
      </c>
      <c r="D6" s="17">
        <f>PERCENTILE(Raw_Data_OC!C6:G6,0.95)</f>
        <v/>
      </c>
      <c r="E6" s="31">
        <f>Raw_Data_OC!C6/MAX($D6,cfg_oc_iq95_clip)</f>
        <v/>
      </c>
      <c r="F6" s="31">
        <f>Raw_Data_OC!D6/MAX($D6,cfg_oc_iq95_clip)</f>
        <v/>
      </c>
      <c r="G6" s="31">
        <f>Raw_Data_OC!E6/MAX($D6,cfg_oc_iq95_clip)</f>
        <v/>
      </c>
      <c r="H6" s="31">
        <f>Raw_Data_OC!F6/MAX($D6,cfg_oc_iq95_clip)</f>
        <v/>
      </c>
      <c r="I6" s="31">
        <f>Raw_Data_OC!G6/MAX($D6,cfg_oc_iq95_clip)</f>
        <v/>
      </c>
      <c r="J6" s="5">
        <f>IF(AND(E6&lt;cfg_oc_i_ratio_threshold,$C6=1),1,0)</f>
        <v/>
      </c>
      <c r="K6" s="5">
        <f>IF(AND(F6&lt;cfg_oc_i_ratio_threshold,$C6=1),1,0)</f>
        <v/>
      </c>
      <c r="L6" s="5">
        <f>IF(AND(G6&lt;cfg_oc_i_ratio_threshold,$C6=1),1,0)</f>
        <v/>
      </c>
      <c r="M6" s="5">
        <f>IF(AND(H6&lt;cfg_oc_i_ratio_threshold,$C6=1),1,0)</f>
        <v/>
      </c>
      <c r="N6" s="5">
        <f>IF(AND(I6&lt;cfg_oc_i_ratio_threshold,$C6=1),1,0)</f>
        <v/>
      </c>
      <c r="O6" s="5">
        <f>IF(J6=1,O5+1,0)</f>
        <v/>
      </c>
      <c r="P6" s="5">
        <f>IF(K6=1,P5+1,0)</f>
        <v/>
      </c>
      <c r="Q6" s="5">
        <f>IF(L6=1,Q5+1,0)</f>
        <v/>
      </c>
      <c r="R6" s="5">
        <f>IF(M6=1,R5+1,0)</f>
        <v/>
      </c>
      <c r="S6" s="5">
        <f>IF(N6=1,S5+1,0)</f>
        <v/>
      </c>
    </row>
    <row r="7">
      <c r="A7" s="16">
        <f>Raw_Data_OC!A7</f>
        <v/>
      </c>
      <c r="B7" s="27">
        <f>Raw_Data_OC!B7</f>
        <v/>
      </c>
      <c r="C7" s="5">
        <f>IF(AND(B7&gt;cfg_oc_poa_threshold_wm2,B7&gt;cfg_oc_poa_floor_wm2),1,0)</f>
        <v/>
      </c>
      <c r="D7" s="17">
        <f>PERCENTILE(Raw_Data_OC!C7:G7,0.95)</f>
        <v/>
      </c>
      <c r="E7" s="31">
        <f>Raw_Data_OC!C7/MAX($D7,cfg_oc_iq95_clip)</f>
        <v/>
      </c>
      <c r="F7" s="31">
        <f>Raw_Data_OC!D7/MAX($D7,cfg_oc_iq95_clip)</f>
        <v/>
      </c>
      <c r="G7" s="31">
        <f>Raw_Data_OC!E7/MAX($D7,cfg_oc_iq95_clip)</f>
        <v/>
      </c>
      <c r="H7" s="31">
        <f>Raw_Data_OC!F7/MAX($D7,cfg_oc_iq95_clip)</f>
        <v/>
      </c>
      <c r="I7" s="31">
        <f>Raw_Data_OC!G7/MAX($D7,cfg_oc_iq95_clip)</f>
        <v/>
      </c>
      <c r="J7" s="5">
        <f>IF(AND(E7&lt;cfg_oc_i_ratio_threshold,$C7=1),1,0)</f>
        <v/>
      </c>
      <c r="K7" s="5">
        <f>IF(AND(F7&lt;cfg_oc_i_ratio_threshold,$C7=1),1,0)</f>
        <v/>
      </c>
      <c r="L7" s="5">
        <f>IF(AND(G7&lt;cfg_oc_i_ratio_threshold,$C7=1),1,0)</f>
        <v/>
      </c>
      <c r="M7" s="5">
        <f>IF(AND(H7&lt;cfg_oc_i_ratio_threshold,$C7=1),1,0)</f>
        <v/>
      </c>
      <c r="N7" s="5">
        <f>IF(AND(I7&lt;cfg_oc_i_ratio_threshold,$C7=1),1,0)</f>
        <v/>
      </c>
      <c r="O7" s="5">
        <f>IF(J7=1,O6+1,0)</f>
        <v/>
      </c>
      <c r="P7" s="5">
        <f>IF(K7=1,P6+1,0)</f>
        <v/>
      </c>
      <c r="Q7" s="5">
        <f>IF(L7=1,Q6+1,0)</f>
        <v/>
      </c>
      <c r="R7" s="5">
        <f>IF(M7=1,R6+1,0)</f>
        <v/>
      </c>
      <c r="S7" s="5">
        <f>IF(N7=1,S6+1,0)</f>
        <v/>
      </c>
    </row>
    <row r="8">
      <c r="A8" s="16">
        <f>Raw_Data_OC!A8</f>
        <v/>
      </c>
      <c r="B8" s="27">
        <f>Raw_Data_OC!B8</f>
        <v/>
      </c>
      <c r="C8" s="5">
        <f>IF(AND(B8&gt;cfg_oc_poa_threshold_wm2,B8&gt;cfg_oc_poa_floor_wm2),1,0)</f>
        <v/>
      </c>
      <c r="D8" s="17">
        <f>PERCENTILE(Raw_Data_OC!C8:G8,0.95)</f>
        <v/>
      </c>
      <c r="E8" s="31">
        <f>Raw_Data_OC!C8/MAX($D8,cfg_oc_iq95_clip)</f>
        <v/>
      </c>
      <c r="F8" s="31">
        <f>Raw_Data_OC!D8/MAX($D8,cfg_oc_iq95_clip)</f>
        <v/>
      </c>
      <c r="G8" s="31">
        <f>Raw_Data_OC!E8/MAX($D8,cfg_oc_iq95_clip)</f>
        <v/>
      </c>
      <c r="H8" s="31">
        <f>Raw_Data_OC!F8/MAX($D8,cfg_oc_iq95_clip)</f>
        <v/>
      </c>
      <c r="I8" s="31">
        <f>Raw_Data_OC!G8/MAX($D8,cfg_oc_iq95_clip)</f>
        <v/>
      </c>
      <c r="J8" s="5">
        <f>IF(AND(E8&lt;cfg_oc_i_ratio_threshold,$C8=1),1,0)</f>
        <v/>
      </c>
      <c r="K8" s="5">
        <f>IF(AND(F8&lt;cfg_oc_i_ratio_threshold,$C8=1),1,0)</f>
        <v/>
      </c>
      <c r="L8" s="5">
        <f>IF(AND(G8&lt;cfg_oc_i_ratio_threshold,$C8=1),1,0)</f>
        <v/>
      </c>
      <c r="M8" s="5">
        <f>IF(AND(H8&lt;cfg_oc_i_ratio_threshold,$C8=1),1,0)</f>
        <v/>
      </c>
      <c r="N8" s="5">
        <f>IF(AND(I8&lt;cfg_oc_i_ratio_threshold,$C8=1),1,0)</f>
        <v/>
      </c>
      <c r="O8" s="5">
        <f>IF(J8=1,O7+1,0)</f>
        <v/>
      </c>
      <c r="P8" s="5">
        <f>IF(K8=1,P7+1,0)</f>
        <v/>
      </c>
      <c r="Q8" s="5">
        <f>IF(L8=1,Q7+1,0)</f>
        <v/>
      </c>
      <c r="R8" s="5">
        <f>IF(M8=1,R7+1,0)</f>
        <v/>
      </c>
      <c r="S8" s="5">
        <f>IF(N8=1,S7+1,0)</f>
        <v/>
      </c>
    </row>
    <row r="9">
      <c r="A9" s="16">
        <f>Raw_Data_OC!A9</f>
        <v/>
      </c>
      <c r="B9" s="27">
        <f>Raw_Data_OC!B9</f>
        <v/>
      </c>
      <c r="C9" s="5">
        <f>IF(AND(B9&gt;cfg_oc_poa_threshold_wm2,B9&gt;cfg_oc_poa_floor_wm2),1,0)</f>
        <v/>
      </c>
      <c r="D9" s="17">
        <f>PERCENTILE(Raw_Data_OC!C9:G9,0.95)</f>
        <v/>
      </c>
      <c r="E9" s="31">
        <f>Raw_Data_OC!C9/MAX($D9,cfg_oc_iq95_clip)</f>
        <v/>
      </c>
      <c r="F9" s="31">
        <f>Raw_Data_OC!D9/MAX($D9,cfg_oc_iq95_clip)</f>
        <v/>
      </c>
      <c r="G9" s="31">
        <f>Raw_Data_OC!E9/MAX($D9,cfg_oc_iq95_clip)</f>
        <v/>
      </c>
      <c r="H9" s="31">
        <f>Raw_Data_OC!F9/MAX($D9,cfg_oc_iq95_clip)</f>
        <v/>
      </c>
      <c r="I9" s="31">
        <f>Raw_Data_OC!G9/MAX($D9,cfg_oc_iq95_clip)</f>
        <v/>
      </c>
      <c r="J9" s="5">
        <f>IF(AND(E9&lt;cfg_oc_i_ratio_threshold,$C9=1),1,0)</f>
        <v/>
      </c>
      <c r="K9" s="5">
        <f>IF(AND(F9&lt;cfg_oc_i_ratio_threshold,$C9=1),1,0)</f>
        <v/>
      </c>
      <c r="L9" s="5">
        <f>IF(AND(G9&lt;cfg_oc_i_ratio_threshold,$C9=1),1,0)</f>
        <v/>
      </c>
      <c r="M9" s="5">
        <f>IF(AND(H9&lt;cfg_oc_i_ratio_threshold,$C9=1),1,0)</f>
        <v/>
      </c>
      <c r="N9" s="5">
        <f>IF(AND(I9&lt;cfg_oc_i_ratio_threshold,$C9=1),1,0)</f>
        <v/>
      </c>
      <c r="O9" s="5">
        <f>IF(J9=1,O8+1,0)</f>
        <v/>
      </c>
      <c r="P9" s="5">
        <f>IF(K9=1,P8+1,0)</f>
        <v/>
      </c>
      <c r="Q9" s="5">
        <f>IF(L9=1,Q8+1,0)</f>
        <v/>
      </c>
      <c r="R9" s="5">
        <f>IF(M9=1,R8+1,0)</f>
        <v/>
      </c>
      <c r="S9" s="5">
        <f>IF(N9=1,S8+1,0)</f>
        <v/>
      </c>
    </row>
    <row r="10">
      <c r="A10" s="16">
        <f>Raw_Data_OC!A10</f>
        <v/>
      </c>
      <c r="B10" s="27">
        <f>Raw_Data_OC!B10</f>
        <v/>
      </c>
      <c r="C10" s="5">
        <f>IF(AND(B10&gt;cfg_oc_poa_threshold_wm2,B10&gt;cfg_oc_poa_floor_wm2),1,0)</f>
        <v/>
      </c>
      <c r="D10" s="17">
        <f>PERCENTILE(Raw_Data_OC!C10:G10,0.95)</f>
        <v/>
      </c>
      <c r="E10" s="31">
        <f>Raw_Data_OC!C10/MAX($D10,cfg_oc_iq95_clip)</f>
        <v/>
      </c>
      <c r="F10" s="31">
        <f>Raw_Data_OC!D10/MAX($D10,cfg_oc_iq95_clip)</f>
        <v/>
      </c>
      <c r="G10" s="31">
        <f>Raw_Data_OC!E10/MAX($D10,cfg_oc_iq95_clip)</f>
        <v/>
      </c>
      <c r="H10" s="31">
        <f>Raw_Data_OC!F10/MAX($D10,cfg_oc_iq95_clip)</f>
        <v/>
      </c>
      <c r="I10" s="31">
        <f>Raw_Data_OC!G10/MAX($D10,cfg_oc_iq95_clip)</f>
        <v/>
      </c>
      <c r="J10" s="5">
        <f>IF(AND(E10&lt;cfg_oc_i_ratio_threshold,$C10=1),1,0)</f>
        <v/>
      </c>
      <c r="K10" s="5">
        <f>IF(AND(F10&lt;cfg_oc_i_ratio_threshold,$C10=1),1,0)</f>
        <v/>
      </c>
      <c r="L10" s="5">
        <f>IF(AND(G10&lt;cfg_oc_i_ratio_threshold,$C10=1),1,0)</f>
        <v/>
      </c>
      <c r="M10" s="5">
        <f>IF(AND(H10&lt;cfg_oc_i_ratio_threshold,$C10=1),1,0)</f>
        <v/>
      </c>
      <c r="N10" s="5">
        <f>IF(AND(I10&lt;cfg_oc_i_ratio_threshold,$C10=1),1,0)</f>
        <v/>
      </c>
      <c r="O10" s="5">
        <f>IF(J10=1,O9+1,0)</f>
        <v/>
      </c>
      <c r="P10" s="5">
        <f>IF(K10=1,P9+1,0)</f>
        <v/>
      </c>
      <c r="Q10" s="5">
        <f>IF(L10=1,Q9+1,0)</f>
        <v/>
      </c>
      <c r="R10" s="5">
        <f>IF(M10=1,R9+1,0)</f>
        <v/>
      </c>
      <c r="S10" s="5">
        <f>IF(N10=1,S9+1,0)</f>
        <v/>
      </c>
    </row>
    <row r="11">
      <c r="A11" s="16">
        <f>Raw_Data_OC!A11</f>
        <v/>
      </c>
      <c r="B11" s="27">
        <f>Raw_Data_OC!B11</f>
        <v/>
      </c>
      <c r="C11" s="5">
        <f>IF(AND(B11&gt;cfg_oc_poa_threshold_wm2,B11&gt;cfg_oc_poa_floor_wm2),1,0)</f>
        <v/>
      </c>
      <c r="D11" s="17">
        <f>PERCENTILE(Raw_Data_OC!C11:G11,0.95)</f>
        <v/>
      </c>
      <c r="E11" s="31">
        <f>Raw_Data_OC!C11/MAX($D11,cfg_oc_iq95_clip)</f>
        <v/>
      </c>
      <c r="F11" s="31">
        <f>Raw_Data_OC!D11/MAX($D11,cfg_oc_iq95_clip)</f>
        <v/>
      </c>
      <c r="G11" s="31">
        <f>Raw_Data_OC!E11/MAX($D11,cfg_oc_iq95_clip)</f>
        <v/>
      </c>
      <c r="H11" s="31">
        <f>Raw_Data_OC!F11/MAX($D11,cfg_oc_iq95_clip)</f>
        <v/>
      </c>
      <c r="I11" s="31">
        <f>Raw_Data_OC!G11/MAX($D11,cfg_oc_iq95_clip)</f>
        <v/>
      </c>
      <c r="J11" s="5">
        <f>IF(AND(E11&lt;cfg_oc_i_ratio_threshold,$C11=1),1,0)</f>
        <v/>
      </c>
      <c r="K11" s="5">
        <f>IF(AND(F11&lt;cfg_oc_i_ratio_threshold,$C11=1),1,0)</f>
        <v/>
      </c>
      <c r="L11" s="5">
        <f>IF(AND(G11&lt;cfg_oc_i_ratio_threshold,$C11=1),1,0)</f>
        <v/>
      </c>
      <c r="M11" s="5">
        <f>IF(AND(H11&lt;cfg_oc_i_ratio_threshold,$C11=1),1,0)</f>
        <v/>
      </c>
      <c r="N11" s="5">
        <f>IF(AND(I11&lt;cfg_oc_i_ratio_threshold,$C11=1),1,0)</f>
        <v/>
      </c>
      <c r="O11" s="5">
        <f>IF(J11=1,O10+1,0)</f>
        <v/>
      </c>
      <c r="P11" s="5">
        <f>IF(K11=1,P10+1,0)</f>
        <v/>
      </c>
      <c r="Q11" s="5">
        <f>IF(L11=1,Q10+1,0)</f>
        <v/>
      </c>
      <c r="R11" s="5">
        <f>IF(M11=1,R10+1,0)</f>
        <v/>
      </c>
      <c r="S11" s="5">
        <f>IF(N11=1,S10+1,0)</f>
        <v/>
      </c>
    </row>
    <row r="12">
      <c r="A12" s="16">
        <f>Raw_Data_OC!A12</f>
        <v/>
      </c>
      <c r="B12" s="27">
        <f>Raw_Data_OC!B12</f>
        <v/>
      </c>
      <c r="C12" s="5">
        <f>IF(AND(B12&gt;cfg_oc_poa_threshold_wm2,B12&gt;cfg_oc_poa_floor_wm2),1,0)</f>
        <v/>
      </c>
      <c r="D12" s="17">
        <f>PERCENTILE(Raw_Data_OC!C12:G12,0.95)</f>
        <v/>
      </c>
      <c r="E12" s="31">
        <f>Raw_Data_OC!C12/MAX($D12,cfg_oc_iq95_clip)</f>
        <v/>
      </c>
      <c r="F12" s="31">
        <f>Raw_Data_OC!D12/MAX($D12,cfg_oc_iq95_clip)</f>
        <v/>
      </c>
      <c r="G12" s="31">
        <f>Raw_Data_OC!E12/MAX($D12,cfg_oc_iq95_clip)</f>
        <v/>
      </c>
      <c r="H12" s="31">
        <f>Raw_Data_OC!F12/MAX($D12,cfg_oc_iq95_clip)</f>
        <v/>
      </c>
      <c r="I12" s="31">
        <f>Raw_Data_OC!G12/MAX($D12,cfg_oc_iq95_clip)</f>
        <v/>
      </c>
      <c r="J12" s="5">
        <f>IF(AND(E12&lt;cfg_oc_i_ratio_threshold,$C12=1),1,0)</f>
        <v/>
      </c>
      <c r="K12" s="5">
        <f>IF(AND(F12&lt;cfg_oc_i_ratio_threshold,$C12=1),1,0)</f>
        <v/>
      </c>
      <c r="L12" s="5">
        <f>IF(AND(G12&lt;cfg_oc_i_ratio_threshold,$C12=1),1,0)</f>
        <v/>
      </c>
      <c r="M12" s="5">
        <f>IF(AND(H12&lt;cfg_oc_i_ratio_threshold,$C12=1),1,0)</f>
        <v/>
      </c>
      <c r="N12" s="5">
        <f>IF(AND(I12&lt;cfg_oc_i_ratio_threshold,$C12=1),1,0)</f>
        <v/>
      </c>
      <c r="O12" s="5">
        <f>IF(J12=1,O11+1,0)</f>
        <v/>
      </c>
      <c r="P12" s="5">
        <f>IF(K12=1,P11+1,0)</f>
        <v/>
      </c>
      <c r="Q12" s="5">
        <f>IF(L12=1,Q11+1,0)</f>
        <v/>
      </c>
      <c r="R12" s="5">
        <f>IF(M12=1,R11+1,0)</f>
        <v/>
      </c>
      <c r="S12" s="5">
        <f>IF(N12=1,S11+1,0)</f>
        <v/>
      </c>
    </row>
    <row r="13">
      <c r="A13" s="16">
        <f>Raw_Data_OC!A13</f>
        <v/>
      </c>
      <c r="B13" s="27">
        <f>Raw_Data_OC!B13</f>
        <v/>
      </c>
      <c r="C13" s="5">
        <f>IF(AND(B13&gt;cfg_oc_poa_threshold_wm2,B13&gt;cfg_oc_poa_floor_wm2),1,0)</f>
        <v/>
      </c>
      <c r="D13" s="17">
        <f>PERCENTILE(Raw_Data_OC!C13:G13,0.95)</f>
        <v/>
      </c>
      <c r="E13" s="31">
        <f>Raw_Data_OC!C13/MAX($D13,cfg_oc_iq95_clip)</f>
        <v/>
      </c>
      <c r="F13" s="31">
        <f>Raw_Data_OC!D13/MAX($D13,cfg_oc_iq95_clip)</f>
        <v/>
      </c>
      <c r="G13" s="31">
        <f>Raw_Data_OC!E13/MAX($D13,cfg_oc_iq95_clip)</f>
        <v/>
      </c>
      <c r="H13" s="31">
        <f>Raw_Data_OC!F13/MAX($D13,cfg_oc_iq95_clip)</f>
        <v/>
      </c>
      <c r="I13" s="31">
        <f>Raw_Data_OC!G13/MAX($D13,cfg_oc_iq95_clip)</f>
        <v/>
      </c>
      <c r="J13" s="5">
        <f>IF(AND(E13&lt;cfg_oc_i_ratio_threshold,$C13=1),1,0)</f>
        <v/>
      </c>
      <c r="K13" s="5">
        <f>IF(AND(F13&lt;cfg_oc_i_ratio_threshold,$C13=1),1,0)</f>
        <v/>
      </c>
      <c r="L13" s="5">
        <f>IF(AND(G13&lt;cfg_oc_i_ratio_threshold,$C13=1),1,0)</f>
        <v/>
      </c>
      <c r="M13" s="5">
        <f>IF(AND(H13&lt;cfg_oc_i_ratio_threshold,$C13=1),1,0)</f>
        <v/>
      </c>
      <c r="N13" s="5">
        <f>IF(AND(I13&lt;cfg_oc_i_ratio_threshold,$C13=1),1,0)</f>
        <v/>
      </c>
      <c r="O13" s="5">
        <f>IF(J13=1,O12+1,0)</f>
        <v/>
      </c>
      <c r="P13" s="5">
        <f>IF(K13=1,P12+1,0)</f>
        <v/>
      </c>
      <c r="Q13" s="5">
        <f>IF(L13=1,Q12+1,0)</f>
        <v/>
      </c>
      <c r="R13" s="5">
        <f>IF(M13=1,R12+1,0)</f>
        <v/>
      </c>
      <c r="S13" s="5">
        <f>IF(N13=1,S12+1,0)</f>
        <v/>
      </c>
    </row>
    <row r="14">
      <c r="A14" s="16">
        <f>Raw_Data_OC!A14</f>
        <v/>
      </c>
      <c r="B14" s="27">
        <f>Raw_Data_OC!B14</f>
        <v/>
      </c>
      <c r="C14" s="5">
        <f>IF(AND(B14&gt;cfg_oc_poa_threshold_wm2,B14&gt;cfg_oc_poa_floor_wm2),1,0)</f>
        <v/>
      </c>
      <c r="D14" s="17">
        <f>PERCENTILE(Raw_Data_OC!C14:G14,0.95)</f>
        <v/>
      </c>
      <c r="E14" s="31">
        <f>Raw_Data_OC!C14/MAX($D14,cfg_oc_iq95_clip)</f>
        <v/>
      </c>
      <c r="F14" s="31">
        <f>Raw_Data_OC!D14/MAX($D14,cfg_oc_iq95_clip)</f>
        <v/>
      </c>
      <c r="G14" s="31">
        <f>Raw_Data_OC!E14/MAX($D14,cfg_oc_iq95_clip)</f>
        <v/>
      </c>
      <c r="H14" s="31">
        <f>Raw_Data_OC!F14/MAX($D14,cfg_oc_iq95_clip)</f>
        <v/>
      </c>
      <c r="I14" s="31">
        <f>Raw_Data_OC!G14/MAX($D14,cfg_oc_iq95_clip)</f>
        <v/>
      </c>
      <c r="J14" s="5">
        <f>IF(AND(E14&lt;cfg_oc_i_ratio_threshold,$C14=1),1,0)</f>
        <v/>
      </c>
      <c r="K14" s="5">
        <f>IF(AND(F14&lt;cfg_oc_i_ratio_threshold,$C14=1),1,0)</f>
        <v/>
      </c>
      <c r="L14" s="5">
        <f>IF(AND(G14&lt;cfg_oc_i_ratio_threshold,$C14=1),1,0)</f>
        <v/>
      </c>
      <c r="M14" s="5">
        <f>IF(AND(H14&lt;cfg_oc_i_ratio_threshold,$C14=1),1,0)</f>
        <v/>
      </c>
      <c r="N14" s="5">
        <f>IF(AND(I14&lt;cfg_oc_i_ratio_threshold,$C14=1),1,0)</f>
        <v/>
      </c>
      <c r="O14" s="5">
        <f>IF(J14=1,O13+1,0)</f>
        <v/>
      </c>
      <c r="P14" s="5">
        <f>IF(K14=1,P13+1,0)</f>
        <v/>
      </c>
      <c r="Q14" s="5">
        <f>IF(L14=1,Q13+1,0)</f>
        <v/>
      </c>
      <c r="R14" s="5">
        <f>IF(M14=1,R13+1,0)</f>
        <v/>
      </c>
      <c r="S14" s="5">
        <f>IF(N14=1,S13+1,0)</f>
        <v/>
      </c>
    </row>
    <row r="15">
      <c r="A15" s="16">
        <f>Raw_Data_OC!A15</f>
        <v/>
      </c>
      <c r="B15" s="27">
        <f>Raw_Data_OC!B15</f>
        <v/>
      </c>
      <c r="C15" s="5">
        <f>IF(AND(B15&gt;cfg_oc_poa_threshold_wm2,B15&gt;cfg_oc_poa_floor_wm2),1,0)</f>
        <v/>
      </c>
      <c r="D15" s="17">
        <f>PERCENTILE(Raw_Data_OC!C15:G15,0.95)</f>
        <v/>
      </c>
      <c r="E15" s="31">
        <f>Raw_Data_OC!C15/MAX($D15,cfg_oc_iq95_clip)</f>
        <v/>
      </c>
      <c r="F15" s="31">
        <f>Raw_Data_OC!D15/MAX($D15,cfg_oc_iq95_clip)</f>
        <v/>
      </c>
      <c r="G15" s="31">
        <f>Raw_Data_OC!E15/MAX($D15,cfg_oc_iq95_clip)</f>
        <v/>
      </c>
      <c r="H15" s="31">
        <f>Raw_Data_OC!F15/MAX($D15,cfg_oc_iq95_clip)</f>
        <v/>
      </c>
      <c r="I15" s="31">
        <f>Raw_Data_OC!G15/MAX($D15,cfg_oc_iq95_clip)</f>
        <v/>
      </c>
      <c r="J15" s="5">
        <f>IF(AND(E15&lt;cfg_oc_i_ratio_threshold,$C15=1),1,0)</f>
        <v/>
      </c>
      <c r="K15" s="5">
        <f>IF(AND(F15&lt;cfg_oc_i_ratio_threshold,$C15=1),1,0)</f>
        <v/>
      </c>
      <c r="L15" s="5">
        <f>IF(AND(G15&lt;cfg_oc_i_ratio_threshold,$C15=1),1,0)</f>
        <v/>
      </c>
      <c r="M15" s="5">
        <f>IF(AND(H15&lt;cfg_oc_i_ratio_threshold,$C15=1),1,0)</f>
        <v/>
      </c>
      <c r="N15" s="5">
        <f>IF(AND(I15&lt;cfg_oc_i_ratio_threshold,$C15=1),1,0)</f>
        <v/>
      </c>
      <c r="O15" s="5">
        <f>IF(J15=1,O14+1,0)</f>
        <v/>
      </c>
      <c r="P15" s="5">
        <f>IF(K15=1,P14+1,0)</f>
        <v/>
      </c>
      <c r="Q15" s="5">
        <f>IF(L15=1,Q14+1,0)</f>
        <v/>
      </c>
      <c r="R15" s="5">
        <f>IF(M15=1,R14+1,0)</f>
        <v/>
      </c>
      <c r="S15" s="5">
        <f>IF(N15=1,S14+1,0)</f>
        <v/>
      </c>
    </row>
    <row r="16">
      <c r="A16" s="16">
        <f>Raw_Data_OC!A16</f>
        <v/>
      </c>
      <c r="B16" s="27">
        <f>Raw_Data_OC!B16</f>
        <v/>
      </c>
      <c r="C16" s="5">
        <f>IF(AND(B16&gt;cfg_oc_poa_threshold_wm2,B16&gt;cfg_oc_poa_floor_wm2),1,0)</f>
        <v/>
      </c>
      <c r="D16" s="17">
        <f>PERCENTILE(Raw_Data_OC!C16:G16,0.95)</f>
        <v/>
      </c>
      <c r="E16" s="31">
        <f>Raw_Data_OC!C16/MAX($D16,cfg_oc_iq95_clip)</f>
        <v/>
      </c>
      <c r="F16" s="31">
        <f>Raw_Data_OC!D16/MAX($D16,cfg_oc_iq95_clip)</f>
        <v/>
      </c>
      <c r="G16" s="31">
        <f>Raw_Data_OC!E16/MAX($D16,cfg_oc_iq95_clip)</f>
        <v/>
      </c>
      <c r="H16" s="31">
        <f>Raw_Data_OC!F16/MAX($D16,cfg_oc_iq95_clip)</f>
        <v/>
      </c>
      <c r="I16" s="31">
        <f>Raw_Data_OC!G16/MAX($D16,cfg_oc_iq95_clip)</f>
        <v/>
      </c>
      <c r="J16" s="5">
        <f>IF(AND(E16&lt;cfg_oc_i_ratio_threshold,$C16=1),1,0)</f>
        <v/>
      </c>
      <c r="K16" s="5">
        <f>IF(AND(F16&lt;cfg_oc_i_ratio_threshold,$C16=1),1,0)</f>
        <v/>
      </c>
      <c r="L16" s="5">
        <f>IF(AND(G16&lt;cfg_oc_i_ratio_threshold,$C16=1),1,0)</f>
        <v/>
      </c>
      <c r="M16" s="5">
        <f>IF(AND(H16&lt;cfg_oc_i_ratio_threshold,$C16=1),1,0)</f>
        <v/>
      </c>
      <c r="N16" s="5">
        <f>IF(AND(I16&lt;cfg_oc_i_ratio_threshold,$C16=1),1,0)</f>
        <v/>
      </c>
      <c r="O16" s="5">
        <f>IF(J16=1,O15+1,0)</f>
        <v/>
      </c>
      <c r="P16" s="5">
        <f>IF(K16=1,P15+1,0)</f>
        <v/>
      </c>
      <c r="Q16" s="5">
        <f>IF(L16=1,Q15+1,0)</f>
        <v/>
      </c>
      <c r="R16" s="5">
        <f>IF(M16=1,R15+1,0)</f>
        <v/>
      </c>
      <c r="S16" s="5">
        <f>IF(N16=1,S15+1,0)</f>
        <v/>
      </c>
    </row>
    <row r="17">
      <c r="A17" s="16">
        <f>Raw_Data_OC!A17</f>
        <v/>
      </c>
      <c r="B17" s="27">
        <f>Raw_Data_OC!B17</f>
        <v/>
      </c>
      <c r="C17" s="5">
        <f>IF(AND(B17&gt;cfg_oc_poa_threshold_wm2,B17&gt;cfg_oc_poa_floor_wm2),1,0)</f>
        <v/>
      </c>
      <c r="D17" s="17">
        <f>PERCENTILE(Raw_Data_OC!C17:G17,0.95)</f>
        <v/>
      </c>
      <c r="E17" s="31">
        <f>Raw_Data_OC!C17/MAX($D17,cfg_oc_iq95_clip)</f>
        <v/>
      </c>
      <c r="F17" s="31">
        <f>Raw_Data_OC!D17/MAX($D17,cfg_oc_iq95_clip)</f>
        <v/>
      </c>
      <c r="G17" s="31">
        <f>Raw_Data_OC!E17/MAX($D17,cfg_oc_iq95_clip)</f>
        <v/>
      </c>
      <c r="H17" s="31">
        <f>Raw_Data_OC!F17/MAX($D17,cfg_oc_iq95_clip)</f>
        <v/>
      </c>
      <c r="I17" s="31">
        <f>Raw_Data_OC!G17/MAX($D17,cfg_oc_iq95_clip)</f>
        <v/>
      </c>
      <c r="J17" s="5">
        <f>IF(AND(E17&lt;cfg_oc_i_ratio_threshold,$C17=1),1,0)</f>
        <v/>
      </c>
      <c r="K17" s="5">
        <f>IF(AND(F17&lt;cfg_oc_i_ratio_threshold,$C17=1),1,0)</f>
        <v/>
      </c>
      <c r="L17" s="5">
        <f>IF(AND(G17&lt;cfg_oc_i_ratio_threshold,$C17=1),1,0)</f>
        <v/>
      </c>
      <c r="M17" s="5">
        <f>IF(AND(H17&lt;cfg_oc_i_ratio_threshold,$C17=1),1,0)</f>
        <v/>
      </c>
      <c r="N17" s="5">
        <f>IF(AND(I17&lt;cfg_oc_i_ratio_threshold,$C17=1),1,0)</f>
        <v/>
      </c>
      <c r="O17" s="5">
        <f>IF(J17=1,O16+1,0)</f>
        <v/>
      </c>
      <c r="P17" s="5">
        <f>IF(K17=1,P16+1,0)</f>
        <v/>
      </c>
      <c r="Q17" s="5">
        <f>IF(L17=1,Q16+1,0)</f>
        <v/>
      </c>
      <c r="R17" s="5">
        <f>IF(M17=1,R16+1,0)</f>
        <v/>
      </c>
      <c r="S17" s="5">
        <f>IF(N17=1,S16+1,0)</f>
        <v/>
      </c>
    </row>
    <row r="18">
      <c r="A18" s="16">
        <f>Raw_Data_OC!A18</f>
        <v/>
      </c>
      <c r="B18" s="27">
        <f>Raw_Data_OC!B18</f>
        <v/>
      </c>
      <c r="C18" s="5">
        <f>IF(AND(B18&gt;cfg_oc_poa_threshold_wm2,B18&gt;cfg_oc_poa_floor_wm2),1,0)</f>
        <v/>
      </c>
      <c r="D18" s="17">
        <f>PERCENTILE(Raw_Data_OC!C18:G18,0.95)</f>
        <v/>
      </c>
      <c r="E18" s="31">
        <f>Raw_Data_OC!C18/MAX($D18,cfg_oc_iq95_clip)</f>
        <v/>
      </c>
      <c r="F18" s="31">
        <f>Raw_Data_OC!D18/MAX($D18,cfg_oc_iq95_clip)</f>
        <v/>
      </c>
      <c r="G18" s="31">
        <f>Raw_Data_OC!E18/MAX($D18,cfg_oc_iq95_clip)</f>
        <v/>
      </c>
      <c r="H18" s="31">
        <f>Raw_Data_OC!F18/MAX($D18,cfg_oc_iq95_clip)</f>
        <v/>
      </c>
      <c r="I18" s="31">
        <f>Raw_Data_OC!G18/MAX($D18,cfg_oc_iq95_clip)</f>
        <v/>
      </c>
      <c r="J18" s="5">
        <f>IF(AND(E18&lt;cfg_oc_i_ratio_threshold,$C18=1),1,0)</f>
        <v/>
      </c>
      <c r="K18" s="5">
        <f>IF(AND(F18&lt;cfg_oc_i_ratio_threshold,$C18=1),1,0)</f>
        <v/>
      </c>
      <c r="L18" s="5">
        <f>IF(AND(G18&lt;cfg_oc_i_ratio_threshold,$C18=1),1,0)</f>
        <v/>
      </c>
      <c r="M18" s="5">
        <f>IF(AND(H18&lt;cfg_oc_i_ratio_threshold,$C18=1),1,0)</f>
        <v/>
      </c>
      <c r="N18" s="5">
        <f>IF(AND(I18&lt;cfg_oc_i_ratio_threshold,$C18=1),1,0)</f>
        <v/>
      </c>
      <c r="O18" s="5">
        <f>IF(J18=1,O17+1,0)</f>
        <v/>
      </c>
      <c r="P18" s="5">
        <f>IF(K18=1,P17+1,0)</f>
        <v/>
      </c>
      <c r="Q18" s="5">
        <f>IF(L18=1,Q17+1,0)</f>
        <v/>
      </c>
      <c r="R18" s="5">
        <f>IF(M18=1,R17+1,0)</f>
        <v/>
      </c>
      <c r="S18" s="5">
        <f>IF(N18=1,S17+1,0)</f>
        <v/>
      </c>
    </row>
    <row r="19">
      <c r="A19" s="16">
        <f>Raw_Data_OC!A19</f>
        <v/>
      </c>
      <c r="B19" s="27">
        <f>Raw_Data_OC!B19</f>
        <v/>
      </c>
      <c r="C19" s="5">
        <f>IF(AND(B19&gt;cfg_oc_poa_threshold_wm2,B19&gt;cfg_oc_poa_floor_wm2),1,0)</f>
        <v/>
      </c>
      <c r="D19" s="17">
        <f>PERCENTILE(Raw_Data_OC!C19:G19,0.95)</f>
        <v/>
      </c>
      <c r="E19" s="31">
        <f>Raw_Data_OC!C19/MAX($D19,cfg_oc_iq95_clip)</f>
        <v/>
      </c>
      <c r="F19" s="31">
        <f>Raw_Data_OC!D19/MAX($D19,cfg_oc_iq95_clip)</f>
        <v/>
      </c>
      <c r="G19" s="31">
        <f>Raw_Data_OC!E19/MAX($D19,cfg_oc_iq95_clip)</f>
        <v/>
      </c>
      <c r="H19" s="31">
        <f>Raw_Data_OC!F19/MAX($D19,cfg_oc_iq95_clip)</f>
        <v/>
      </c>
      <c r="I19" s="31">
        <f>Raw_Data_OC!G19/MAX($D19,cfg_oc_iq95_clip)</f>
        <v/>
      </c>
      <c r="J19" s="5">
        <f>IF(AND(E19&lt;cfg_oc_i_ratio_threshold,$C19=1),1,0)</f>
        <v/>
      </c>
      <c r="K19" s="5">
        <f>IF(AND(F19&lt;cfg_oc_i_ratio_threshold,$C19=1),1,0)</f>
        <v/>
      </c>
      <c r="L19" s="5">
        <f>IF(AND(G19&lt;cfg_oc_i_ratio_threshold,$C19=1),1,0)</f>
        <v/>
      </c>
      <c r="M19" s="5">
        <f>IF(AND(H19&lt;cfg_oc_i_ratio_threshold,$C19=1),1,0)</f>
        <v/>
      </c>
      <c r="N19" s="5">
        <f>IF(AND(I19&lt;cfg_oc_i_ratio_threshold,$C19=1),1,0)</f>
        <v/>
      </c>
      <c r="O19" s="5">
        <f>IF(J19=1,O18+1,0)</f>
        <v/>
      </c>
      <c r="P19" s="5">
        <f>IF(K19=1,P18+1,0)</f>
        <v/>
      </c>
      <c r="Q19" s="5">
        <f>IF(L19=1,Q18+1,0)</f>
        <v/>
      </c>
      <c r="R19" s="5">
        <f>IF(M19=1,R18+1,0)</f>
        <v/>
      </c>
      <c r="S19" s="5">
        <f>IF(N19=1,S18+1,0)</f>
        <v/>
      </c>
    </row>
    <row r="20">
      <c r="A20" s="16">
        <f>Raw_Data_OC!A20</f>
        <v/>
      </c>
      <c r="B20" s="27">
        <f>Raw_Data_OC!B20</f>
        <v/>
      </c>
      <c r="C20" s="5">
        <f>IF(AND(B20&gt;cfg_oc_poa_threshold_wm2,B20&gt;cfg_oc_poa_floor_wm2),1,0)</f>
        <v/>
      </c>
      <c r="D20" s="17">
        <f>PERCENTILE(Raw_Data_OC!C20:G20,0.95)</f>
        <v/>
      </c>
      <c r="E20" s="31">
        <f>Raw_Data_OC!C20/MAX($D20,cfg_oc_iq95_clip)</f>
        <v/>
      </c>
      <c r="F20" s="31">
        <f>Raw_Data_OC!D20/MAX($D20,cfg_oc_iq95_clip)</f>
        <v/>
      </c>
      <c r="G20" s="31">
        <f>Raw_Data_OC!E20/MAX($D20,cfg_oc_iq95_clip)</f>
        <v/>
      </c>
      <c r="H20" s="31">
        <f>Raw_Data_OC!F20/MAX($D20,cfg_oc_iq95_clip)</f>
        <v/>
      </c>
      <c r="I20" s="31">
        <f>Raw_Data_OC!G20/MAX($D20,cfg_oc_iq95_clip)</f>
        <v/>
      </c>
      <c r="J20" s="5">
        <f>IF(AND(E20&lt;cfg_oc_i_ratio_threshold,$C20=1),1,0)</f>
        <v/>
      </c>
      <c r="K20" s="5">
        <f>IF(AND(F20&lt;cfg_oc_i_ratio_threshold,$C20=1),1,0)</f>
        <v/>
      </c>
      <c r="L20" s="5">
        <f>IF(AND(G20&lt;cfg_oc_i_ratio_threshold,$C20=1),1,0)</f>
        <v/>
      </c>
      <c r="M20" s="5">
        <f>IF(AND(H20&lt;cfg_oc_i_ratio_threshold,$C20=1),1,0)</f>
        <v/>
      </c>
      <c r="N20" s="5">
        <f>IF(AND(I20&lt;cfg_oc_i_ratio_threshold,$C20=1),1,0)</f>
        <v/>
      </c>
      <c r="O20" s="5">
        <f>IF(J20=1,O19+1,0)</f>
        <v/>
      </c>
      <c r="P20" s="5">
        <f>IF(K20=1,P19+1,0)</f>
        <v/>
      </c>
      <c r="Q20" s="5">
        <f>IF(L20=1,Q19+1,0)</f>
        <v/>
      </c>
      <c r="R20" s="5">
        <f>IF(M20=1,R19+1,0)</f>
        <v/>
      </c>
      <c r="S20" s="5">
        <f>IF(N20=1,S19+1,0)</f>
        <v/>
      </c>
    </row>
    <row r="21">
      <c r="A21" s="16">
        <f>Raw_Data_OC!A21</f>
        <v/>
      </c>
      <c r="B21" s="27">
        <f>Raw_Data_OC!B21</f>
        <v/>
      </c>
      <c r="C21" s="5">
        <f>IF(AND(B21&gt;cfg_oc_poa_threshold_wm2,B21&gt;cfg_oc_poa_floor_wm2),1,0)</f>
        <v/>
      </c>
      <c r="D21" s="17">
        <f>PERCENTILE(Raw_Data_OC!C21:G21,0.95)</f>
        <v/>
      </c>
      <c r="E21" s="31">
        <f>Raw_Data_OC!C21/MAX($D21,cfg_oc_iq95_clip)</f>
        <v/>
      </c>
      <c r="F21" s="31">
        <f>Raw_Data_OC!D21/MAX($D21,cfg_oc_iq95_clip)</f>
        <v/>
      </c>
      <c r="G21" s="31">
        <f>Raw_Data_OC!E21/MAX($D21,cfg_oc_iq95_clip)</f>
        <v/>
      </c>
      <c r="H21" s="31">
        <f>Raw_Data_OC!F21/MAX($D21,cfg_oc_iq95_clip)</f>
        <v/>
      </c>
      <c r="I21" s="31">
        <f>Raw_Data_OC!G21/MAX($D21,cfg_oc_iq95_clip)</f>
        <v/>
      </c>
      <c r="J21" s="5">
        <f>IF(AND(E21&lt;cfg_oc_i_ratio_threshold,$C21=1),1,0)</f>
        <v/>
      </c>
      <c r="K21" s="5">
        <f>IF(AND(F21&lt;cfg_oc_i_ratio_threshold,$C21=1),1,0)</f>
        <v/>
      </c>
      <c r="L21" s="5">
        <f>IF(AND(G21&lt;cfg_oc_i_ratio_threshold,$C21=1),1,0)</f>
        <v/>
      </c>
      <c r="M21" s="5">
        <f>IF(AND(H21&lt;cfg_oc_i_ratio_threshold,$C21=1),1,0)</f>
        <v/>
      </c>
      <c r="N21" s="5">
        <f>IF(AND(I21&lt;cfg_oc_i_ratio_threshold,$C21=1),1,0)</f>
        <v/>
      </c>
      <c r="O21" s="5">
        <f>IF(J21=1,O20+1,0)</f>
        <v/>
      </c>
      <c r="P21" s="5">
        <f>IF(K21=1,P20+1,0)</f>
        <v/>
      </c>
      <c r="Q21" s="5">
        <f>IF(L21=1,Q20+1,0)</f>
        <v/>
      </c>
      <c r="R21" s="5">
        <f>IF(M21=1,R20+1,0)</f>
        <v/>
      </c>
      <c r="S21" s="5">
        <f>IF(N21=1,S20+1,0)</f>
        <v/>
      </c>
    </row>
    <row r="22">
      <c r="A22" s="16">
        <f>Raw_Data_OC!A22</f>
        <v/>
      </c>
      <c r="B22" s="27">
        <f>Raw_Data_OC!B22</f>
        <v/>
      </c>
      <c r="C22" s="5">
        <f>IF(AND(B22&gt;cfg_oc_poa_threshold_wm2,B22&gt;cfg_oc_poa_floor_wm2),1,0)</f>
        <v/>
      </c>
      <c r="D22" s="17">
        <f>PERCENTILE(Raw_Data_OC!C22:G22,0.95)</f>
        <v/>
      </c>
      <c r="E22" s="31">
        <f>Raw_Data_OC!C22/MAX($D22,cfg_oc_iq95_clip)</f>
        <v/>
      </c>
      <c r="F22" s="31">
        <f>Raw_Data_OC!D22/MAX($D22,cfg_oc_iq95_clip)</f>
        <v/>
      </c>
      <c r="G22" s="31">
        <f>Raw_Data_OC!E22/MAX($D22,cfg_oc_iq95_clip)</f>
        <v/>
      </c>
      <c r="H22" s="31">
        <f>Raw_Data_OC!F22/MAX($D22,cfg_oc_iq95_clip)</f>
        <v/>
      </c>
      <c r="I22" s="31">
        <f>Raw_Data_OC!G22/MAX($D22,cfg_oc_iq95_clip)</f>
        <v/>
      </c>
      <c r="J22" s="5">
        <f>IF(AND(E22&lt;cfg_oc_i_ratio_threshold,$C22=1),1,0)</f>
        <v/>
      </c>
      <c r="K22" s="5">
        <f>IF(AND(F22&lt;cfg_oc_i_ratio_threshold,$C22=1),1,0)</f>
        <v/>
      </c>
      <c r="L22" s="5">
        <f>IF(AND(G22&lt;cfg_oc_i_ratio_threshold,$C22=1),1,0)</f>
        <v/>
      </c>
      <c r="M22" s="5">
        <f>IF(AND(H22&lt;cfg_oc_i_ratio_threshold,$C22=1),1,0)</f>
        <v/>
      </c>
      <c r="N22" s="5">
        <f>IF(AND(I22&lt;cfg_oc_i_ratio_threshold,$C22=1),1,0)</f>
        <v/>
      </c>
      <c r="O22" s="5">
        <f>IF(J22=1,O21+1,0)</f>
        <v/>
      </c>
      <c r="P22" s="5">
        <f>IF(K22=1,P21+1,0)</f>
        <v/>
      </c>
      <c r="Q22" s="5">
        <f>IF(L22=1,Q21+1,0)</f>
        <v/>
      </c>
      <c r="R22" s="5">
        <f>IF(M22=1,R21+1,0)</f>
        <v/>
      </c>
      <c r="S22" s="5">
        <f>IF(N22=1,S21+1,0)</f>
        <v/>
      </c>
    </row>
    <row r="23">
      <c r="A23" s="16">
        <f>Raw_Data_OC!A23</f>
        <v/>
      </c>
      <c r="B23" s="27">
        <f>Raw_Data_OC!B23</f>
        <v/>
      </c>
      <c r="C23" s="5">
        <f>IF(AND(B23&gt;cfg_oc_poa_threshold_wm2,B23&gt;cfg_oc_poa_floor_wm2),1,0)</f>
        <v/>
      </c>
      <c r="D23" s="17">
        <f>PERCENTILE(Raw_Data_OC!C23:G23,0.95)</f>
        <v/>
      </c>
      <c r="E23" s="31">
        <f>Raw_Data_OC!C23/MAX($D23,cfg_oc_iq95_clip)</f>
        <v/>
      </c>
      <c r="F23" s="31">
        <f>Raw_Data_OC!D23/MAX($D23,cfg_oc_iq95_clip)</f>
        <v/>
      </c>
      <c r="G23" s="31">
        <f>Raw_Data_OC!E23/MAX($D23,cfg_oc_iq95_clip)</f>
        <v/>
      </c>
      <c r="H23" s="31">
        <f>Raw_Data_OC!F23/MAX($D23,cfg_oc_iq95_clip)</f>
        <v/>
      </c>
      <c r="I23" s="31">
        <f>Raw_Data_OC!G23/MAX($D23,cfg_oc_iq95_clip)</f>
        <v/>
      </c>
      <c r="J23" s="5">
        <f>IF(AND(E23&lt;cfg_oc_i_ratio_threshold,$C23=1),1,0)</f>
        <v/>
      </c>
      <c r="K23" s="5">
        <f>IF(AND(F23&lt;cfg_oc_i_ratio_threshold,$C23=1),1,0)</f>
        <v/>
      </c>
      <c r="L23" s="5">
        <f>IF(AND(G23&lt;cfg_oc_i_ratio_threshold,$C23=1),1,0)</f>
        <v/>
      </c>
      <c r="M23" s="5">
        <f>IF(AND(H23&lt;cfg_oc_i_ratio_threshold,$C23=1),1,0)</f>
        <v/>
      </c>
      <c r="N23" s="5">
        <f>IF(AND(I23&lt;cfg_oc_i_ratio_threshold,$C23=1),1,0)</f>
        <v/>
      </c>
      <c r="O23" s="5">
        <f>IF(J23=1,O22+1,0)</f>
        <v/>
      </c>
      <c r="P23" s="5">
        <f>IF(K23=1,P22+1,0)</f>
        <v/>
      </c>
      <c r="Q23" s="5">
        <f>IF(L23=1,Q22+1,0)</f>
        <v/>
      </c>
      <c r="R23" s="5">
        <f>IF(M23=1,R22+1,0)</f>
        <v/>
      </c>
      <c r="S23" s="5">
        <f>IF(N23=1,S22+1,0)</f>
        <v/>
      </c>
    </row>
    <row r="24">
      <c r="A24" s="16">
        <f>Raw_Data_OC!A24</f>
        <v/>
      </c>
      <c r="B24" s="27">
        <f>Raw_Data_OC!B24</f>
        <v/>
      </c>
      <c r="C24" s="5">
        <f>IF(AND(B24&gt;cfg_oc_poa_threshold_wm2,B24&gt;cfg_oc_poa_floor_wm2),1,0)</f>
        <v/>
      </c>
      <c r="D24" s="17">
        <f>PERCENTILE(Raw_Data_OC!C24:G24,0.95)</f>
        <v/>
      </c>
      <c r="E24" s="31">
        <f>Raw_Data_OC!C24/MAX($D24,cfg_oc_iq95_clip)</f>
        <v/>
      </c>
      <c r="F24" s="31">
        <f>Raw_Data_OC!D24/MAX($D24,cfg_oc_iq95_clip)</f>
        <v/>
      </c>
      <c r="G24" s="31">
        <f>Raw_Data_OC!E24/MAX($D24,cfg_oc_iq95_clip)</f>
        <v/>
      </c>
      <c r="H24" s="31">
        <f>Raw_Data_OC!F24/MAX($D24,cfg_oc_iq95_clip)</f>
        <v/>
      </c>
      <c r="I24" s="31">
        <f>Raw_Data_OC!G24/MAX($D24,cfg_oc_iq95_clip)</f>
        <v/>
      </c>
      <c r="J24" s="5">
        <f>IF(AND(E24&lt;cfg_oc_i_ratio_threshold,$C24=1),1,0)</f>
        <v/>
      </c>
      <c r="K24" s="5">
        <f>IF(AND(F24&lt;cfg_oc_i_ratio_threshold,$C24=1),1,0)</f>
        <v/>
      </c>
      <c r="L24" s="5">
        <f>IF(AND(G24&lt;cfg_oc_i_ratio_threshold,$C24=1),1,0)</f>
        <v/>
      </c>
      <c r="M24" s="5">
        <f>IF(AND(H24&lt;cfg_oc_i_ratio_threshold,$C24=1),1,0)</f>
        <v/>
      </c>
      <c r="N24" s="5">
        <f>IF(AND(I24&lt;cfg_oc_i_ratio_threshold,$C24=1),1,0)</f>
        <v/>
      </c>
      <c r="O24" s="5">
        <f>IF(J24=1,O23+1,0)</f>
        <v/>
      </c>
      <c r="P24" s="5">
        <f>IF(K24=1,P23+1,0)</f>
        <v/>
      </c>
      <c r="Q24" s="5">
        <f>IF(L24=1,Q23+1,0)</f>
        <v/>
      </c>
      <c r="R24" s="5">
        <f>IF(M24=1,R23+1,0)</f>
        <v/>
      </c>
      <c r="S24" s="5">
        <f>IF(N24=1,S23+1,0)</f>
        <v/>
      </c>
    </row>
    <row r="25">
      <c r="A25" s="16">
        <f>Raw_Data_OC!A25</f>
        <v/>
      </c>
      <c r="B25" s="27">
        <f>Raw_Data_OC!B25</f>
        <v/>
      </c>
      <c r="C25" s="5">
        <f>IF(AND(B25&gt;cfg_oc_poa_threshold_wm2,B25&gt;cfg_oc_poa_floor_wm2),1,0)</f>
        <v/>
      </c>
      <c r="D25" s="17">
        <f>PERCENTILE(Raw_Data_OC!C25:G25,0.95)</f>
        <v/>
      </c>
      <c r="E25" s="31">
        <f>Raw_Data_OC!C25/MAX($D25,cfg_oc_iq95_clip)</f>
        <v/>
      </c>
      <c r="F25" s="31">
        <f>Raw_Data_OC!D25/MAX($D25,cfg_oc_iq95_clip)</f>
        <v/>
      </c>
      <c r="G25" s="31">
        <f>Raw_Data_OC!E25/MAX($D25,cfg_oc_iq95_clip)</f>
        <v/>
      </c>
      <c r="H25" s="31">
        <f>Raw_Data_OC!F25/MAX($D25,cfg_oc_iq95_clip)</f>
        <v/>
      </c>
      <c r="I25" s="31">
        <f>Raw_Data_OC!G25/MAX($D25,cfg_oc_iq95_clip)</f>
        <v/>
      </c>
      <c r="J25" s="5">
        <f>IF(AND(E25&lt;cfg_oc_i_ratio_threshold,$C25=1),1,0)</f>
        <v/>
      </c>
      <c r="K25" s="5">
        <f>IF(AND(F25&lt;cfg_oc_i_ratio_threshold,$C25=1),1,0)</f>
        <v/>
      </c>
      <c r="L25" s="5">
        <f>IF(AND(G25&lt;cfg_oc_i_ratio_threshold,$C25=1),1,0)</f>
        <v/>
      </c>
      <c r="M25" s="5">
        <f>IF(AND(H25&lt;cfg_oc_i_ratio_threshold,$C25=1),1,0)</f>
        <v/>
      </c>
      <c r="N25" s="5">
        <f>IF(AND(I25&lt;cfg_oc_i_ratio_threshold,$C25=1),1,0)</f>
        <v/>
      </c>
      <c r="O25" s="5">
        <f>IF(J25=1,O24+1,0)</f>
        <v/>
      </c>
      <c r="P25" s="5">
        <f>IF(K25=1,P24+1,0)</f>
        <v/>
      </c>
      <c r="Q25" s="5">
        <f>IF(L25=1,Q24+1,0)</f>
        <v/>
      </c>
      <c r="R25" s="5">
        <f>IF(M25=1,R24+1,0)</f>
        <v/>
      </c>
      <c r="S25" s="5">
        <f>IF(N25=1,S24+1,0)</f>
        <v/>
      </c>
    </row>
    <row r="26">
      <c r="A26" s="16">
        <f>Raw_Data_OC!A26</f>
        <v/>
      </c>
      <c r="B26" s="27">
        <f>Raw_Data_OC!B26</f>
        <v/>
      </c>
      <c r="C26" s="5">
        <f>IF(AND(B26&gt;cfg_oc_poa_threshold_wm2,B26&gt;cfg_oc_poa_floor_wm2),1,0)</f>
        <v/>
      </c>
      <c r="D26" s="17">
        <f>PERCENTILE(Raw_Data_OC!C26:G26,0.95)</f>
        <v/>
      </c>
      <c r="E26" s="31">
        <f>Raw_Data_OC!C26/MAX($D26,cfg_oc_iq95_clip)</f>
        <v/>
      </c>
      <c r="F26" s="31">
        <f>Raw_Data_OC!D26/MAX($D26,cfg_oc_iq95_clip)</f>
        <v/>
      </c>
      <c r="G26" s="31">
        <f>Raw_Data_OC!E26/MAX($D26,cfg_oc_iq95_clip)</f>
        <v/>
      </c>
      <c r="H26" s="31">
        <f>Raw_Data_OC!F26/MAX($D26,cfg_oc_iq95_clip)</f>
        <v/>
      </c>
      <c r="I26" s="31">
        <f>Raw_Data_OC!G26/MAX($D26,cfg_oc_iq95_clip)</f>
        <v/>
      </c>
      <c r="J26" s="5">
        <f>IF(AND(E26&lt;cfg_oc_i_ratio_threshold,$C26=1),1,0)</f>
        <v/>
      </c>
      <c r="K26" s="5">
        <f>IF(AND(F26&lt;cfg_oc_i_ratio_threshold,$C26=1),1,0)</f>
        <v/>
      </c>
      <c r="L26" s="5">
        <f>IF(AND(G26&lt;cfg_oc_i_ratio_threshold,$C26=1),1,0)</f>
        <v/>
      </c>
      <c r="M26" s="5">
        <f>IF(AND(H26&lt;cfg_oc_i_ratio_threshold,$C26=1),1,0)</f>
        <v/>
      </c>
      <c r="N26" s="5">
        <f>IF(AND(I26&lt;cfg_oc_i_ratio_threshold,$C26=1),1,0)</f>
        <v/>
      </c>
      <c r="O26" s="5">
        <f>IF(J26=1,O25+1,0)</f>
        <v/>
      </c>
      <c r="P26" s="5">
        <f>IF(K26=1,P25+1,0)</f>
        <v/>
      </c>
      <c r="Q26" s="5">
        <f>IF(L26=1,Q25+1,0)</f>
        <v/>
      </c>
      <c r="R26" s="5">
        <f>IF(M26=1,R25+1,0)</f>
        <v/>
      </c>
      <c r="S26" s="5">
        <f>IF(N26=1,S25+1,0)</f>
        <v/>
      </c>
    </row>
    <row r="27">
      <c r="A27" s="16">
        <f>Raw_Data_OC!A27</f>
        <v/>
      </c>
      <c r="B27" s="27">
        <f>Raw_Data_OC!B27</f>
        <v/>
      </c>
      <c r="C27" s="5">
        <f>IF(AND(B27&gt;cfg_oc_poa_threshold_wm2,B27&gt;cfg_oc_poa_floor_wm2),1,0)</f>
        <v/>
      </c>
      <c r="D27" s="17">
        <f>PERCENTILE(Raw_Data_OC!C27:G27,0.95)</f>
        <v/>
      </c>
      <c r="E27" s="31">
        <f>Raw_Data_OC!C27/MAX($D27,cfg_oc_iq95_clip)</f>
        <v/>
      </c>
      <c r="F27" s="31">
        <f>Raw_Data_OC!D27/MAX($D27,cfg_oc_iq95_clip)</f>
        <v/>
      </c>
      <c r="G27" s="31">
        <f>Raw_Data_OC!E27/MAX($D27,cfg_oc_iq95_clip)</f>
        <v/>
      </c>
      <c r="H27" s="31">
        <f>Raw_Data_OC!F27/MAX($D27,cfg_oc_iq95_clip)</f>
        <v/>
      </c>
      <c r="I27" s="31">
        <f>Raw_Data_OC!G27/MAX($D27,cfg_oc_iq95_clip)</f>
        <v/>
      </c>
      <c r="J27" s="5">
        <f>IF(AND(E27&lt;cfg_oc_i_ratio_threshold,$C27=1),1,0)</f>
        <v/>
      </c>
      <c r="K27" s="5">
        <f>IF(AND(F27&lt;cfg_oc_i_ratio_threshold,$C27=1),1,0)</f>
        <v/>
      </c>
      <c r="L27" s="5">
        <f>IF(AND(G27&lt;cfg_oc_i_ratio_threshold,$C27=1),1,0)</f>
        <v/>
      </c>
      <c r="M27" s="5">
        <f>IF(AND(H27&lt;cfg_oc_i_ratio_threshold,$C27=1),1,0)</f>
        <v/>
      </c>
      <c r="N27" s="5">
        <f>IF(AND(I27&lt;cfg_oc_i_ratio_threshold,$C27=1),1,0)</f>
        <v/>
      </c>
      <c r="O27" s="5">
        <f>IF(J27=1,O26+1,0)</f>
        <v/>
      </c>
      <c r="P27" s="5">
        <f>IF(K27=1,P26+1,0)</f>
        <v/>
      </c>
      <c r="Q27" s="5">
        <f>IF(L27=1,Q26+1,0)</f>
        <v/>
      </c>
      <c r="R27" s="5">
        <f>IF(M27=1,R26+1,0)</f>
        <v/>
      </c>
      <c r="S27" s="5">
        <f>IF(N27=1,S26+1,0)</f>
        <v/>
      </c>
    </row>
    <row r="28">
      <c r="A28" s="16">
        <f>Raw_Data_OC!A28</f>
        <v/>
      </c>
      <c r="B28" s="27">
        <f>Raw_Data_OC!B28</f>
        <v/>
      </c>
      <c r="C28" s="5">
        <f>IF(AND(B28&gt;cfg_oc_poa_threshold_wm2,B28&gt;cfg_oc_poa_floor_wm2),1,0)</f>
        <v/>
      </c>
      <c r="D28" s="17">
        <f>PERCENTILE(Raw_Data_OC!C28:G28,0.95)</f>
        <v/>
      </c>
      <c r="E28" s="31">
        <f>Raw_Data_OC!C28/MAX($D28,cfg_oc_iq95_clip)</f>
        <v/>
      </c>
      <c r="F28" s="31">
        <f>Raw_Data_OC!D28/MAX($D28,cfg_oc_iq95_clip)</f>
        <v/>
      </c>
      <c r="G28" s="31">
        <f>Raw_Data_OC!E28/MAX($D28,cfg_oc_iq95_clip)</f>
        <v/>
      </c>
      <c r="H28" s="31">
        <f>Raw_Data_OC!F28/MAX($D28,cfg_oc_iq95_clip)</f>
        <v/>
      </c>
      <c r="I28" s="31">
        <f>Raw_Data_OC!G28/MAX($D28,cfg_oc_iq95_clip)</f>
        <v/>
      </c>
      <c r="J28" s="5">
        <f>IF(AND(E28&lt;cfg_oc_i_ratio_threshold,$C28=1),1,0)</f>
        <v/>
      </c>
      <c r="K28" s="5">
        <f>IF(AND(F28&lt;cfg_oc_i_ratio_threshold,$C28=1),1,0)</f>
        <v/>
      </c>
      <c r="L28" s="5">
        <f>IF(AND(G28&lt;cfg_oc_i_ratio_threshold,$C28=1),1,0)</f>
        <v/>
      </c>
      <c r="M28" s="5">
        <f>IF(AND(H28&lt;cfg_oc_i_ratio_threshold,$C28=1),1,0)</f>
        <v/>
      </c>
      <c r="N28" s="5">
        <f>IF(AND(I28&lt;cfg_oc_i_ratio_threshold,$C28=1),1,0)</f>
        <v/>
      </c>
      <c r="O28" s="5">
        <f>IF(J28=1,O27+1,0)</f>
        <v/>
      </c>
      <c r="P28" s="5">
        <f>IF(K28=1,P27+1,0)</f>
        <v/>
      </c>
      <c r="Q28" s="5">
        <f>IF(L28=1,Q27+1,0)</f>
        <v/>
      </c>
      <c r="R28" s="5">
        <f>IF(M28=1,R27+1,0)</f>
        <v/>
      </c>
      <c r="S28" s="5">
        <f>IF(N28=1,S27+1,0)</f>
        <v/>
      </c>
    </row>
    <row r="29">
      <c r="A29" s="16">
        <f>Raw_Data_OC!A29</f>
        <v/>
      </c>
      <c r="B29" s="27">
        <f>Raw_Data_OC!B29</f>
        <v/>
      </c>
      <c r="C29" s="5">
        <f>IF(AND(B29&gt;cfg_oc_poa_threshold_wm2,B29&gt;cfg_oc_poa_floor_wm2),1,0)</f>
        <v/>
      </c>
      <c r="D29" s="17">
        <f>PERCENTILE(Raw_Data_OC!C29:G29,0.95)</f>
        <v/>
      </c>
      <c r="E29" s="31">
        <f>Raw_Data_OC!C29/MAX($D29,cfg_oc_iq95_clip)</f>
        <v/>
      </c>
      <c r="F29" s="31">
        <f>Raw_Data_OC!D29/MAX($D29,cfg_oc_iq95_clip)</f>
        <v/>
      </c>
      <c r="G29" s="31">
        <f>Raw_Data_OC!E29/MAX($D29,cfg_oc_iq95_clip)</f>
        <v/>
      </c>
      <c r="H29" s="31">
        <f>Raw_Data_OC!F29/MAX($D29,cfg_oc_iq95_clip)</f>
        <v/>
      </c>
      <c r="I29" s="31">
        <f>Raw_Data_OC!G29/MAX($D29,cfg_oc_iq95_clip)</f>
        <v/>
      </c>
      <c r="J29" s="5">
        <f>IF(AND(E29&lt;cfg_oc_i_ratio_threshold,$C29=1),1,0)</f>
        <v/>
      </c>
      <c r="K29" s="5">
        <f>IF(AND(F29&lt;cfg_oc_i_ratio_threshold,$C29=1),1,0)</f>
        <v/>
      </c>
      <c r="L29" s="5">
        <f>IF(AND(G29&lt;cfg_oc_i_ratio_threshold,$C29=1),1,0)</f>
        <v/>
      </c>
      <c r="M29" s="5">
        <f>IF(AND(H29&lt;cfg_oc_i_ratio_threshold,$C29=1),1,0)</f>
        <v/>
      </c>
      <c r="N29" s="5">
        <f>IF(AND(I29&lt;cfg_oc_i_ratio_threshold,$C29=1),1,0)</f>
        <v/>
      </c>
      <c r="O29" s="5">
        <f>IF(J29=1,O28+1,0)</f>
        <v/>
      </c>
      <c r="P29" s="5">
        <f>IF(K29=1,P28+1,0)</f>
        <v/>
      </c>
      <c r="Q29" s="5">
        <f>IF(L29=1,Q28+1,0)</f>
        <v/>
      </c>
      <c r="R29" s="5">
        <f>IF(M29=1,R28+1,0)</f>
        <v/>
      </c>
      <c r="S29" s="5">
        <f>IF(N29=1,S28+1,0)</f>
        <v/>
      </c>
    </row>
    <row r="30">
      <c r="A30" s="16">
        <f>Raw_Data_OC!A30</f>
        <v/>
      </c>
      <c r="B30" s="27">
        <f>Raw_Data_OC!B30</f>
        <v/>
      </c>
      <c r="C30" s="5">
        <f>IF(AND(B30&gt;cfg_oc_poa_threshold_wm2,B30&gt;cfg_oc_poa_floor_wm2),1,0)</f>
        <v/>
      </c>
      <c r="D30" s="17">
        <f>PERCENTILE(Raw_Data_OC!C30:G30,0.95)</f>
        <v/>
      </c>
      <c r="E30" s="31">
        <f>Raw_Data_OC!C30/MAX($D30,cfg_oc_iq95_clip)</f>
        <v/>
      </c>
      <c r="F30" s="31">
        <f>Raw_Data_OC!D30/MAX($D30,cfg_oc_iq95_clip)</f>
        <v/>
      </c>
      <c r="G30" s="31">
        <f>Raw_Data_OC!E30/MAX($D30,cfg_oc_iq95_clip)</f>
        <v/>
      </c>
      <c r="H30" s="31">
        <f>Raw_Data_OC!F30/MAX($D30,cfg_oc_iq95_clip)</f>
        <v/>
      </c>
      <c r="I30" s="31">
        <f>Raw_Data_OC!G30/MAX($D30,cfg_oc_iq95_clip)</f>
        <v/>
      </c>
      <c r="J30" s="5">
        <f>IF(AND(E30&lt;cfg_oc_i_ratio_threshold,$C30=1),1,0)</f>
        <v/>
      </c>
      <c r="K30" s="5">
        <f>IF(AND(F30&lt;cfg_oc_i_ratio_threshold,$C30=1),1,0)</f>
        <v/>
      </c>
      <c r="L30" s="5">
        <f>IF(AND(G30&lt;cfg_oc_i_ratio_threshold,$C30=1),1,0)</f>
        <v/>
      </c>
      <c r="M30" s="5">
        <f>IF(AND(H30&lt;cfg_oc_i_ratio_threshold,$C30=1),1,0)</f>
        <v/>
      </c>
      <c r="N30" s="5">
        <f>IF(AND(I30&lt;cfg_oc_i_ratio_threshold,$C30=1),1,0)</f>
        <v/>
      </c>
      <c r="O30" s="5">
        <f>IF(J30=1,O29+1,0)</f>
        <v/>
      </c>
      <c r="P30" s="5">
        <f>IF(K30=1,P29+1,0)</f>
        <v/>
      </c>
      <c r="Q30" s="5">
        <f>IF(L30=1,Q29+1,0)</f>
        <v/>
      </c>
      <c r="R30" s="5">
        <f>IF(M30=1,R29+1,0)</f>
        <v/>
      </c>
      <c r="S30" s="5">
        <f>IF(N30=1,S29+1,0)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52" customWidth="1" min="11" max="11"/>
  </cols>
  <sheetData>
    <row r="1">
      <c r="A1" s="23" t="inlineStr">
        <is>
          <t>M2b_OpenCircuit — keputusan per-PV (open_circuit.py run())</t>
        </is>
      </c>
    </row>
    <row r="2">
      <c r="A2" s="24" t="inlineStr">
        <is>
          <t>emit = (MAX consec ≥ debounce) DAN bukan EMPTY. ratio_median/I_median = MEDIAN over baris daylight (rows 5..28, blok kontigu).</t>
        </is>
      </c>
    </row>
    <row r="3">
      <c r="A3" s="24" t="inlineStr">
        <is>
          <t>PV3 sustained → run=24 ≥ 20 → CRITICAL conf 95%. PV4 glitch run=3 &lt; 20 → suppressed. PV5 EMPTY → skip (q95 ikut 0-nya, harmless).</t>
        </is>
      </c>
    </row>
    <row r="4">
      <c r="A4" s="10" t="inlineStr">
        <is>
          <t>PV</t>
        </is>
      </c>
      <c r="B4" s="10" t="inlineStr">
        <is>
          <t>I_median (daylight)</t>
        </is>
      </c>
      <c r="C4" s="10" t="inlineStr">
        <is>
          <t>I_q95_median (daylight)</t>
        </is>
      </c>
      <c r="D4" s="10" t="inlineStr">
        <is>
          <t>ratio_median (daylight)</t>
        </is>
      </c>
      <c r="E4" s="10" t="inlineStr">
        <is>
          <t>MAX consec</t>
        </is>
      </c>
      <c r="F4" s="10" t="inlineStr">
        <is>
          <t>empty_by_design</t>
        </is>
      </c>
      <c r="G4" s="10" t="inlineStr">
        <is>
          <t>emit</t>
        </is>
      </c>
      <c r="H4" s="10" t="inlineStr">
        <is>
          <t>status</t>
        </is>
      </c>
      <c r="I4" s="10" t="inlineStr">
        <is>
          <t>severity</t>
        </is>
      </c>
      <c r="J4" s="10" t="inlineStr">
        <is>
          <t>confidence</t>
        </is>
      </c>
      <c r="K4" s="10" t="inlineStr">
        <is>
          <t>message</t>
        </is>
      </c>
    </row>
    <row r="5">
      <c r="A5" s="5" t="inlineStr">
        <is>
          <t>PV1</t>
        </is>
      </c>
      <c r="B5" s="17">
        <f>MEDIAN(Raw_Data_OC!C5:C28)</f>
        <v/>
      </c>
      <c r="C5" s="17">
        <f>MEDIAN(Helpers_OC!D5:D28)</f>
        <v/>
      </c>
      <c r="D5" s="31">
        <f>MEDIAN(Helpers_OC!E5:E28)</f>
        <v/>
      </c>
      <c r="E5" s="5">
        <f>MAX(Helpers_OC!O5:O30)</f>
        <v/>
      </c>
      <c r="F5" s="5" t="n">
        <v>0</v>
      </c>
      <c r="G5" s="5">
        <f>IF(AND(E5&gt;=cfg_oc_debounce_steps,F5=0),1,0)</f>
        <v/>
      </c>
      <c r="H5" s="5">
        <f>IF(F5=1,"EMPTY",IF(G5=1,"open_circuit","NORMAL"))</f>
        <v/>
      </c>
      <c r="I5" s="5">
        <f>IF(G5=1,"CRITICAL","")</f>
        <v/>
      </c>
      <c r="J5" s="27">
        <f>IF(G5=1,cfg_oc_confidence_pct,"")</f>
        <v/>
      </c>
      <c r="K5" s="5">
        <f>IF(G5=1,"Open-circuit suspect "&amp;A5&amp;": I/I_q95 median="&amp;TEXT(D5,"0.000")&amp;" (run "&amp;E5&amp;" &gt;= debounce "&amp;cfg_oc_debounce_steps&amp;")",IF(F5=1,"EMPTY slot — skip per EmptyPVMap",""))</f>
        <v/>
      </c>
    </row>
    <row r="6">
      <c r="A6" s="5" t="inlineStr">
        <is>
          <t>PV2</t>
        </is>
      </c>
      <c r="B6" s="17">
        <f>MEDIAN(Raw_Data_OC!D5:D28)</f>
        <v/>
      </c>
      <c r="C6" s="17">
        <f>MEDIAN(Helpers_OC!D5:D28)</f>
        <v/>
      </c>
      <c r="D6" s="31">
        <f>MEDIAN(Helpers_OC!F5:F28)</f>
        <v/>
      </c>
      <c r="E6" s="5">
        <f>MAX(Helpers_OC!P5:P30)</f>
        <v/>
      </c>
      <c r="F6" s="5" t="n">
        <v>0</v>
      </c>
      <c r="G6" s="5">
        <f>IF(AND(E6&gt;=cfg_oc_debounce_steps,F6=0),1,0)</f>
        <v/>
      </c>
      <c r="H6" s="5">
        <f>IF(F6=1,"EMPTY",IF(G6=1,"open_circuit","NORMAL"))</f>
        <v/>
      </c>
      <c r="I6" s="5">
        <f>IF(G6=1,"CRITICAL","")</f>
        <v/>
      </c>
      <c r="J6" s="27">
        <f>IF(G6=1,cfg_oc_confidence_pct,"")</f>
        <v/>
      </c>
      <c r="K6" s="5">
        <f>IF(G6=1,"Open-circuit suspect "&amp;A6&amp;": I/I_q95 median="&amp;TEXT(D6,"0.000")&amp;" (run "&amp;E6&amp;" &gt;= debounce "&amp;cfg_oc_debounce_steps&amp;")",IF(F6=1,"EMPTY slot — skip per EmptyPVMap",""))</f>
        <v/>
      </c>
    </row>
    <row r="7">
      <c r="A7" s="5" t="inlineStr">
        <is>
          <t>PV3</t>
        </is>
      </c>
      <c r="B7" s="17">
        <f>MEDIAN(Raw_Data_OC!E5:E28)</f>
        <v/>
      </c>
      <c r="C7" s="17">
        <f>MEDIAN(Helpers_OC!D5:D28)</f>
        <v/>
      </c>
      <c r="D7" s="31">
        <f>MEDIAN(Helpers_OC!G5:G28)</f>
        <v/>
      </c>
      <c r="E7" s="5">
        <f>MAX(Helpers_OC!Q5:Q30)</f>
        <v/>
      </c>
      <c r="F7" s="5" t="n">
        <v>0</v>
      </c>
      <c r="G7" s="5">
        <f>IF(AND(E7&gt;=cfg_oc_debounce_steps,F7=0),1,0)</f>
        <v/>
      </c>
      <c r="H7" s="5">
        <f>IF(F7=1,"EMPTY",IF(G7=1,"open_circuit","NORMAL"))</f>
        <v/>
      </c>
      <c r="I7" s="5">
        <f>IF(G7=1,"CRITICAL","")</f>
        <v/>
      </c>
      <c r="J7" s="27">
        <f>IF(G7=1,cfg_oc_confidence_pct,"")</f>
        <v/>
      </c>
      <c r="K7" s="5">
        <f>IF(G7=1,"Open-circuit suspect "&amp;A7&amp;": I/I_q95 median="&amp;TEXT(D7,"0.000")&amp;" (run "&amp;E7&amp;" &gt;= debounce "&amp;cfg_oc_debounce_steps&amp;")",IF(F7=1,"EMPTY slot — skip per EmptyPVMap",""))</f>
        <v/>
      </c>
    </row>
    <row r="8">
      <c r="A8" s="5" t="inlineStr">
        <is>
          <t>PV4</t>
        </is>
      </c>
      <c r="B8" s="17">
        <f>MEDIAN(Raw_Data_OC!F5:F28)</f>
        <v/>
      </c>
      <c r="C8" s="17">
        <f>MEDIAN(Helpers_OC!D5:D28)</f>
        <v/>
      </c>
      <c r="D8" s="31">
        <f>MEDIAN(Helpers_OC!H5:H28)</f>
        <v/>
      </c>
      <c r="E8" s="5">
        <f>MAX(Helpers_OC!R5:R30)</f>
        <v/>
      </c>
      <c r="F8" s="5" t="n">
        <v>0</v>
      </c>
      <c r="G8" s="5">
        <f>IF(AND(E8&gt;=cfg_oc_debounce_steps,F8=0),1,0)</f>
        <v/>
      </c>
      <c r="H8" s="5">
        <f>IF(F8=1,"EMPTY",IF(G8=1,"open_circuit","NORMAL"))</f>
        <v/>
      </c>
      <c r="I8" s="5">
        <f>IF(G8=1,"CRITICAL","")</f>
        <v/>
      </c>
      <c r="J8" s="27">
        <f>IF(G8=1,cfg_oc_confidence_pct,"")</f>
        <v/>
      </c>
      <c r="K8" s="5">
        <f>IF(G8=1,"Open-circuit suspect "&amp;A8&amp;": I/I_q95 median="&amp;TEXT(D8,"0.000")&amp;" (run "&amp;E8&amp;" &gt;= debounce "&amp;cfg_oc_debounce_steps&amp;")",IF(F8=1,"EMPTY slot — skip per EmptyPVMap",""))</f>
        <v/>
      </c>
    </row>
    <row r="9">
      <c r="A9" s="5" t="inlineStr">
        <is>
          <t>PV5</t>
        </is>
      </c>
      <c r="B9" s="17">
        <f>MEDIAN(Raw_Data_OC!G5:G28)</f>
        <v/>
      </c>
      <c r="C9" s="17">
        <f>MEDIAN(Helpers_OC!D5:D28)</f>
        <v/>
      </c>
      <c r="D9" s="31">
        <f>MEDIAN(Helpers_OC!I5:I28)</f>
        <v/>
      </c>
      <c r="E9" s="5">
        <f>MAX(Helpers_OC!S5:S30)</f>
        <v/>
      </c>
      <c r="F9" s="5" t="n">
        <v>1</v>
      </c>
      <c r="G9" s="5">
        <f>IF(AND(E9&gt;=cfg_oc_debounce_steps,F9=0),1,0)</f>
        <v/>
      </c>
      <c r="H9" s="5">
        <f>IF(F9=1,"EMPTY",IF(G9=1,"open_circuit","NORMAL"))</f>
        <v/>
      </c>
      <c r="I9" s="5">
        <f>IF(G9=1,"CRITICAL","")</f>
        <v/>
      </c>
      <c r="J9" s="27">
        <f>IF(G9=1,cfg_oc_confidence_pct,"")</f>
        <v/>
      </c>
      <c r="K9" s="5">
        <f>IF(G9=1,"Open-circuit suspect "&amp;A9&amp;": I/I_q95 median="&amp;TEXT(D9,"0.000")&amp;" (run "&amp;E9&amp;" &gt;= debounce "&amp;cfg_oc_debounce_steps&amp;")",IF(F9=1,"EMPTY slot — skip per EmptyPVMap",""))</f>
        <v/>
      </c>
    </row>
  </sheetData>
  <conditionalFormatting sqref="H5:H9">
    <cfRule type="cellIs" priority="1" operator="equal" dxfId="0">
      <formula>"open_circuit"</formula>
    </cfRule>
    <cfRule type="cellIs" priority="2" operator="equal" dxfId="4">
      <formula>"NORMAL"</formula>
    </cfRule>
    <cfRule type="cellIs" priority="3" operator="equal" dxfId="5">
      <formula>"EMPTY"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6" max="6"/>
    <col width="14" customWidth="1" min="7" max="7"/>
    <col width="14" customWidth="1" min="8" max="8"/>
  </cols>
  <sheetData>
    <row r="1">
      <c r="A1" s="23" t="inlineStr">
        <is>
          <t>M2b_OC_StringStatus — replika artifact StringStatus (open_circuit.py)</t>
        </is>
      </c>
    </row>
    <row r="2">
      <c r="A2" s="24" t="inlineStr">
        <is>
          <t>Mirror self.artifacts['StringStatus']: per-PV status + median stats + debounce counts. EMPTY rows dari top-up EmptyPVMap.</t>
        </is>
      </c>
    </row>
    <row r="4">
      <c r="A4" s="10" t="inlineStr">
        <is>
          <t>poa_source</t>
        </is>
      </c>
      <c r="B4" s="10" t="inlineStr">
        <is>
          <t>inverter_id</t>
        </is>
      </c>
      <c r="C4" s="10" t="inlineStr">
        <is>
          <t>wb_id</t>
        </is>
      </c>
      <c r="D4" s="10" t="inlineStr">
        <is>
          <t>pv_string</t>
        </is>
      </c>
      <c r="E4" s="10" t="inlineStr">
        <is>
          <t>status</t>
        </is>
      </c>
      <c r="F4" s="10" t="inlineStr">
        <is>
          <t>i_string_median_daylight</t>
        </is>
      </c>
      <c r="G4" s="10" t="inlineStr">
        <is>
          <t>i_q95_median_daylight</t>
        </is>
      </c>
      <c r="H4" s="10" t="inlineStr">
        <is>
          <t>ratio_median_daylight</t>
        </is>
      </c>
      <c r="I4" s="10" t="inlineStr">
        <is>
          <t>n_qualifying_steps</t>
        </is>
      </c>
      <c r="J4" s="10" t="inlineStr">
        <is>
          <t>n_debounced_events</t>
        </is>
      </c>
      <c r="K4" s="10" t="inlineStr">
        <is>
          <t>emitted_finding</t>
        </is>
      </c>
      <c r="L4" s="10" t="inlineStr">
        <is>
          <t>daylight_samples</t>
        </is>
      </c>
    </row>
    <row r="5">
      <c r="A5" s="5" t="inlineStr">
        <is>
          <t>dummy_single</t>
        </is>
      </c>
      <c r="B5" s="5" t="inlineStr">
        <is>
          <t>WB05-INV05</t>
        </is>
      </c>
      <c r="C5" s="5" t="inlineStr">
        <is>
          <t>WB05</t>
        </is>
      </c>
      <c r="D5" s="5" t="inlineStr">
        <is>
          <t>PV1</t>
        </is>
      </c>
      <c r="E5" s="5">
        <f>M2b_OpenCircuit!H5</f>
        <v/>
      </c>
      <c r="F5" s="17">
        <f>M2b_OpenCircuit!B5</f>
        <v/>
      </c>
      <c r="G5" s="17">
        <f>M2b_OpenCircuit!C5</f>
        <v/>
      </c>
      <c r="H5" s="31">
        <f>M2b_OpenCircuit!D5</f>
        <v/>
      </c>
      <c r="I5" s="5">
        <f>SUM(Helpers_OC!J5:J30)</f>
        <v/>
      </c>
      <c r="J5" s="5">
        <f>M2b_OpenCircuit!G5</f>
        <v/>
      </c>
      <c r="K5" s="5">
        <f>IF(M2b_OpenCircuit!G5=1,TRUE,FALSE)</f>
        <v/>
      </c>
      <c r="L5" s="5">
        <f>SUM(Helpers_OC!$C$5:$C$30)</f>
        <v/>
      </c>
    </row>
    <row r="6">
      <c r="A6" s="5" t="inlineStr">
        <is>
          <t>dummy_single</t>
        </is>
      </c>
      <c r="B6" s="5" t="inlineStr">
        <is>
          <t>WB05-INV05</t>
        </is>
      </c>
      <c r="C6" s="5" t="inlineStr">
        <is>
          <t>WB05</t>
        </is>
      </c>
      <c r="D6" s="5" t="inlineStr">
        <is>
          <t>PV2</t>
        </is>
      </c>
      <c r="E6" s="5">
        <f>M2b_OpenCircuit!H6</f>
        <v/>
      </c>
      <c r="F6" s="17">
        <f>M2b_OpenCircuit!B6</f>
        <v/>
      </c>
      <c r="G6" s="17">
        <f>M2b_OpenCircuit!C6</f>
        <v/>
      </c>
      <c r="H6" s="31">
        <f>M2b_OpenCircuit!D6</f>
        <v/>
      </c>
      <c r="I6" s="5">
        <f>SUM(Helpers_OC!K5:K30)</f>
        <v/>
      </c>
      <c r="J6" s="5">
        <f>M2b_OpenCircuit!G6</f>
        <v/>
      </c>
      <c r="K6" s="5">
        <f>IF(M2b_OpenCircuit!G6=1,TRUE,FALSE)</f>
        <v/>
      </c>
      <c r="L6" s="5">
        <f>SUM(Helpers_OC!$C$5:$C$30)</f>
        <v/>
      </c>
    </row>
    <row r="7">
      <c r="A7" s="5" t="inlineStr">
        <is>
          <t>dummy_single</t>
        </is>
      </c>
      <c r="B7" s="5" t="inlineStr">
        <is>
          <t>WB05-INV05</t>
        </is>
      </c>
      <c r="C7" s="5" t="inlineStr">
        <is>
          <t>WB05</t>
        </is>
      </c>
      <c r="D7" s="5" t="inlineStr">
        <is>
          <t>PV3</t>
        </is>
      </c>
      <c r="E7" s="5">
        <f>M2b_OpenCircuit!H7</f>
        <v/>
      </c>
      <c r="F7" s="17">
        <f>M2b_OpenCircuit!B7</f>
        <v/>
      </c>
      <c r="G7" s="17">
        <f>M2b_OpenCircuit!C7</f>
        <v/>
      </c>
      <c r="H7" s="31">
        <f>M2b_OpenCircuit!D7</f>
        <v/>
      </c>
      <c r="I7" s="5">
        <f>SUM(Helpers_OC!L5:L30)</f>
        <v/>
      </c>
      <c r="J7" s="5">
        <f>M2b_OpenCircuit!G7</f>
        <v/>
      </c>
      <c r="K7" s="5">
        <f>IF(M2b_OpenCircuit!G7=1,TRUE,FALSE)</f>
        <v/>
      </c>
      <c r="L7" s="5">
        <f>SUM(Helpers_OC!$C$5:$C$30)</f>
        <v/>
      </c>
    </row>
    <row r="8">
      <c r="A8" s="5" t="inlineStr">
        <is>
          <t>dummy_single</t>
        </is>
      </c>
      <c r="B8" s="5" t="inlineStr">
        <is>
          <t>WB05-INV05</t>
        </is>
      </c>
      <c r="C8" s="5" t="inlineStr">
        <is>
          <t>WB05</t>
        </is>
      </c>
      <c r="D8" s="5" t="inlineStr">
        <is>
          <t>PV4</t>
        </is>
      </c>
      <c r="E8" s="5">
        <f>M2b_OpenCircuit!H8</f>
        <v/>
      </c>
      <c r="F8" s="17">
        <f>M2b_OpenCircuit!B8</f>
        <v/>
      </c>
      <c r="G8" s="17">
        <f>M2b_OpenCircuit!C8</f>
        <v/>
      </c>
      <c r="H8" s="31">
        <f>M2b_OpenCircuit!D8</f>
        <v/>
      </c>
      <c r="I8" s="5">
        <f>SUM(Helpers_OC!M5:M30)</f>
        <v/>
      </c>
      <c r="J8" s="5">
        <f>M2b_OpenCircuit!G8</f>
        <v/>
      </c>
      <c r="K8" s="5">
        <f>IF(M2b_OpenCircuit!G8=1,TRUE,FALSE)</f>
        <v/>
      </c>
      <c r="L8" s="5">
        <f>SUM(Helpers_OC!$C$5:$C$30)</f>
        <v/>
      </c>
    </row>
    <row r="9">
      <c r="A9" s="5" t="inlineStr">
        <is>
          <t>dummy_single</t>
        </is>
      </c>
      <c r="B9" s="5" t="inlineStr">
        <is>
          <t>WB05-INV05</t>
        </is>
      </c>
      <c r="C9" s="5" t="inlineStr">
        <is>
          <t>WB05</t>
        </is>
      </c>
      <c r="D9" s="5" t="inlineStr">
        <is>
          <t>PV5</t>
        </is>
      </c>
      <c r="E9" s="5">
        <f>M2b_OpenCircuit!H9</f>
        <v/>
      </c>
      <c r="F9" s="17">
        <f>M2b_OpenCircuit!B9</f>
        <v/>
      </c>
      <c r="G9" s="17">
        <f>M2b_OpenCircuit!C9</f>
        <v/>
      </c>
      <c r="H9" s="31">
        <f>M2b_OpenCircuit!D9</f>
        <v/>
      </c>
      <c r="I9" s="5">
        <f>SUM(Helpers_OC!N5:N30)</f>
        <v/>
      </c>
      <c r="J9" s="5">
        <f>M2b_OpenCircuit!G9</f>
        <v/>
      </c>
      <c r="K9" s="5">
        <f>IF(M2b_OpenCircuit!G9=1,TRUE,FALSE)</f>
        <v/>
      </c>
      <c r="L9" s="5">
        <f>SUM(Helpers_OC!$C$5:$C$30)</f>
        <v/>
      </c>
    </row>
  </sheetData>
  <conditionalFormatting sqref="E5:E9">
    <cfRule type="cellIs" priority="1" operator="equal" dxfId="0">
      <formula>"open_circuit"</formula>
    </cfRule>
    <cfRule type="cellIs" priority="2" operator="equal" dxfId="4">
      <formula>"NORMAL"</formula>
    </cfRule>
    <cfRule type="cellIs" priority="3" operator="equal" dxfId="5">
      <formula>"EMPTY"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</cols>
  <sheetData>
    <row r="1">
      <c r="A1" s="23" t="inlineStr">
        <is>
          <t>Raw_Data_GF — V/I per PV string + V_to_ground (4 inverter WB05)</t>
        </is>
      </c>
    </row>
    <row r="2">
      <c r="A2" s="24" t="inlineStr">
        <is>
          <t>INV01 NORMAL · INV02 V_to_ground tinggi (abs+adaptive) · INV03 PV3 ground-fault (spec: Voc↓ + I↑) · INV04 V_gnd tinggi + PV3 spec.</t>
        </is>
      </c>
    </row>
    <row r="3">
      <c r="A3" s="24" t="inlineStr">
        <is>
          <t>Tiap inverter: 3 baris dawn (06:00-06:10, I≈0 → Voc estimate) + 6 baris noon (12:00-12:25, POA=900 daylight). Empty slot PV5 (INV01/02) = 0.</t>
        </is>
      </c>
    </row>
    <row r="4">
      <c r="A4" s="10" t="inlineStr">
        <is>
          <t>Start Time</t>
        </is>
      </c>
      <c r="B4" s="10" t="inlineStr">
        <is>
          <t>Inverter_ID</t>
        </is>
      </c>
      <c r="C4" s="10" t="inlineStr">
        <is>
          <t>POA (W/m²)</t>
        </is>
      </c>
      <c r="D4" s="10" t="inlineStr">
        <is>
          <t>V_to_ground (V)</t>
        </is>
      </c>
      <c r="E4" s="10" t="inlineStr">
        <is>
          <t>PV1 input voltage(V)</t>
        </is>
      </c>
      <c r="F4" s="10" t="inlineStr">
        <is>
          <t>PV2 input voltage(V)</t>
        </is>
      </c>
      <c r="G4" s="10" t="inlineStr">
        <is>
          <t>PV3 input voltage(V)</t>
        </is>
      </c>
      <c r="H4" s="10" t="inlineStr">
        <is>
          <t>PV4 input voltage(V)</t>
        </is>
      </c>
      <c r="I4" s="10" t="inlineStr">
        <is>
          <t>PV5 input voltage(V)</t>
        </is>
      </c>
      <c r="J4" s="10" t="inlineStr">
        <is>
          <t>PV6 input voltage(V)</t>
        </is>
      </c>
      <c r="K4" s="10" t="inlineStr">
        <is>
          <t>PV1 input current(A)</t>
        </is>
      </c>
      <c r="L4" s="10" t="inlineStr">
        <is>
          <t>PV2 input current(A)</t>
        </is>
      </c>
      <c r="M4" s="10" t="inlineStr">
        <is>
          <t>PV3 input current(A)</t>
        </is>
      </c>
      <c r="N4" s="10" t="inlineStr">
        <is>
          <t>PV4 input current(A)</t>
        </is>
      </c>
      <c r="O4" s="10" t="inlineStr">
        <is>
          <t>PV5 input current(A)</t>
        </is>
      </c>
      <c r="P4" s="10" t="inlineStr">
        <is>
          <t>PV6 input current(A)</t>
        </is>
      </c>
    </row>
    <row r="5">
      <c r="A5" s="16" t="n">
        <v>46156.25</v>
      </c>
      <c r="B5" s="5" t="inlineStr">
        <is>
          <t>WB05-INV01</t>
        </is>
      </c>
      <c r="C5" s="5" t="n">
        <v>100</v>
      </c>
      <c r="D5" s="18" t="n">
        <v>2</v>
      </c>
      <c r="E5" s="18" t="n">
        <v>1430</v>
      </c>
      <c r="F5" s="18" t="n">
        <v>1430</v>
      </c>
      <c r="G5" s="18" t="n">
        <v>1430</v>
      </c>
      <c r="H5" s="18" t="n">
        <v>1430</v>
      </c>
      <c r="I5" s="32" t="n">
        <v>0</v>
      </c>
      <c r="J5" s="18" t="n">
        <v>1430</v>
      </c>
      <c r="K5" s="17" t="n">
        <v>0.2</v>
      </c>
      <c r="L5" s="17" t="n">
        <v>0.2</v>
      </c>
      <c r="M5" s="17" t="n">
        <v>0.2</v>
      </c>
      <c r="N5" s="17" t="n">
        <v>0.2</v>
      </c>
      <c r="O5" s="33" t="n">
        <v>0</v>
      </c>
      <c r="P5" s="17" t="n">
        <v>0.2</v>
      </c>
    </row>
    <row r="6">
      <c r="A6" s="16" t="n">
        <v>46156.25347222222</v>
      </c>
      <c r="B6" s="5" t="inlineStr">
        <is>
          <t>WB05-INV01</t>
        </is>
      </c>
      <c r="C6" s="5" t="n">
        <v>100</v>
      </c>
      <c r="D6" s="18" t="n">
        <v>2</v>
      </c>
      <c r="E6" s="18" t="n">
        <v>1430</v>
      </c>
      <c r="F6" s="18" t="n">
        <v>1430</v>
      </c>
      <c r="G6" s="18" t="n">
        <v>1430</v>
      </c>
      <c r="H6" s="18" t="n">
        <v>1430</v>
      </c>
      <c r="I6" s="32" t="n">
        <v>0</v>
      </c>
      <c r="J6" s="18" t="n">
        <v>1430</v>
      </c>
      <c r="K6" s="17" t="n">
        <v>0.2</v>
      </c>
      <c r="L6" s="17" t="n">
        <v>0.2</v>
      </c>
      <c r="M6" s="17" t="n">
        <v>0.2</v>
      </c>
      <c r="N6" s="17" t="n">
        <v>0.2</v>
      </c>
      <c r="O6" s="33" t="n">
        <v>0</v>
      </c>
      <c r="P6" s="17" t="n">
        <v>0.2</v>
      </c>
    </row>
    <row r="7">
      <c r="A7" s="16" t="n">
        <v>46156.25694444445</v>
      </c>
      <c r="B7" s="5" t="inlineStr">
        <is>
          <t>WB05-INV01</t>
        </is>
      </c>
      <c r="C7" s="5" t="n">
        <v>100</v>
      </c>
      <c r="D7" s="18" t="n">
        <v>2</v>
      </c>
      <c r="E7" s="18" t="n">
        <v>1430</v>
      </c>
      <c r="F7" s="18" t="n">
        <v>1430</v>
      </c>
      <c r="G7" s="18" t="n">
        <v>1430</v>
      </c>
      <c r="H7" s="18" t="n">
        <v>1430</v>
      </c>
      <c r="I7" s="32" t="n">
        <v>0</v>
      </c>
      <c r="J7" s="18" t="n">
        <v>1430</v>
      </c>
      <c r="K7" s="17" t="n">
        <v>0.2</v>
      </c>
      <c r="L7" s="17" t="n">
        <v>0.2</v>
      </c>
      <c r="M7" s="17" t="n">
        <v>0.2</v>
      </c>
      <c r="N7" s="17" t="n">
        <v>0.2</v>
      </c>
      <c r="O7" s="33" t="n">
        <v>0</v>
      </c>
      <c r="P7" s="17" t="n">
        <v>0.2</v>
      </c>
    </row>
    <row r="8">
      <c r="A8" s="16" t="n">
        <v>46156.5</v>
      </c>
      <c r="B8" s="5" t="inlineStr">
        <is>
          <t>WB05-INV01</t>
        </is>
      </c>
      <c r="C8" s="5" t="n">
        <v>900</v>
      </c>
      <c r="D8" s="18" t="n">
        <v>2</v>
      </c>
      <c r="E8" s="18" t="n">
        <v>1180</v>
      </c>
      <c r="F8" s="18" t="n">
        <v>1180</v>
      </c>
      <c r="G8" s="18" t="n">
        <v>1180</v>
      </c>
      <c r="H8" s="18" t="n">
        <v>1180</v>
      </c>
      <c r="I8" s="32" t="n">
        <v>0</v>
      </c>
      <c r="J8" s="18" t="n">
        <v>1180</v>
      </c>
      <c r="K8" s="17" t="n">
        <v>13.1</v>
      </c>
      <c r="L8" s="17" t="n">
        <v>13.1</v>
      </c>
      <c r="M8" s="17" t="n">
        <v>13.1</v>
      </c>
      <c r="N8" s="17" t="n">
        <v>13.1</v>
      </c>
      <c r="O8" s="33" t="n">
        <v>0</v>
      </c>
      <c r="P8" s="17" t="n">
        <v>13.1</v>
      </c>
    </row>
    <row r="9">
      <c r="A9" s="16" t="n">
        <v>46156.50347222222</v>
      </c>
      <c r="B9" s="5" t="inlineStr">
        <is>
          <t>WB05-INV01</t>
        </is>
      </c>
      <c r="C9" s="5" t="n">
        <v>900</v>
      </c>
      <c r="D9" s="18" t="n">
        <v>2</v>
      </c>
      <c r="E9" s="18" t="n">
        <v>1180</v>
      </c>
      <c r="F9" s="18" t="n">
        <v>1180</v>
      </c>
      <c r="G9" s="18" t="n">
        <v>1180</v>
      </c>
      <c r="H9" s="18" t="n">
        <v>1180</v>
      </c>
      <c r="I9" s="32" t="n">
        <v>0</v>
      </c>
      <c r="J9" s="18" t="n">
        <v>1180</v>
      </c>
      <c r="K9" s="17" t="n">
        <v>12.9</v>
      </c>
      <c r="L9" s="17" t="n">
        <v>12.9</v>
      </c>
      <c r="M9" s="17" t="n">
        <v>12.9</v>
      </c>
      <c r="N9" s="17" t="n">
        <v>12.9</v>
      </c>
      <c r="O9" s="33" t="n">
        <v>0</v>
      </c>
      <c r="P9" s="17" t="n">
        <v>12.9</v>
      </c>
    </row>
    <row r="10">
      <c r="A10" s="16" t="n">
        <v>46156.50694444445</v>
      </c>
      <c r="B10" s="5" t="inlineStr">
        <is>
          <t>WB05-INV01</t>
        </is>
      </c>
      <c r="C10" s="5" t="n">
        <v>900</v>
      </c>
      <c r="D10" s="18" t="n">
        <v>2</v>
      </c>
      <c r="E10" s="18" t="n">
        <v>1180</v>
      </c>
      <c r="F10" s="18" t="n">
        <v>1180</v>
      </c>
      <c r="G10" s="18" t="n">
        <v>1180</v>
      </c>
      <c r="H10" s="18" t="n">
        <v>1180</v>
      </c>
      <c r="I10" s="32" t="n">
        <v>0</v>
      </c>
      <c r="J10" s="18" t="n">
        <v>1180</v>
      </c>
      <c r="K10" s="17" t="n">
        <v>13.1</v>
      </c>
      <c r="L10" s="17" t="n">
        <v>13.1</v>
      </c>
      <c r="M10" s="17" t="n">
        <v>13.1</v>
      </c>
      <c r="N10" s="17" t="n">
        <v>13.1</v>
      </c>
      <c r="O10" s="33" t="n">
        <v>0</v>
      </c>
      <c r="P10" s="17" t="n">
        <v>13.1</v>
      </c>
    </row>
    <row r="11">
      <c r="A11" s="16" t="n">
        <v>46156.51041666666</v>
      </c>
      <c r="B11" s="5" t="inlineStr">
        <is>
          <t>WB05-INV01</t>
        </is>
      </c>
      <c r="C11" s="5" t="n">
        <v>900</v>
      </c>
      <c r="D11" s="18" t="n">
        <v>2</v>
      </c>
      <c r="E11" s="18" t="n">
        <v>1180</v>
      </c>
      <c r="F11" s="18" t="n">
        <v>1180</v>
      </c>
      <c r="G11" s="18" t="n">
        <v>1180</v>
      </c>
      <c r="H11" s="18" t="n">
        <v>1180</v>
      </c>
      <c r="I11" s="32" t="n">
        <v>0</v>
      </c>
      <c r="J11" s="18" t="n">
        <v>1180</v>
      </c>
      <c r="K11" s="17" t="n">
        <v>12.9</v>
      </c>
      <c r="L11" s="17" t="n">
        <v>12.9</v>
      </c>
      <c r="M11" s="17" t="n">
        <v>12.9</v>
      </c>
      <c r="N11" s="17" t="n">
        <v>12.9</v>
      </c>
      <c r="O11" s="33" t="n">
        <v>0</v>
      </c>
      <c r="P11" s="17" t="n">
        <v>12.9</v>
      </c>
    </row>
    <row r="12">
      <c r="A12" s="16" t="n">
        <v>46156.51388888889</v>
      </c>
      <c r="B12" s="5" t="inlineStr">
        <is>
          <t>WB05-INV01</t>
        </is>
      </c>
      <c r="C12" s="5" t="n">
        <v>900</v>
      </c>
      <c r="D12" s="18" t="n">
        <v>2</v>
      </c>
      <c r="E12" s="18" t="n">
        <v>1180</v>
      </c>
      <c r="F12" s="18" t="n">
        <v>1180</v>
      </c>
      <c r="G12" s="18" t="n">
        <v>1180</v>
      </c>
      <c r="H12" s="18" t="n">
        <v>1180</v>
      </c>
      <c r="I12" s="32" t="n">
        <v>0</v>
      </c>
      <c r="J12" s="18" t="n">
        <v>1180</v>
      </c>
      <c r="K12" s="17" t="n">
        <v>13.1</v>
      </c>
      <c r="L12" s="17" t="n">
        <v>13.1</v>
      </c>
      <c r="M12" s="17" t="n">
        <v>13.1</v>
      </c>
      <c r="N12" s="17" t="n">
        <v>13.1</v>
      </c>
      <c r="O12" s="33" t="n">
        <v>0</v>
      </c>
      <c r="P12" s="17" t="n">
        <v>13.1</v>
      </c>
    </row>
    <row r="13">
      <c r="A13" s="16" t="n">
        <v>46156.51736111111</v>
      </c>
      <c r="B13" s="5" t="inlineStr">
        <is>
          <t>WB05-INV01</t>
        </is>
      </c>
      <c r="C13" s="5" t="n">
        <v>900</v>
      </c>
      <c r="D13" s="18" t="n">
        <v>2</v>
      </c>
      <c r="E13" s="18" t="n">
        <v>1180</v>
      </c>
      <c r="F13" s="18" t="n">
        <v>1180</v>
      </c>
      <c r="G13" s="18" t="n">
        <v>1180</v>
      </c>
      <c r="H13" s="18" t="n">
        <v>1180</v>
      </c>
      <c r="I13" s="32" t="n">
        <v>0</v>
      </c>
      <c r="J13" s="18" t="n">
        <v>1180</v>
      </c>
      <c r="K13" s="17" t="n">
        <v>12.9</v>
      </c>
      <c r="L13" s="17" t="n">
        <v>12.9</v>
      </c>
      <c r="M13" s="17" t="n">
        <v>12.9</v>
      </c>
      <c r="N13" s="17" t="n">
        <v>12.9</v>
      </c>
      <c r="O13" s="33" t="n">
        <v>0</v>
      </c>
      <c r="P13" s="17" t="n">
        <v>12.9</v>
      </c>
    </row>
    <row r="14">
      <c r="A14" s="16" t="n">
        <v>46156.25</v>
      </c>
      <c r="B14" s="5" t="inlineStr">
        <is>
          <t>WB05-INV02</t>
        </is>
      </c>
      <c r="C14" s="5" t="n">
        <v>100</v>
      </c>
      <c r="D14" s="34" t="n">
        <v>-80</v>
      </c>
      <c r="E14" s="18" t="n">
        <v>1430</v>
      </c>
      <c r="F14" s="18" t="n">
        <v>1430</v>
      </c>
      <c r="G14" s="18" t="n">
        <v>1430</v>
      </c>
      <c r="H14" s="18" t="n">
        <v>1430</v>
      </c>
      <c r="I14" s="32" t="n">
        <v>0</v>
      </c>
      <c r="J14" s="18" t="n">
        <v>1430</v>
      </c>
      <c r="K14" s="17" t="n">
        <v>0.2</v>
      </c>
      <c r="L14" s="17" t="n">
        <v>0.2</v>
      </c>
      <c r="M14" s="17" t="n">
        <v>0.2</v>
      </c>
      <c r="N14" s="17" t="n">
        <v>0.2</v>
      </c>
      <c r="O14" s="33" t="n">
        <v>0</v>
      </c>
      <c r="P14" s="17" t="n">
        <v>0.2</v>
      </c>
    </row>
    <row r="15">
      <c r="A15" s="16" t="n">
        <v>46156.25347222222</v>
      </c>
      <c r="B15" s="5" t="inlineStr">
        <is>
          <t>WB05-INV02</t>
        </is>
      </c>
      <c r="C15" s="5" t="n">
        <v>100</v>
      </c>
      <c r="D15" s="34" t="n">
        <v>-80</v>
      </c>
      <c r="E15" s="18" t="n">
        <v>1430</v>
      </c>
      <c r="F15" s="18" t="n">
        <v>1430</v>
      </c>
      <c r="G15" s="18" t="n">
        <v>1430</v>
      </c>
      <c r="H15" s="18" t="n">
        <v>1430</v>
      </c>
      <c r="I15" s="32" t="n">
        <v>0</v>
      </c>
      <c r="J15" s="18" t="n">
        <v>1430</v>
      </c>
      <c r="K15" s="17" t="n">
        <v>0.2</v>
      </c>
      <c r="L15" s="17" t="n">
        <v>0.2</v>
      </c>
      <c r="M15" s="17" t="n">
        <v>0.2</v>
      </c>
      <c r="N15" s="17" t="n">
        <v>0.2</v>
      </c>
      <c r="O15" s="33" t="n">
        <v>0</v>
      </c>
      <c r="P15" s="17" t="n">
        <v>0.2</v>
      </c>
    </row>
    <row r="16">
      <c r="A16" s="16" t="n">
        <v>46156.25694444445</v>
      </c>
      <c r="B16" s="5" t="inlineStr">
        <is>
          <t>WB05-INV02</t>
        </is>
      </c>
      <c r="C16" s="5" t="n">
        <v>100</v>
      </c>
      <c r="D16" s="34" t="n">
        <v>-80</v>
      </c>
      <c r="E16" s="18" t="n">
        <v>1430</v>
      </c>
      <c r="F16" s="18" t="n">
        <v>1430</v>
      </c>
      <c r="G16" s="18" t="n">
        <v>1430</v>
      </c>
      <c r="H16" s="18" t="n">
        <v>1430</v>
      </c>
      <c r="I16" s="32" t="n">
        <v>0</v>
      </c>
      <c r="J16" s="18" t="n">
        <v>1430</v>
      </c>
      <c r="K16" s="17" t="n">
        <v>0.2</v>
      </c>
      <c r="L16" s="17" t="n">
        <v>0.2</v>
      </c>
      <c r="M16" s="17" t="n">
        <v>0.2</v>
      </c>
      <c r="N16" s="17" t="n">
        <v>0.2</v>
      </c>
      <c r="O16" s="33" t="n">
        <v>0</v>
      </c>
      <c r="P16" s="17" t="n">
        <v>0.2</v>
      </c>
    </row>
    <row r="17">
      <c r="A17" s="16" t="n">
        <v>46156.5</v>
      </c>
      <c r="B17" s="5" t="inlineStr">
        <is>
          <t>WB05-INV02</t>
        </is>
      </c>
      <c r="C17" s="5" t="n">
        <v>900</v>
      </c>
      <c r="D17" s="34" t="n">
        <v>-80</v>
      </c>
      <c r="E17" s="18" t="n">
        <v>1180</v>
      </c>
      <c r="F17" s="18" t="n">
        <v>1180</v>
      </c>
      <c r="G17" s="18" t="n">
        <v>1180</v>
      </c>
      <c r="H17" s="18" t="n">
        <v>1180</v>
      </c>
      <c r="I17" s="32" t="n">
        <v>0</v>
      </c>
      <c r="J17" s="18" t="n">
        <v>1180</v>
      </c>
      <c r="K17" s="17" t="n">
        <v>13.1</v>
      </c>
      <c r="L17" s="17" t="n">
        <v>13.1</v>
      </c>
      <c r="M17" s="17" t="n">
        <v>13.1</v>
      </c>
      <c r="N17" s="17" t="n">
        <v>13.1</v>
      </c>
      <c r="O17" s="33" t="n">
        <v>0</v>
      </c>
      <c r="P17" s="17" t="n">
        <v>13.1</v>
      </c>
    </row>
    <row r="18">
      <c r="A18" s="16" t="n">
        <v>46156.50347222222</v>
      </c>
      <c r="B18" s="5" t="inlineStr">
        <is>
          <t>WB05-INV02</t>
        </is>
      </c>
      <c r="C18" s="5" t="n">
        <v>900</v>
      </c>
      <c r="D18" s="34" t="n">
        <v>-80</v>
      </c>
      <c r="E18" s="18" t="n">
        <v>1180</v>
      </c>
      <c r="F18" s="18" t="n">
        <v>1180</v>
      </c>
      <c r="G18" s="18" t="n">
        <v>1180</v>
      </c>
      <c r="H18" s="18" t="n">
        <v>1180</v>
      </c>
      <c r="I18" s="32" t="n">
        <v>0</v>
      </c>
      <c r="J18" s="18" t="n">
        <v>1180</v>
      </c>
      <c r="K18" s="17" t="n">
        <v>12.9</v>
      </c>
      <c r="L18" s="17" t="n">
        <v>12.9</v>
      </c>
      <c r="M18" s="17" t="n">
        <v>12.9</v>
      </c>
      <c r="N18" s="17" t="n">
        <v>12.9</v>
      </c>
      <c r="O18" s="33" t="n">
        <v>0</v>
      </c>
      <c r="P18" s="17" t="n">
        <v>12.9</v>
      </c>
    </row>
    <row r="19">
      <c r="A19" s="16" t="n">
        <v>46156.50694444445</v>
      </c>
      <c r="B19" s="5" t="inlineStr">
        <is>
          <t>WB05-INV02</t>
        </is>
      </c>
      <c r="C19" s="5" t="n">
        <v>900</v>
      </c>
      <c r="D19" s="34" t="n">
        <v>-80</v>
      </c>
      <c r="E19" s="18" t="n">
        <v>1180</v>
      </c>
      <c r="F19" s="18" t="n">
        <v>1180</v>
      </c>
      <c r="G19" s="18" t="n">
        <v>1180</v>
      </c>
      <c r="H19" s="18" t="n">
        <v>1180</v>
      </c>
      <c r="I19" s="32" t="n">
        <v>0</v>
      </c>
      <c r="J19" s="18" t="n">
        <v>1180</v>
      </c>
      <c r="K19" s="17" t="n">
        <v>13.1</v>
      </c>
      <c r="L19" s="17" t="n">
        <v>13.1</v>
      </c>
      <c r="M19" s="17" t="n">
        <v>13.1</v>
      </c>
      <c r="N19" s="17" t="n">
        <v>13.1</v>
      </c>
      <c r="O19" s="33" t="n">
        <v>0</v>
      </c>
      <c r="P19" s="17" t="n">
        <v>13.1</v>
      </c>
    </row>
    <row r="20">
      <c r="A20" s="16" t="n">
        <v>46156.51041666666</v>
      </c>
      <c r="B20" s="5" t="inlineStr">
        <is>
          <t>WB05-INV02</t>
        </is>
      </c>
      <c r="C20" s="5" t="n">
        <v>900</v>
      </c>
      <c r="D20" s="34" t="n">
        <v>-80</v>
      </c>
      <c r="E20" s="18" t="n">
        <v>1180</v>
      </c>
      <c r="F20" s="18" t="n">
        <v>1180</v>
      </c>
      <c r="G20" s="18" t="n">
        <v>1180</v>
      </c>
      <c r="H20" s="18" t="n">
        <v>1180</v>
      </c>
      <c r="I20" s="32" t="n">
        <v>0</v>
      </c>
      <c r="J20" s="18" t="n">
        <v>1180</v>
      </c>
      <c r="K20" s="17" t="n">
        <v>12.9</v>
      </c>
      <c r="L20" s="17" t="n">
        <v>12.9</v>
      </c>
      <c r="M20" s="17" t="n">
        <v>12.9</v>
      </c>
      <c r="N20" s="17" t="n">
        <v>12.9</v>
      </c>
      <c r="O20" s="33" t="n">
        <v>0</v>
      </c>
      <c r="P20" s="17" t="n">
        <v>12.9</v>
      </c>
    </row>
    <row r="21">
      <c r="A21" s="16" t="n">
        <v>46156.51388888889</v>
      </c>
      <c r="B21" s="5" t="inlineStr">
        <is>
          <t>WB05-INV02</t>
        </is>
      </c>
      <c r="C21" s="5" t="n">
        <v>900</v>
      </c>
      <c r="D21" s="34" t="n">
        <v>-80</v>
      </c>
      <c r="E21" s="18" t="n">
        <v>1180</v>
      </c>
      <c r="F21" s="18" t="n">
        <v>1180</v>
      </c>
      <c r="G21" s="18" t="n">
        <v>1180</v>
      </c>
      <c r="H21" s="18" t="n">
        <v>1180</v>
      </c>
      <c r="I21" s="32" t="n">
        <v>0</v>
      </c>
      <c r="J21" s="18" t="n">
        <v>1180</v>
      </c>
      <c r="K21" s="17" t="n">
        <v>13.1</v>
      </c>
      <c r="L21" s="17" t="n">
        <v>13.1</v>
      </c>
      <c r="M21" s="17" t="n">
        <v>13.1</v>
      </c>
      <c r="N21" s="17" t="n">
        <v>13.1</v>
      </c>
      <c r="O21" s="33" t="n">
        <v>0</v>
      </c>
      <c r="P21" s="17" t="n">
        <v>13.1</v>
      </c>
    </row>
    <row r="22">
      <c r="A22" s="16" t="n">
        <v>46156.51736111111</v>
      </c>
      <c r="B22" s="5" t="inlineStr">
        <is>
          <t>WB05-INV02</t>
        </is>
      </c>
      <c r="C22" s="5" t="n">
        <v>900</v>
      </c>
      <c r="D22" s="34" t="n">
        <v>-80</v>
      </c>
      <c r="E22" s="18" t="n">
        <v>1180</v>
      </c>
      <c r="F22" s="18" t="n">
        <v>1180</v>
      </c>
      <c r="G22" s="18" t="n">
        <v>1180</v>
      </c>
      <c r="H22" s="18" t="n">
        <v>1180</v>
      </c>
      <c r="I22" s="32" t="n">
        <v>0</v>
      </c>
      <c r="J22" s="18" t="n">
        <v>1180</v>
      </c>
      <c r="K22" s="17" t="n">
        <v>12.9</v>
      </c>
      <c r="L22" s="17" t="n">
        <v>12.9</v>
      </c>
      <c r="M22" s="17" t="n">
        <v>12.9</v>
      </c>
      <c r="N22" s="17" t="n">
        <v>12.9</v>
      </c>
      <c r="O22" s="33" t="n">
        <v>0</v>
      </c>
      <c r="P22" s="17" t="n">
        <v>12.9</v>
      </c>
    </row>
    <row r="23">
      <c r="A23" s="16" t="n">
        <v>46156.25</v>
      </c>
      <c r="B23" s="5" t="inlineStr">
        <is>
          <t>WB05-INV03</t>
        </is>
      </c>
      <c r="C23" s="5" t="n">
        <v>100</v>
      </c>
      <c r="D23" s="18" t="n">
        <v>1</v>
      </c>
      <c r="E23" s="18" t="n">
        <v>1430</v>
      </c>
      <c r="F23" s="18" t="n">
        <v>1430</v>
      </c>
      <c r="G23" s="35" t="n">
        <v>1100</v>
      </c>
      <c r="H23" s="18" t="n">
        <v>1430</v>
      </c>
      <c r="I23" s="18" t="n">
        <v>1430</v>
      </c>
      <c r="J23" s="18" t="n">
        <v>1430</v>
      </c>
      <c r="K23" s="17" t="n">
        <v>0.2</v>
      </c>
      <c r="L23" s="17" t="n">
        <v>0.2</v>
      </c>
      <c r="M23" s="25" t="n">
        <v>0.2</v>
      </c>
      <c r="N23" s="17" t="n">
        <v>0.2</v>
      </c>
      <c r="O23" s="17" t="n">
        <v>0.2</v>
      </c>
      <c r="P23" s="17" t="n">
        <v>0.2</v>
      </c>
    </row>
    <row r="24">
      <c r="A24" s="16" t="n">
        <v>46156.25347222222</v>
      </c>
      <c r="B24" s="5" t="inlineStr">
        <is>
          <t>WB05-INV03</t>
        </is>
      </c>
      <c r="C24" s="5" t="n">
        <v>100</v>
      </c>
      <c r="D24" s="18" t="n">
        <v>1</v>
      </c>
      <c r="E24" s="18" t="n">
        <v>1430</v>
      </c>
      <c r="F24" s="18" t="n">
        <v>1430</v>
      </c>
      <c r="G24" s="35" t="n">
        <v>1100</v>
      </c>
      <c r="H24" s="18" t="n">
        <v>1430</v>
      </c>
      <c r="I24" s="18" t="n">
        <v>1430</v>
      </c>
      <c r="J24" s="18" t="n">
        <v>1430</v>
      </c>
      <c r="K24" s="17" t="n">
        <v>0.2</v>
      </c>
      <c r="L24" s="17" t="n">
        <v>0.2</v>
      </c>
      <c r="M24" s="25" t="n">
        <v>0.2</v>
      </c>
      <c r="N24" s="17" t="n">
        <v>0.2</v>
      </c>
      <c r="O24" s="17" t="n">
        <v>0.2</v>
      </c>
      <c r="P24" s="17" t="n">
        <v>0.2</v>
      </c>
    </row>
    <row r="25">
      <c r="A25" s="16" t="n">
        <v>46156.25694444445</v>
      </c>
      <c r="B25" s="5" t="inlineStr">
        <is>
          <t>WB05-INV03</t>
        </is>
      </c>
      <c r="C25" s="5" t="n">
        <v>100</v>
      </c>
      <c r="D25" s="18" t="n">
        <v>1</v>
      </c>
      <c r="E25" s="18" t="n">
        <v>1430</v>
      </c>
      <c r="F25" s="18" t="n">
        <v>1430</v>
      </c>
      <c r="G25" s="35" t="n">
        <v>1100</v>
      </c>
      <c r="H25" s="18" t="n">
        <v>1430</v>
      </c>
      <c r="I25" s="18" t="n">
        <v>1430</v>
      </c>
      <c r="J25" s="18" t="n">
        <v>1430</v>
      </c>
      <c r="K25" s="17" t="n">
        <v>0.2</v>
      </c>
      <c r="L25" s="17" t="n">
        <v>0.2</v>
      </c>
      <c r="M25" s="25" t="n">
        <v>0.2</v>
      </c>
      <c r="N25" s="17" t="n">
        <v>0.2</v>
      </c>
      <c r="O25" s="17" t="n">
        <v>0.2</v>
      </c>
      <c r="P25" s="17" t="n">
        <v>0.2</v>
      </c>
    </row>
    <row r="26">
      <c r="A26" s="16" t="n">
        <v>46156.5</v>
      </c>
      <c r="B26" s="5" t="inlineStr">
        <is>
          <t>WB05-INV03</t>
        </is>
      </c>
      <c r="C26" s="5" t="n">
        <v>900</v>
      </c>
      <c r="D26" s="18" t="n">
        <v>1</v>
      </c>
      <c r="E26" s="18" t="n">
        <v>1180</v>
      </c>
      <c r="F26" s="18" t="n">
        <v>1180</v>
      </c>
      <c r="G26" s="35" t="n">
        <v>1100</v>
      </c>
      <c r="H26" s="18" t="n">
        <v>1180</v>
      </c>
      <c r="I26" s="18" t="n">
        <v>1180</v>
      </c>
      <c r="J26" s="18" t="n">
        <v>1180</v>
      </c>
      <c r="K26" s="17" t="n">
        <v>13.1</v>
      </c>
      <c r="L26" s="17" t="n">
        <v>13.1</v>
      </c>
      <c r="M26" s="25" t="n">
        <v>14.3</v>
      </c>
      <c r="N26" s="17" t="n">
        <v>13.1</v>
      </c>
      <c r="O26" s="17" t="n">
        <v>13.1</v>
      </c>
      <c r="P26" s="17" t="n">
        <v>13.1</v>
      </c>
    </row>
    <row r="27">
      <c r="A27" s="16" t="n">
        <v>46156.50347222222</v>
      </c>
      <c r="B27" s="5" t="inlineStr">
        <is>
          <t>WB05-INV03</t>
        </is>
      </c>
      <c r="C27" s="5" t="n">
        <v>900</v>
      </c>
      <c r="D27" s="18" t="n">
        <v>1</v>
      </c>
      <c r="E27" s="18" t="n">
        <v>1180</v>
      </c>
      <c r="F27" s="18" t="n">
        <v>1180</v>
      </c>
      <c r="G27" s="35" t="n">
        <v>1100</v>
      </c>
      <c r="H27" s="18" t="n">
        <v>1180</v>
      </c>
      <c r="I27" s="18" t="n">
        <v>1180</v>
      </c>
      <c r="J27" s="18" t="n">
        <v>1180</v>
      </c>
      <c r="K27" s="17" t="n">
        <v>12.9</v>
      </c>
      <c r="L27" s="17" t="n">
        <v>12.9</v>
      </c>
      <c r="M27" s="25" t="n">
        <v>14.1</v>
      </c>
      <c r="N27" s="17" t="n">
        <v>12.9</v>
      </c>
      <c r="O27" s="17" t="n">
        <v>12.9</v>
      </c>
      <c r="P27" s="17" t="n">
        <v>12.9</v>
      </c>
    </row>
    <row r="28">
      <c r="A28" s="16" t="n">
        <v>46156.50694444445</v>
      </c>
      <c r="B28" s="5" t="inlineStr">
        <is>
          <t>WB05-INV03</t>
        </is>
      </c>
      <c r="C28" s="5" t="n">
        <v>900</v>
      </c>
      <c r="D28" s="18" t="n">
        <v>1</v>
      </c>
      <c r="E28" s="18" t="n">
        <v>1180</v>
      </c>
      <c r="F28" s="18" t="n">
        <v>1180</v>
      </c>
      <c r="G28" s="35" t="n">
        <v>1100</v>
      </c>
      <c r="H28" s="18" t="n">
        <v>1180</v>
      </c>
      <c r="I28" s="18" t="n">
        <v>1180</v>
      </c>
      <c r="J28" s="18" t="n">
        <v>1180</v>
      </c>
      <c r="K28" s="17" t="n">
        <v>13.1</v>
      </c>
      <c r="L28" s="17" t="n">
        <v>13.1</v>
      </c>
      <c r="M28" s="25" t="n">
        <v>14.3</v>
      </c>
      <c r="N28" s="17" t="n">
        <v>13.1</v>
      </c>
      <c r="O28" s="17" t="n">
        <v>13.1</v>
      </c>
      <c r="P28" s="17" t="n">
        <v>13.1</v>
      </c>
    </row>
    <row r="29">
      <c r="A29" s="16" t="n">
        <v>46156.51041666666</v>
      </c>
      <c r="B29" s="5" t="inlineStr">
        <is>
          <t>WB05-INV03</t>
        </is>
      </c>
      <c r="C29" s="5" t="n">
        <v>900</v>
      </c>
      <c r="D29" s="18" t="n">
        <v>1</v>
      </c>
      <c r="E29" s="18" t="n">
        <v>1180</v>
      </c>
      <c r="F29" s="18" t="n">
        <v>1180</v>
      </c>
      <c r="G29" s="35" t="n">
        <v>1100</v>
      </c>
      <c r="H29" s="18" t="n">
        <v>1180</v>
      </c>
      <c r="I29" s="18" t="n">
        <v>1180</v>
      </c>
      <c r="J29" s="18" t="n">
        <v>1180</v>
      </c>
      <c r="K29" s="17" t="n">
        <v>12.9</v>
      </c>
      <c r="L29" s="17" t="n">
        <v>12.9</v>
      </c>
      <c r="M29" s="25" t="n">
        <v>14.1</v>
      </c>
      <c r="N29" s="17" t="n">
        <v>12.9</v>
      </c>
      <c r="O29" s="17" t="n">
        <v>12.9</v>
      </c>
      <c r="P29" s="17" t="n">
        <v>12.9</v>
      </c>
    </row>
    <row r="30">
      <c r="A30" s="16" t="n">
        <v>46156.51388888889</v>
      </c>
      <c r="B30" s="5" t="inlineStr">
        <is>
          <t>WB05-INV03</t>
        </is>
      </c>
      <c r="C30" s="5" t="n">
        <v>900</v>
      </c>
      <c r="D30" s="18" t="n">
        <v>1</v>
      </c>
      <c r="E30" s="18" t="n">
        <v>1180</v>
      </c>
      <c r="F30" s="18" t="n">
        <v>1180</v>
      </c>
      <c r="G30" s="35" t="n">
        <v>1100</v>
      </c>
      <c r="H30" s="18" t="n">
        <v>1180</v>
      </c>
      <c r="I30" s="18" t="n">
        <v>1180</v>
      </c>
      <c r="J30" s="18" t="n">
        <v>1180</v>
      </c>
      <c r="K30" s="17" t="n">
        <v>13.1</v>
      </c>
      <c r="L30" s="17" t="n">
        <v>13.1</v>
      </c>
      <c r="M30" s="25" t="n">
        <v>14.3</v>
      </c>
      <c r="N30" s="17" t="n">
        <v>13.1</v>
      </c>
      <c r="O30" s="17" t="n">
        <v>13.1</v>
      </c>
      <c r="P30" s="17" t="n">
        <v>13.1</v>
      </c>
    </row>
    <row r="31">
      <c r="A31" s="16" t="n">
        <v>46156.51736111111</v>
      </c>
      <c r="B31" s="5" t="inlineStr">
        <is>
          <t>WB05-INV03</t>
        </is>
      </c>
      <c r="C31" s="5" t="n">
        <v>900</v>
      </c>
      <c r="D31" s="18" t="n">
        <v>1</v>
      </c>
      <c r="E31" s="18" t="n">
        <v>1180</v>
      </c>
      <c r="F31" s="18" t="n">
        <v>1180</v>
      </c>
      <c r="G31" s="35" t="n">
        <v>1100</v>
      </c>
      <c r="H31" s="18" t="n">
        <v>1180</v>
      </c>
      <c r="I31" s="18" t="n">
        <v>1180</v>
      </c>
      <c r="J31" s="18" t="n">
        <v>1180</v>
      </c>
      <c r="K31" s="17" t="n">
        <v>12.9</v>
      </c>
      <c r="L31" s="17" t="n">
        <v>12.9</v>
      </c>
      <c r="M31" s="25" t="n">
        <v>14.1</v>
      </c>
      <c r="N31" s="17" t="n">
        <v>12.9</v>
      </c>
      <c r="O31" s="17" t="n">
        <v>12.9</v>
      </c>
      <c r="P31" s="17" t="n">
        <v>12.9</v>
      </c>
    </row>
    <row r="32">
      <c r="A32" s="16" t="n">
        <v>46156.25</v>
      </c>
      <c r="B32" s="5" t="inlineStr">
        <is>
          <t>WB05-INV04</t>
        </is>
      </c>
      <c r="C32" s="5" t="n">
        <v>100</v>
      </c>
      <c r="D32" s="34" t="n">
        <v>-90</v>
      </c>
      <c r="E32" s="18" t="n">
        <v>1430</v>
      </c>
      <c r="F32" s="18" t="n">
        <v>1430</v>
      </c>
      <c r="G32" s="35" t="n">
        <v>1100</v>
      </c>
      <c r="H32" s="18" t="n">
        <v>1430</v>
      </c>
      <c r="I32" s="18" t="n">
        <v>1430</v>
      </c>
      <c r="J32" s="18" t="n">
        <v>1430</v>
      </c>
      <c r="K32" s="17" t="n">
        <v>0.2</v>
      </c>
      <c r="L32" s="17" t="n">
        <v>0.2</v>
      </c>
      <c r="M32" s="25" t="n">
        <v>0.2</v>
      </c>
      <c r="N32" s="17" t="n">
        <v>0.2</v>
      </c>
      <c r="O32" s="17" t="n">
        <v>0.2</v>
      </c>
      <c r="P32" s="17" t="n">
        <v>0.2</v>
      </c>
    </row>
    <row r="33">
      <c r="A33" s="16" t="n">
        <v>46156.25347222222</v>
      </c>
      <c r="B33" s="5" t="inlineStr">
        <is>
          <t>WB05-INV04</t>
        </is>
      </c>
      <c r="C33" s="5" t="n">
        <v>100</v>
      </c>
      <c r="D33" s="34" t="n">
        <v>-90</v>
      </c>
      <c r="E33" s="18" t="n">
        <v>1430</v>
      </c>
      <c r="F33" s="18" t="n">
        <v>1430</v>
      </c>
      <c r="G33" s="35" t="n">
        <v>1100</v>
      </c>
      <c r="H33" s="18" t="n">
        <v>1430</v>
      </c>
      <c r="I33" s="18" t="n">
        <v>1430</v>
      </c>
      <c r="J33" s="18" t="n">
        <v>1430</v>
      </c>
      <c r="K33" s="17" t="n">
        <v>0.2</v>
      </c>
      <c r="L33" s="17" t="n">
        <v>0.2</v>
      </c>
      <c r="M33" s="25" t="n">
        <v>0.2</v>
      </c>
      <c r="N33" s="17" t="n">
        <v>0.2</v>
      </c>
      <c r="O33" s="17" t="n">
        <v>0.2</v>
      </c>
      <c r="P33" s="17" t="n">
        <v>0.2</v>
      </c>
    </row>
    <row r="34">
      <c r="A34" s="16" t="n">
        <v>46156.25694444445</v>
      </c>
      <c r="B34" s="5" t="inlineStr">
        <is>
          <t>WB05-INV04</t>
        </is>
      </c>
      <c r="C34" s="5" t="n">
        <v>100</v>
      </c>
      <c r="D34" s="34" t="n">
        <v>-90</v>
      </c>
      <c r="E34" s="18" t="n">
        <v>1430</v>
      </c>
      <c r="F34" s="18" t="n">
        <v>1430</v>
      </c>
      <c r="G34" s="35" t="n">
        <v>1100</v>
      </c>
      <c r="H34" s="18" t="n">
        <v>1430</v>
      </c>
      <c r="I34" s="18" t="n">
        <v>1430</v>
      </c>
      <c r="J34" s="18" t="n">
        <v>1430</v>
      </c>
      <c r="K34" s="17" t="n">
        <v>0.2</v>
      </c>
      <c r="L34" s="17" t="n">
        <v>0.2</v>
      </c>
      <c r="M34" s="25" t="n">
        <v>0.2</v>
      </c>
      <c r="N34" s="17" t="n">
        <v>0.2</v>
      </c>
      <c r="O34" s="17" t="n">
        <v>0.2</v>
      </c>
      <c r="P34" s="17" t="n">
        <v>0.2</v>
      </c>
    </row>
    <row r="35">
      <c r="A35" s="16" t="n">
        <v>46156.5</v>
      </c>
      <c r="B35" s="5" t="inlineStr">
        <is>
          <t>WB05-INV04</t>
        </is>
      </c>
      <c r="C35" s="5" t="n">
        <v>900</v>
      </c>
      <c r="D35" s="34" t="n">
        <v>-90</v>
      </c>
      <c r="E35" s="18" t="n">
        <v>1180</v>
      </c>
      <c r="F35" s="18" t="n">
        <v>1180</v>
      </c>
      <c r="G35" s="35" t="n">
        <v>1100</v>
      </c>
      <c r="H35" s="18" t="n">
        <v>1180</v>
      </c>
      <c r="I35" s="18" t="n">
        <v>1180</v>
      </c>
      <c r="J35" s="18" t="n">
        <v>1180</v>
      </c>
      <c r="K35" s="17" t="n">
        <v>13.1</v>
      </c>
      <c r="L35" s="17" t="n">
        <v>13.1</v>
      </c>
      <c r="M35" s="25" t="n">
        <v>14.3</v>
      </c>
      <c r="N35" s="17" t="n">
        <v>13.1</v>
      </c>
      <c r="O35" s="17" t="n">
        <v>13.1</v>
      </c>
      <c r="P35" s="17" t="n">
        <v>13.1</v>
      </c>
    </row>
    <row r="36">
      <c r="A36" s="16" t="n">
        <v>46156.50347222222</v>
      </c>
      <c r="B36" s="5" t="inlineStr">
        <is>
          <t>WB05-INV04</t>
        </is>
      </c>
      <c r="C36" s="5" t="n">
        <v>900</v>
      </c>
      <c r="D36" s="34" t="n">
        <v>-90</v>
      </c>
      <c r="E36" s="18" t="n">
        <v>1180</v>
      </c>
      <c r="F36" s="18" t="n">
        <v>1180</v>
      </c>
      <c r="G36" s="35" t="n">
        <v>1100</v>
      </c>
      <c r="H36" s="18" t="n">
        <v>1180</v>
      </c>
      <c r="I36" s="18" t="n">
        <v>1180</v>
      </c>
      <c r="J36" s="18" t="n">
        <v>1180</v>
      </c>
      <c r="K36" s="17" t="n">
        <v>12.9</v>
      </c>
      <c r="L36" s="17" t="n">
        <v>12.9</v>
      </c>
      <c r="M36" s="25" t="n">
        <v>14.1</v>
      </c>
      <c r="N36" s="17" t="n">
        <v>12.9</v>
      </c>
      <c r="O36" s="17" t="n">
        <v>12.9</v>
      </c>
      <c r="P36" s="17" t="n">
        <v>12.9</v>
      </c>
    </row>
    <row r="37">
      <c r="A37" s="16" t="n">
        <v>46156.50694444445</v>
      </c>
      <c r="B37" s="5" t="inlineStr">
        <is>
          <t>WB05-INV04</t>
        </is>
      </c>
      <c r="C37" s="5" t="n">
        <v>900</v>
      </c>
      <c r="D37" s="34" t="n">
        <v>-90</v>
      </c>
      <c r="E37" s="18" t="n">
        <v>1180</v>
      </c>
      <c r="F37" s="18" t="n">
        <v>1180</v>
      </c>
      <c r="G37" s="35" t="n">
        <v>1100</v>
      </c>
      <c r="H37" s="18" t="n">
        <v>1180</v>
      </c>
      <c r="I37" s="18" t="n">
        <v>1180</v>
      </c>
      <c r="J37" s="18" t="n">
        <v>1180</v>
      </c>
      <c r="K37" s="17" t="n">
        <v>13.1</v>
      </c>
      <c r="L37" s="17" t="n">
        <v>13.1</v>
      </c>
      <c r="M37" s="25" t="n">
        <v>14.3</v>
      </c>
      <c r="N37" s="17" t="n">
        <v>13.1</v>
      </c>
      <c r="O37" s="17" t="n">
        <v>13.1</v>
      </c>
      <c r="P37" s="17" t="n">
        <v>13.1</v>
      </c>
    </row>
    <row r="38">
      <c r="A38" s="16" t="n">
        <v>46156.51041666666</v>
      </c>
      <c r="B38" s="5" t="inlineStr">
        <is>
          <t>WB05-INV04</t>
        </is>
      </c>
      <c r="C38" s="5" t="n">
        <v>900</v>
      </c>
      <c r="D38" s="34" t="n">
        <v>-90</v>
      </c>
      <c r="E38" s="18" t="n">
        <v>1180</v>
      </c>
      <c r="F38" s="18" t="n">
        <v>1180</v>
      </c>
      <c r="G38" s="35" t="n">
        <v>1100</v>
      </c>
      <c r="H38" s="18" t="n">
        <v>1180</v>
      </c>
      <c r="I38" s="18" t="n">
        <v>1180</v>
      </c>
      <c r="J38" s="18" t="n">
        <v>1180</v>
      </c>
      <c r="K38" s="17" t="n">
        <v>12.9</v>
      </c>
      <c r="L38" s="17" t="n">
        <v>12.9</v>
      </c>
      <c r="M38" s="25" t="n">
        <v>14.1</v>
      </c>
      <c r="N38" s="17" t="n">
        <v>12.9</v>
      </c>
      <c r="O38" s="17" t="n">
        <v>12.9</v>
      </c>
      <c r="P38" s="17" t="n">
        <v>12.9</v>
      </c>
    </row>
    <row r="39">
      <c r="A39" s="16" t="n">
        <v>46156.51388888889</v>
      </c>
      <c r="B39" s="5" t="inlineStr">
        <is>
          <t>WB05-INV04</t>
        </is>
      </c>
      <c r="C39" s="5" t="n">
        <v>900</v>
      </c>
      <c r="D39" s="34" t="n">
        <v>-90</v>
      </c>
      <c r="E39" s="18" t="n">
        <v>1180</v>
      </c>
      <c r="F39" s="18" t="n">
        <v>1180</v>
      </c>
      <c r="G39" s="35" t="n">
        <v>1100</v>
      </c>
      <c r="H39" s="18" t="n">
        <v>1180</v>
      </c>
      <c r="I39" s="18" t="n">
        <v>1180</v>
      </c>
      <c r="J39" s="18" t="n">
        <v>1180</v>
      </c>
      <c r="K39" s="17" t="n">
        <v>13.1</v>
      </c>
      <c r="L39" s="17" t="n">
        <v>13.1</v>
      </c>
      <c r="M39" s="25" t="n">
        <v>14.3</v>
      </c>
      <c r="N39" s="17" t="n">
        <v>13.1</v>
      </c>
      <c r="O39" s="17" t="n">
        <v>13.1</v>
      </c>
      <c r="P39" s="17" t="n">
        <v>13.1</v>
      </c>
    </row>
    <row r="40">
      <c r="A40" s="16" t="n">
        <v>46156.51736111111</v>
      </c>
      <c r="B40" s="5" t="inlineStr">
        <is>
          <t>WB05-INV04</t>
        </is>
      </c>
      <c r="C40" s="5" t="n">
        <v>900</v>
      </c>
      <c r="D40" s="34" t="n">
        <v>-90</v>
      </c>
      <c r="E40" s="18" t="n">
        <v>1180</v>
      </c>
      <c r="F40" s="18" t="n">
        <v>1180</v>
      </c>
      <c r="G40" s="35" t="n">
        <v>1100</v>
      </c>
      <c r="H40" s="18" t="n">
        <v>1180</v>
      </c>
      <c r="I40" s="18" t="n">
        <v>1180</v>
      </c>
      <c r="J40" s="18" t="n">
        <v>1180</v>
      </c>
      <c r="K40" s="17" t="n">
        <v>12.9</v>
      </c>
      <c r="L40" s="17" t="n">
        <v>12.9</v>
      </c>
      <c r="M40" s="25" t="n">
        <v>14.1</v>
      </c>
      <c r="N40" s="17" t="n">
        <v>12.9</v>
      </c>
      <c r="O40" s="17" t="n">
        <v>12.9</v>
      </c>
      <c r="P40" s="17" t="n">
        <v>12.9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</cols>
  <sheetData>
    <row r="1">
      <c r="A1" s="23" t="inlineStr">
        <is>
          <t>Helpers_GF — jembatan ground_fault.py (per-row)</t>
        </is>
      </c>
    </row>
    <row r="2">
      <c r="A2" s="24" t="inlineStr">
        <is>
          <t>daylight = (POA&gt;thr &amp; POA&gt;floor). voc_cand = IF(|I|&lt;0.5 &amp; V&gt;10, V, '') → Voc estimator (median nanti). peer_med_I PVk = MEDIAN arus 5 string LAIN (per baris). abs_Vgnd = |V_to_ground|.</t>
        </is>
      </c>
    </row>
    <row r="3">
      <c r="A3" s="24" t="inlineStr">
        <is>
          <t>Production AND solar_elev&gt;5° &amp; inverter-shutdown (ephemeris, tak direplika statis); di sini daylight = baris noon.</t>
        </is>
      </c>
    </row>
    <row r="4">
      <c r="A4" s="10" t="inlineStr">
        <is>
          <t>Inverter_ID</t>
        </is>
      </c>
      <c r="B4" s="10" t="inlineStr">
        <is>
          <t>Start Time</t>
        </is>
      </c>
      <c r="C4" s="10" t="inlineStr">
        <is>
          <t>POA</t>
        </is>
      </c>
      <c r="D4" s="10" t="inlineStr">
        <is>
          <t>daylight</t>
        </is>
      </c>
      <c r="E4" s="10" t="inlineStr">
        <is>
          <t>V_gnd</t>
        </is>
      </c>
      <c r="F4" s="10" t="inlineStr">
        <is>
          <t>voc_cand PV1</t>
        </is>
      </c>
      <c r="G4" s="10" t="inlineStr">
        <is>
          <t>voc_cand PV2</t>
        </is>
      </c>
      <c r="H4" s="10" t="inlineStr">
        <is>
          <t>voc_cand PV3</t>
        </is>
      </c>
      <c r="I4" s="10" t="inlineStr">
        <is>
          <t>voc_cand PV4</t>
        </is>
      </c>
      <c r="J4" s="10" t="inlineStr">
        <is>
          <t>voc_cand PV5</t>
        </is>
      </c>
      <c r="K4" s="10" t="inlineStr">
        <is>
          <t>voc_cand PV6</t>
        </is>
      </c>
      <c r="L4" s="10" t="inlineStr">
        <is>
          <t>peer_med_I PV1</t>
        </is>
      </c>
      <c r="M4" s="10" t="inlineStr">
        <is>
          <t>peer_med_I PV2</t>
        </is>
      </c>
      <c r="N4" s="10" t="inlineStr">
        <is>
          <t>peer_med_I PV3</t>
        </is>
      </c>
      <c r="O4" s="10" t="inlineStr">
        <is>
          <t>peer_med_I PV4</t>
        </is>
      </c>
      <c r="P4" s="10" t="inlineStr">
        <is>
          <t>peer_med_I PV5</t>
        </is>
      </c>
      <c r="Q4" s="10" t="inlineStr">
        <is>
          <t>peer_med_I PV6</t>
        </is>
      </c>
      <c r="R4" s="10" t="inlineStr">
        <is>
          <t>abs_Vgnd</t>
        </is>
      </c>
    </row>
    <row r="5">
      <c r="A5" s="5">
        <f>Raw_Data_GF!B5</f>
        <v/>
      </c>
      <c r="B5" s="16">
        <f>Raw_Data_GF!A5</f>
        <v/>
      </c>
      <c r="C5" s="27">
        <f>Raw_Data_GF!C5</f>
        <v/>
      </c>
      <c r="D5" s="5">
        <f>IF(AND(C5&gt;cfg_gf_poa_threshold_wm2,C5&gt;cfg_gf_poa_floor_wm2),1,0)</f>
        <v/>
      </c>
      <c r="E5" s="18">
        <f>Raw_Data_GF!D5</f>
        <v/>
      </c>
      <c r="F5" s="18">
        <f>IF(AND(ABS(Raw_Data_GF!K5)&lt;cfg_i_threshold_a,Raw_Data_GF!E5&gt;cfg_min_voc_v),Raw_Data_GF!E5,"")</f>
        <v/>
      </c>
      <c r="G5" s="18">
        <f>IF(AND(ABS(Raw_Data_GF!L5)&lt;cfg_i_threshold_a,Raw_Data_GF!F5&gt;cfg_min_voc_v),Raw_Data_GF!F5,"")</f>
        <v/>
      </c>
      <c r="H5" s="18">
        <f>IF(AND(ABS(Raw_Data_GF!M5)&lt;cfg_i_threshold_a,Raw_Data_GF!G5&gt;cfg_min_voc_v),Raw_Data_GF!G5,"")</f>
        <v/>
      </c>
      <c r="I5" s="18">
        <f>IF(AND(ABS(Raw_Data_GF!N5)&lt;cfg_i_threshold_a,Raw_Data_GF!H5&gt;cfg_min_voc_v),Raw_Data_GF!H5,"")</f>
        <v/>
      </c>
      <c r="J5" s="18">
        <f>IF(AND(ABS(Raw_Data_GF!O5)&lt;cfg_i_threshold_a,Raw_Data_GF!I5&gt;cfg_min_voc_v),Raw_Data_GF!I5,"")</f>
        <v/>
      </c>
      <c r="K5" s="18">
        <f>IF(AND(ABS(Raw_Data_GF!P5)&lt;cfg_i_threshold_a,Raw_Data_GF!J5&gt;cfg_min_voc_v),Raw_Data_GF!J5,"")</f>
        <v/>
      </c>
      <c r="L5" s="17">
        <f>MEDIAN(Raw_Data_GF!L5,Raw_Data_GF!M5,Raw_Data_GF!N5,Raw_Data_GF!O5,Raw_Data_GF!P5)</f>
        <v/>
      </c>
      <c r="M5" s="17">
        <f>MEDIAN(Raw_Data_GF!K5,Raw_Data_GF!M5,Raw_Data_GF!N5,Raw_Data_GF!O5,Raw_Data_GF!P5)</f>
        <v/>
      </c>
      <c r="N5" s="17">
        <f>MEDIAN(Raw_Data_GF!K5,Raw_Data_GF!L5,Raw_Data_GF!N5,Raw_Data_GF!O5,Raw_Data_GF!P5)</f>
        <v/>
      </c>
      <c r="O5" s="17">
        <f>MEDIAN(Raw_Data_GF!K5,Raw_Data_GF!L5,Raw_Data_GF!M5,Raw_Data_GF!O5,Raw_Data_GF!P5)</f>
        <v/>
      </c>
      <c r="P5" s="17">
        <f>MEDIAN(Raw_Data_GF!K5,Raw_Data_GF!L5,Raw_Data_GF!M5,Raw_Data_GF!N5,Raw_Data_GF!P5)</f>
        <v/>
      </c>
      <c r="Q5" s="17">
        <f>MEDIAN(Raw_Data_GF!K5,Raw_Data_GF!L5,Raw_Data_GF!M5,Raw_Data_GF!N5,Raw_Data_GF!O5)</f>
        <v/>
      </c>
      <c r="R5" s="18">
        <f>ABS(E5)</f>
        <v/>
      </c>
    </row>
    <row r="6">
      <c r="A6" s="5">
        <f>Raw_Data_GF!B6</f>
        <v/>
      </c>
      <c r="B6" s="16">
        <f>Raw_Data_GF!A6</f>
        <v/>
      </c>
      <c r="C6" s="27">
        <f>Raw_Data_GF!C6</f>
        <v/>
      </c>
      <c r="D6" s="5">
        <f>IF(AND(C6&gt;cfg_gf_poa_threshold_wm2,C6&gt;cfg_gf_poa_floor_wm2),1,0)</f>
        <v/>
      </c>
      <c r="E6" s="18">
        <f>Raw_Data_GF!D6</f>
        <v/>
      </c>
      <c r="F6" s="18">
        <f>IF(AND(ABS(Raw_Data_GF!K6)&lt;cfg_i_threshold_a,Raw_Data_GF!E6&gt;cfg_min_voc_v),Raw_Data_GF!E6,"")</f>
        <v/>
      </c>
      <c r="G6" s="18">
        <f>IF(AND(ABS(Raw_Data_GF!L6)&lt;cfg_i_threshold_a,Raw_Data_GF!F6&gt;cfg_min_voc_v),Raw_Data_GF!F6,"")</f>
        <v/>
      </c>
      <c r="H6" s="18">
        <f>IF(AND(ABS(Raw_Data_GF!M6)&lt;cfg_i_threshold_a,Raw_Data_GF!G6&gt;cfg_min_voc_v),Raw_Data_GF!G6,"")</f>
        <v/>
      </c>
      <c r="I6" s="18">
        <f>IF(AND(ABS(Raw_Data_GF!N6)&lt;cfg_i_threshold_a,Raw_Data_GF!H6&gt;cfg_min_voc_v),Raw_Data_GF!H6,"")</f>
        <v/>
      </c>
      <c r="J6" s="18">
        <f>IF(AND(ABS(Raw_Data_GF!O6)&lt;cfg_i_threshold_a,Raw_Data_GF!I6&gt;cfg_min_voc_v),Raw_Data_GF!I6,"")</f>
        <v/>
      </c>
      <c r="K6" s="18">
        <f>IF(AND(ABS(Raw_Data_GF!P6)&lt;cfg_i_threshold_a,Raw_Data_GF!J6&gt;cfg_min_voc_v),Raw_Data_GF!J6,"")</f>
        <v/>
      </c>
      <c r="L6" s="17">
        <f>MEDIAN(Raw_Data_GF!L6,Raw_Data_GF!M6,Raw_Data_GF!N6,Raw_Data_GF!O6,Raw_Data_GF!P6)</f>
        <v/>
      </c>
      <c r="M6" s="17">
        <f>MEDIAN(Raw_Data_GF!K6,Raw_Data_GF!M6,Raw_Data_GF!N6,Raw_Data_GF!O6,Raw_Data_GF!P6)</f>
        <v/>
      </c>
      <c r="N6" s="17">
        <f>MEDIAN(Raw_Data_GF!K6,Raw_Data_GF!L6,Raw_Data_GF!N6,Raw_Data_GF!O6,Raw_Data_GF!P6)</f>
        <v/>
      </c>
      <c r="O6" s="17">
        <f>MEDIAN(Raw_Data_GF!K6,Raw_Data_GF!L6,Raw_Data_GF!M6,Raw_Data_GF!O6,Raw_Data_GF!P6)</f>
        <v/>
      </c>
      <c r="P6" s="17">
        <f>MEDIAN(Raw_Data_GF!K6,Raw_Data_GF!L6,Raw_Data_GF!M6,Raw_Data_GF!N6,Raw_Data_GF!P6)</f>
        <v/>
      </c>
      <c r="Q6" s="17">
        <f>MEDIAN(Raw_Data_GF!K6,Raw_Data_GF!L6,Raw_Data_GF!M6,Raw_Data_GF!N6,Raw_Data_GF!O6)</f>
        <v/>
      </c>
      <c r="R6" s="18">
        <f>ABS(E6)</f>
        <v/>
      </c>
    </row>
    <row r="7">
      <c r="A7" s="5">
        <f>Raw_Data_GF!B7</f>
        <v/>
      </c>
      <c r="B7" s="16">
        <f>Raw_Data_GF!A7</f>
        <v/>
      </c>
      <c r="C7" s="27">
        <f>Raw_Data_GF!C7</f>
        <v/>
      </c>
      <c r="D7" s="5">
        <f>IF(AND(C7&gt;cfg_gf_poa_threshold_wm2,C7&gt;cfg_gf_poa_floor_wm2),1,0)</f>
        <v/>
      </c>
      <c r="E7" s="18">
        <f>Raw_Data_GF!D7</f>
        <v/>
      </c>
      <c r="F7" s="18">
        <f>IF(AND(ABS(Raw_Data_GF!K7)&lt;cfg_i_threshold_a,Raw_Data_GF!E7&gt;cfg_min_voc_v),Raw_Data_GF!E7,"")</f>
        <v/>
      </c>
      <c r="G7" s="18">
        <f>IF(AND(ABS(Raw_Data_GF!L7)&lt;cfg_i_threshold_a,Raw_Data_GF!F7&gt;cfg_min_voc_v),Raw_Data_GF!F7,"")</f>
        <v/>
      </c>
      <c r="H7" s="18">
        <f>IF(AND(ABS(Raw_Data_GF!M7)&lt;cfg_i_threshold_a,Raw_Data_GF!G7&gt;cfg_min_voc_v),Raw_Data_GF!G7,"")</f>
        <v/>
      </c>
      <c r="I7" s="18">
        <f>IF(AND(ABS(Raw_Data_GF!N7)&lt;cfg_i_threshold_a,Raw_Data_GF!H7&gt;cfg_min_voc_v),Raw_Data_GF!H7,"")</f>
        <v/>
      </c>
      <c r="J7" s="18">
        <f>IF(AND(ABS(Raw_Data_GF!O7)&lt;cfg_i_threshold_a,Raw_Data_GF!I7&gt;cfg_min_voc_v),Raw_Data_GF!I7,"")</f>
        <v/>
      </c>
      <c r="K7" s="18">
        <f>IF(AND(ABS(Raw_Data_GF!P7)&lt;cfg_i_threshold_a,Raw_Data_GF!J7&gt;cfg_min_voc_v),Raw_Data_GF!J7,"")</f>
        <v/>
      </c>
      <c r="L7" s="17">
        <f>MEDIAN(Raw_Data_GF!L7,Raw_Data_GF!M7,Raw_Data_GF!N7,Raw_Data_GF!O7,Raw_Data_GF!P7)</f>
        <v/>
      </c>
      <c r="M7" s="17">
        <f>MEDIAN(Raw_Data_GF!K7,Raw_Data_GF!M7,Raw_Data_GF!N7,Raw_Data_GF!O7,Raw_Data_GF!P7)</f>
        <v/>
      </c>
      <c r="N7" s="17">
        <f>MEDIAN(Raw_Data_GF!K7,Raw_Data_GF!L7,Raw_Data_GF!N7,Raw_Data_GF!O7,Raw_Data_GF!P7)</f>
        <v/>
      </c>
      <c r="O7" s="17">
        <f>MEDIAN(Raw_Data_GF!K7,Raw_Data_GF!L7,Raw_Data_GF!M7,Raw_Data_GF!O7,Raw_Data_GF!P7)</f>
        <v/>
      </c>
      <c r="P7" s="17">
        <f>MEDIAN(Raw_Data_GF!K7,Raw_Data_GF!L7,Raw_Data_GF!M7,Raw_Data_GF!N7,Raw_Data_GF!P7)</f>
        <v/>
      </c>
      <c r="Q7" s="17">
        <f>MEDIAN(Raw_Data_GF!K7,Raw_Data_GF!L7,Raw_Data_GF!M7,Raw_Data_GF!N7,Raw_Data_GF!O7)</f>
        <v/>
      </c>
      <c r="R7" s="18">
        <f>ABS(E7)</f>
        <v/>
      </c>
    </row>
    <row r="8">
      <c r="A8" s="5">
        <f>Raw_Data_GF!B8</f>
        <v/>
      </c>
      <c r="B8" s="16">
        <f>Raw_Data_GF!A8</f>
        <v/>
      </c>
      <c r="C8" s="27">
        <f>Raw_Data_GF!C8</f>
        <v/>
      </c>
      <c r="D8" s="5">
        <f>IF(AND(C8&gt;cfg_gf_poa_threshold_wm2,C8&gt;cfg_gf_poa_floor_wm2),1,0)</f>
        <v/>
      </c>
      <c r="E8" s="18">
        <f>Raw_Data_GF!D8</f>
        <v/>
      </c>
      <c r="F8" s="18">
        <f>IF(AND(ABS(Raw_Data_GF!K8)&lt;cfg_i_threshold_a,Raw_Data_GF!E8&gt;cfg_min_voc_v),Raw_Data_GF!E8,"")</f>
        <v/>
      </c>
      <c r="G8" s="18">
        <f>IF(AND(ABS(Raw_Data_GF!L8)&lt;cfg_i_threshold_a,Raw_Data_GF!F8&gt;cfg_min_voc_v),Raw_Data_GF!F8,"")</f>
        <v/>
      </c>
      <c r="H8" s="18">
        <f>IF(AND(ABS(Raw_Data_GF!M8)&lt;cfg_i_threshold_a,Raw_Data_GF!G8&gt;cfg_min_voc_v),Raw_Data_GF!G8,"")</f>
        <v/>
      </c>
      <c r="I8" s="18">
        <f>IF(AND(ABS(Raw_Data_GF!N8)&lt;cfg_i_threshold_a,Raw_Data_GF!H8&gt;cfg_min_voc_v),Raw_Data_GF!H8,"")</f>
        <v/>
      </c>
      <c r="J8" s="18">
        <f>IF(AND(ABS(Raw_Data_GF!O8)&lt;cfg_i_threshold_a,Raw_Data_GF!I8&gt;cfg_min_voc_v),Raw_Data_GF!I8,"")</f>
        <v/>
      </c>
      <c r="K8" s="18">
        <f>IF(AND(ABS(Raw_Data_GF!P8)&lt;cfg_i_threshold_a,Raw_Data_GF!J8&gt;cfg_min_voc_v),Raw_Data_GF!J8,"")</f>
        <v/>
      </c>
      <c r="L8" s="17">
        <f>MEDIAN(Raw_Data_GF!L8,Raw_Data_GF!M8,Raw_Data_GF!N8,Raw_Data_GF!O8,Raw_Data_GF!P8)</f>
        <v/>
      </c>
      <c r="M8" s="17">
        <f>MEDIAN(Raw_Data_GF!K8,Raw_Data_GF!M8,Raw_Data_GF!N8,Raw_Data_GF!O8,Raw_Data_GF!P8)</f>
        <v/>
      </c>
      <c r="N8" s="17">
        <f>MEDIAN(Raw_Data_GF!K8,Raw_Data_GF!L8,Raw_Data_GF!N8,Raw_Data_GF!O8,Raw_Data_GF!P8)</f>
        <v/>
      </c>
      <c r="O8" s="17">
        <f>MEDIAN(Raw_Data_GF!K8,Raw_Data_GF!L8,Raw_Data_GF!M8,Raw_Data_GF!O8,Raw_Data_GF!P8)</f>
        <v/>
      </c>
      <c r="P8" s="17">
        <f>MEDIAN(Raw_Data_GF!K8,Raw_Data_GF!L8,Raw_Data_GF!M8,Raw_Data_GF!N8,Raw_Data_GF!P8)</f>
        <v/>
      </c>
      <c r="Q8" s="17">
        <f>MEDIAN(Raw_Data_GF!K8,Raw_Data_GF!L8,Raw_Data_GF!M8,Raw_Data_GF!N8,Raw_Data_GF!O8)</f>
        <v/>
      </c>
      <c r="R8" s="18">
        <f>ABS(E8)</f>
        <v/>
      </c>
    </row>
    <row r="9">
      <c r="A9" s="5">
        <f>Raw_Data_GF!B9</f>
        <v/>
      </c>
      <c r="B9" s="16">
        <f>Raw_Data_GF!A9</f>
        <v/>
      </c>
      <c r="C9" s="27">
        <f>Raw_Data_GF!C9</f>
        <v/>
      </c>
      <c r="D9" s="5">
        <f>IF(AND(C9&gt;cfg_gf_poa_threshold_wm2,C9&gt;cfg_gf_poa_floor_wm2),1,0)</f>
        <v/>
      </c>
      <c r="E9" s="18">
        <f>Raw_Data_GF!D9</f>
        <v/>
      </c>
      <c r="F9" s="18">
        <f>IF(AND(ABS(Raw_Data_GF!K9)&lt;cfg_i_threshold_a,Raw_Data_GF!E9&gt;cfg_min_voc_v),Raw_Data_GF!E9,"")</f>
        <v/>
      </c>
      <c r="G9" s="18">
        <f>IF(AND(ABS(Raw_Data_GF!L9)&lt;cfg_i_threshold_a,Raw_Data_GF!F9&gt;cfg_min_voc_v),Raw_Data_GF!F9,"")</f>
        <v/>
      </c>
      <c r="H9" s="18">
        <f>IF(AND(ABS(Raw_Data_GF!M9)&lt;cfg_i_threshold_a,Raw_Data_GF!G9&gt;cfg_min_voc_v),Raw_Data_GF!G9,"")</f>
        <v/>
      </c>
      <c r="I9" s="18">
        <f>IF(AND(ABS(Raw_Data_GF!N9)&lt;cfg_i_threshold_a,Raw_Data_GF!H9&gt;cfg_min_voc_v),Raw_Data_GF!H9,"")</f>
        <v/>
      </c>
      <c r="J9" s="18">
        <f>IF(AND(ABS(Raw_Data_GF!O9)&lt;cfg_i_threshold_a,Raw_Data_GF!I9&gt;cfg_min_voc_v),Raw_Data_GF!I9,"")</f>
        <v/>
      </c>
      <c r="K9" s="18">
        <f>IF(AND(ABS(Raw_Data_GF!P9)&lt;cfg_i_threshold_a,Raw_Data_GF!J9&gt;cfg_min_voc_v),Raw_Data_GF!J9,"")</f>
        <v/>
      </c>
      <c r="L9" s="17">
        <f>MEDIAN(Raw_Data_GF!L9,Raw_Data_GF!M9,Raw_Data_GF!N9,Raw_Data_GF!O9,Raw_Data_GF!P9)</f>
        <v/>
      </c>
      <c r="M9" s="17">
        <f>MEDIAN(Raw_Data_GF!K9,Raw_Data_GF!M9,Raw_Data_GF!N9,Raw_Data_GF!O9,Raw_Data_GF!P9)</f>
        <v/>
      </c>
      <c r="N9" s="17">
        <f>MEDIAN(Raw_Data_GF!K9,Raw_Data_GF!L9,Raw_Data_GF!N9,Raw_Data_GF!O9,Raw_Data_GF!P9)</f>
        <v/>
      </c>
      <c r="O9" s="17">
        <f>MEDIAN(Raw_Data_GF!K9,Raw_Data_GF!L9,Raw_Data_GF!M9,Raw_Data_GF!O9,Raw_Data_GF!P9)</f>
        <v/>
      </c>
      <c r="P9" s="17">
        <f>MEDIAN(Raw_Data_GF!K9,Raw_Data_GF!L9,Raw_Data_GF!M9,Raw_Data_GF!N9,Raw_Data_GF!P9)</f>
        <v/>
      </c>
      <c r="Q9" s="17">
        <f>MEDIAN(Raw_Data_GF!K9,Raw_Data_GF!L9,Raw_Data_GF!M9,Raw_Data_GF!N9,Raw_Data_GF!O9)</f>
        <v/>
      </c>
      <c r="R9" s="18">
        <f>ABS(E9)</f>
        <v/>
      </c>
    </row>
    <row r="10">
      <c r="A10" s="5">
        <f>Raw_Data_GF!B10</f>
        <v/>
      </c>
      <c r="B10" s="16">
        <f>Raw_Data_GF!A10</f>
        <v/>
      </c>
      <c r="C10" s="27">
        <f>Raw_Data_GF!C10</f>
        <v/>
      </c>
      <c r="D10" s="5">
        <f>IF(AND(C10&gt;cfg_gf_poa_threshold_wm2,C10&gt;cfg_gf_poa_floor_wm2),1,0)</f>
        <v/>
      </c>
      <c r="E10" s="18">
        <f>Raw_Data_GF!D10</f>
        <v/>
      </c>
      <c r="F10" s="18">
        <f>IF(AND(ABS(Raw_Data_GF!K10)&lt;cfg_i_threshold_a,Raw_Data_GF!E10&gt;cfg_min_voc_v),Raw_Data_GF!E10,"")</f>
        <v/>
      </c>
      <c r="G10" s="18">
        <f>IF(AND(ABS(Raw_Data_GF!L10)&lt;cfg_i_threshold_a,Raw_Data_GF!F10&gt;cfg_min_voc_v),Raw_Data_GF!F10,"")</f>
        <v/>
      </c>
      <c r="H10" s="18">
        <f>IF(AND(ABS(Raw_Data_GF!M10)&lt;cfg_i_threshold_a,Raw_Data_GF!G10&gt;cfg_min_voc_v),Raw_Data_GF!G10,"")</f>
        <v/>
      </c>
      <c r="I10" s="18">
        <f>IF(AND(ABS(Raw_Data_GF!N10)&lt;cfg_i_threshold_a,Raw_Data_GF!H10&gt;cfg_min_voc_v),Raw_Data_GF!H10,"")</f>
        <v/>
      </c>
      <c r="J10" s="18">
        <f>IF(AND(ABS(Raw_Data_GF!O10)&lt;cfg_i_threshold_a,Raw_Data_GF!I10&gt;cfg_min_voc_v),Raw_Data_GF!I10,"")</f>
        <v/>
      </c>
      <c r="K10" s="18">
        <f>IF(AND(ABS(Raw_Data_GF!P10)&lt;cfg_i_threshold_a,Raw_Data_GF!J10&gt;cfg_min_voc_v),Raw_Data_GF!J10,"")</f>
        <v/>
      </c>
      <c r="L10" s="17">
        <f>MEDIAN(Raw_Data_GF!L10,Raw_Data_GF!M10,Raw_Data_GF!N10,Raw_Data_GF!O10,Raw_Data_GF!P10)</f>
        <v/>
      </c>
      <c r="M10" s="17">
        <f>MEDIAN(Raw_Data_GF!K10,Raw_Data_GF!M10,Raw_Data_GF!N10,Raw_Data_GF!O10,Raw_Data_GF!P10)</f>
        <v/>
      </c>
      <c r="N10" s="17">
        <f>MEDIAN(Raw_Data_GF!K10,Raw_Data_GF!L10,Raw_Data_GF!N10,Raw_Data_GF!O10,Raw_Data_GF!P10)</f>
        <v/>
      </c>
      <c r="O10" s="17">
        <f>MEDIAN(Raw_Data_GF!K10,Raw_Data_GF!L10,Raw_Data_GF!M10,Raw_Data_GF!O10,Raw_Data_GF!P10)</f>
        <v/>
      </c>
      <c r="P10" s="17">
        <f>MEDIAN(Raw_Data_GF!K10,Raw_Data_GF!L10,Raw_Data_GF!M10,Raw_Data_GF!N10,Raw_Data_GF!P10)</f>
        <v/>
      </c>
      <c r="Q10" s="17">
        <f>MEDIAN(Raw_Data_GF!K10,Raw_Data_GF!L10,Raw_Data_GF!M10,Raw_Data_GF!N10,Raw_Data_GF!O10)</f>
        <v/>
      </c>
      <c r="R10" s="18">
        <f>ABS(E10)</f>
        <v/>
      </c>
    </row>
    <row r="11">
      <c r="A11" s="5">
        <f>Raw_Data_GF!B11</f>
        <v/>
      </c>
      <c r="B11" s="16">
        <f>Raw_Data_GF!A11</f>
        <v/>
      </c>
      <c r="C11" s="27">
        <f>Raw_Data_GF!C11</f>
        <v/>
      </c>
      <c r="D11" s="5">
        <f>IF(AND(C11&gt;cfg_gf_poa_threshold_wm2,C11&gt;cfg_gf_poa_floor_wm2),1,0)</f>
        <v/>
      </c>
      <c r="E11" s="18">
        <f>Raw_Data_GF!D11</f>
        <v/>
      </c>
      <c r="F11" s="18">
        <f>IF(AND(ABS(Raw_Data_GF!K11)&lt;cfg_i_threshold_a,Raw_Data_GF!E11&gt;cfg_min_voc_v),Raw_Data_GF!E11,"")</f>
        <v/>
      </c>
      <c r="G11" s="18">
        <f>IF(AND(ABS(Raw_Data_GF!L11)&lt;cfg_i_threshold_a,Raw_Data_GF!F11&gt;cfg_min_voc_v),Raw_Data_GF!F11,"")</f>
        <v/>
      </c>
      <c r="H11" s="18">
        <f>IF(AND(ABS(Raw_Data_GF!M11)&lt;cfg_i_threshold_a,Raw_Data_GF!G11&gt;cfg_min_voc_v),Raw_Data_GF!G11,"")</f>
        <v/>
      </c>
      <c r="I11" s="18">
        <f>IF(AND(ABS(Raw_Data_GF!N11)&lt;cfg_i_threshold_a,Raw_Data_GF!H11&gt;cfg_min_voc_v),Raw_Data_GF!H11,"")</f>
        <v/>
      </c>
      <c r="J11" s="18">
        <f>IF(AND(ABS(Raw_Data_GF!O11)&lt;cfg_i_threshold_a,Raw_Data_GF!I11&gt;cfg_min_voc_v),Raw_Data_GF!I11,"")</f>
        <v/>
      </c>
      <c r="K11" s="18">
        <f>IF(AND(ABS(Raw_Data_GF!P11)&lt;cfg_i_threshold_a,Raw_Data_GF!J11&gt;cfg_min_voc_v),Raw_Data_GF!J11,"")</f>
        <v/>
      </c>
      <c r="L11" s="17">
        <f>MEDIAN(Raw_Data_GF!L11,Raw_Data_GF!M11,Raw_Data_GF!N11,Raw_Data_GF!O11,Raw_Data_GF!P11)</f>
        <v/>
      </c>
      <c r="M11" s="17">
        <f>MEDIAN(Raw_Data_GF!K11,Raw_Data_GF!M11,Raw_Data_GF!N11,Raw_Data_GF!O11,Raw_Data_GF!P11)</f>
        <v/>
      </c>
      <c r="N11" s="17">
        <f>MEDIAN(Raw_Data_GF!K11,Raw_Data_GF!L11,Raw_Data_GF!N11,Raw_Data_GF!O11,Raw_Data_GF!P11)</f>
        <v/>
      </c>
      <c r="O11" s="17">
        <f>MEDIAN(Raw_Data_GF!K11,Raw_Data_GF!L11,Raw_Data_GF!M11,Raw_Data_GF!O11,Raw_Data_GF!P11)</f>
        <v/>
      </c>
      <c r="P11" s="17">
        <f>MEDIAN(Raw_Data_GF!K11,Raw_Data_GF!L11,Raw_Data_GF!M11,Raw_Data_GF!N11,Raw_Data_GF!P11)</f>
        <v/>
      </c>
      <c r="Q11" s="17">
        <f>MEDIAN(Raw_Data_GF!K11,Raw_Data_GF!L11,Raw_Data_GF!M11,Raw_Data_GF!N11,Raw_Data_GF!O11)</f>
        <v/>
      </c>
      <c r="R11" s="18">
        <f>ABS(E11)</f>
        <v/>
      </c>
    </row>
    <row r="12">
      <c r="A12" s="5">
        <f>Raw_Data_GF!B12</f>
        <v/>
      </c>
      <c r="B12" s="16">
        <f>Raw_Data_GF!A12</f>
        <v/>
      </c>
      <c r="C12" s="27">
        <f>Raw_Data_GF!C12</f>
        <v/>
      </c>
      <c r="D12" s="5">
        <f>IF(AND(C12&gt;cfg_gf_poa_threshold_wm2,C12&gt;cfg_gf_poa_floor_wm2),1,0)</f>
        <v/>
      </c>
      <c r="E12" s="18">
        <f>Raw_Data_GF!D12</f>
        <v/>
      </c>
      <c r="F12" s="18">
        <f>IF(AND(ABS(Raw_Data_GF!K12)&lt;cfg_i_threshold_a,Raw_Data_GF!E12&gt;cfg_min_voc_v),Raw_Data_GF!E12,"")</f>
        <v/>
      </c>
      <c r="G12" s="18">
        <f>IF(AND(ABS(Raw_Data_GF!L12)&lt;cfg_i_threshold_a,Raw_Data_GF!F12&gt;cfg_min_voc_v),Raw_Data_GF!F12,"")</f>
        <v/>
      </c>
      <c r="H12" s="18">
        <f>IF(AND(ABS(Raw_Data_GF!M12)&lt;cfg_i_threshold_a,Raw_Data_GF!G12&gt;cfg_min_voc_v),Raw_Data_GF!G12,"")</f>
        <v/>
      </c>
      <c r="I12" s="18">
        <f>IF(AND(ABS(Raw_Data_GF!N12)&lt;cfg_i_threshold_a,Raw_Data_GF!H12&gt;cfg_min_voc_v),Raw_Data_GF!H12,"")</f>
        <v/>
      </c>
      <c r="J12" s="18">
        <f>IF(AND(ABS(Raw_Data_GF!O12)&lt;cfg_i_threshold_a,Raw_Data_GF!I12&gt;cfg_min_voc_v),Raw_Data_GF!I12,"")</f>
        <v/>
      </c>
      <c r="K12" s="18">
        <f>IF(AND(ABS(Raw_Data_GF!P12)&lt;cfg_i_threshold_a,Raw_Data_GF!J12&gt;cfg_min_voc_v),Raw_Data_GF!J12,"")</f>
        <v/>
      </c>
      <c r="L12" s="17">
        <f>MEDIAN(Raw_Data_GF!L12,Raw_Data_GF!M12,Raw_Data_GF!N12,Raw_Data_GF!O12,Raw_Data_GF!P12)</f>
        <v/>
      </c>
      <c r="M12" s="17">
        <f>MEDIAN(Raw_Data_GF!K12,Raw_Data_GF!M12,Raw_Data_GF!N12,Raw_Data_GF!O12,Raw_Data_GF!P12)</f>
        <v/>
      </c>
      <c r="N12" s="17">
        <f>MEDIAN(Raw_Data_GF!K12,Raw_Data_GF!L12,Raw_Data_GF!N12,Raw_Data_GF!O12,Raw_Data_GF!P12)</f>
        <v/>
      </c>
      <c r="O12" s="17">
        <f>MEDIAN(Raw_Data_GF!K12,Raw_Data_GF!L12,Raw_Data_GF!M12,Raw_Data_GF!O12,Raw_Data_GF!P12)</f>
        <v/>
      </c>
      <c r="P12" s="17">
        <f>MEDIAN(Raw_Data_GF!K12,Raw_Data_GF!L12,Raw_Data_GF!M12,Raw_Data_GF!N12,Raw_Data_GF!P12)</f>
        <v/>
      </c>
      <c r="Q12" s="17">
        <f>MEDIAN(Raw_Data_GF!K12,Raw_Data_GF!L12,Raw_Data_GF!M12,Raw_Data_GF!N12,Raw_Data_GF!O12)</f>
        <v/>
      </c>
      <c r="R12" s="18">
        <f>ABS(E12)</f>
        <v/>
      </c>
    </row>
    <row r="13">
      <c r="A13" s="5">
        <f>Raw_Data_GF!B13</f>
        <v/>
      </c>
      <c r="B13" s="16">
        <f>Raw_Data_GF!A13</f>
        <v/>
      </c>
      <c r="C13" s="27">
        <f>Raw_Data_GF!C13</f>
        <v/>
      </c>
      <c r="D13" s="5">
        <f>IF(AND(C13&gt;cfg_gf_poa_threshold_wm2,C13&gt;cfg_gf_poa_floor_wm2),1,0)</f>
        <v/>
      </c>
      <c r="E13" s="18">
        <f>Raw_Data_GF!D13</f>
        <v/>
      </c>
      <c r="F13" s="18">
        <f>IF(AND(ABS(Raw_Data_GF!K13)&lt;cfg_i_threshold_a,Raw_Data_GF!E13&gt;cfg_min_voc_v),Raw_Data_GF!E13,"")</f>
        <v/>
      </c>
      <c r="G13" s="18">
        <f>IF(AND(ABS(Raw_Data_GF!L13)&lt;cfg_i_threshold_a,Raw_Data_GF!F13&gt;cfg_min_voc_v),Raw_Data_GF!F13,"")</f>
        <v/>
      </c>
      <c r="H13" s="18">
        <f>IF(AND(ABS(Raw_Data_GF!M13)&lt;cfg_i_threshold_a,Raw_Data_GF!G13&gt;cfg_min_voc_v),Raw_Data_GF!G13,"")</f>
        <v/>
      </c>
      <c r="I13" s="18">
        <f>IF(AND(ABS(Raw_Data_GF!N13)&lt;cfg_i_threshold_a,Raw_Data_GF!H13&gt;cfg_min_voc_v),Raw_Data_GF!H13,"")</f>
        <v/>
      </c>
      <c r="J13" s="18">
        <f>IF(AND(ABS(Raw_Data_GF!O13)&lt;cfg_i_threshold_a,Raw_Data_GF!I13&gt;cfg_min_voc_v),Raw_Data_GF!I13,"")</f>
        <v/>
      </c>
      <c r="K13" s="18">
        <f>IF(AND(ABS(Raw_Data_GF!P13)&lt;cfg_i_threshold_a,Raw_Data_GF!J13&gt;cfg_min_voc_v),Raw_Data_GF!J13,"")</f>
        <v/>
      </c>
      <c r="L13" s="17">
        <f>MEDIAN(Raw_Data_GF!L13,Raw_Data_GF!M13,Raw_Data_GF!N13,Raw_Data_GF!O13,Raw_Data_GF!P13)</f>
        <v/>
      </c>
      <c r="M13" s="17">
        <f>MEDIAN(Raw_Data_GF!K13,Raw_Data_GF!M13,Raw_Data_GF!N13,Raw_Data_GF!O13,Raw_Data_GF!P13)</f>
        <v/>
      </c>
      <c r="N13" s="17">
        <f>MEDIAN(Raw_Data_GF!K13,Raw_Data_GF!L13,Raw_Data_GF!N13,Raw_Data_GF!O13,Raw_Data_GF!P13)</f>
        <v/>
      </c>
      <c r="O13" s="17">
        <f>MEDIAN(Raw_Data_GF!K13,Raw_Data_GF!L13,Raw_Data_GF!M13,Raw_Data_GF!O13,Raw_Data_GF!P13)</f>
        <v/>
      </c>
      <c r="P13" s="17">
        <f>MEDIAN(Raw_Data_GF!K13,Raw_Data_GF!L13,Raw_Data_GF!M13,Raw_Data_GF!N13,Raw_Data_GF!P13)</f>
        <v/>
      </c>
      <c r="Q13" s="17">
        <f>MEDIAN(Raw_Data_GF!K13,Raw_Data_GF!L13,Raw_Data_GF!M13,Raw_Data_GF!N13,Raw_Data_GF!O13)</f>
        <v/>
      </c>
      <c r="R13" s="18">
        <f>ABS(E13)</f>
        <v/>
      </c>
    </row>
    <row r="14">
      <c r="A14" s="5">
        <f>Raw_Data_GF!B14</f>
        <v/>
      </c>
      <c r="B14" s="16">
        <f>Raw_Data_GF!A14</f>
        <v/>
      </c>
      <c r="C14" s="27">
        <f>Raw_Data_GF!C14</f>
        <v/>
      </c>
      <c r="D14" s="5">
        <f>IF(AND(C14&gt;cfg_gf_poa_threshold_wm2,C14&gt;cfg_gf_poa_floor_wm2),1,0)</f>
        <v/>
      </c>
      <c r="E14" s="18">
        <f>Raw_Data_GF!D14</f>
        <v/>
      </c>
      <c r="F14" s="18">
        <f>IF(AND(ABS(Raw_Data_GF!K14)&lt;cfg_i_threshold_a,Raw_Data_GF!E14&gt;cfg_min_voc_v),Raw_Data_GF!E14,"")</f>
        <v/>
      </c>
      <c r="G14" s="18">
        <f>IF(AND(ABS(Raw_Data_GF!L14)&lt;cfg_i_threshold_a,Raw_Data_GF!F14&gt;cfg_min_voc_v),Raw_Data_GF!F14,"")</f>
        <v/>
      </c>
      <c r="H14" s="18">
        <f>IF(AND(ABS(Raw_Data_GF!M14)&lt;cfg_i_threshold_a,Raw_Data_GF!G14&gt;cfg_min_voc_v),Raw_Data_GF!G14,"")</f>
        <v/>
      </c>
      <c r="I14" s="18">
        <f>IF(AND(ABS(Raw_Data_GF!N14)&lt;cfg_i_threshold_a,Raw_Data_GF!H14&gt;cfg_min_voc_v),Raw_Data_GF!H14,"")</f>
        <v/>
      </c>
      <c r="J14" s="18">
        <f>IF(AND(ABS(Raw_Data_GF!O14)&lt;cfg_i_threshold_a,Raw_Data_GF!I14&gt;cfg_min_voc_v),Raw_Data_GF!I14,"")</f>
        <v/>
      </c>
      <c r="K14" s="18">
        <f>IF(AND(ABS(Raw_Data_GF!P14)&lt;cfg_i_threshold_a,Raw_Data_GF!J14&gt;cfg_min_voc_v),Raw_Data_GF!J14,"")</f>
        <v/>
      </c>
      <c r="L14" s="17">
        <f>MEDIAN(Raw_Data_GF!L14,Raw_Data_GF!M14,Raw_Data_GF!N14,Raw_Data_GF!O14,Raw_Data_GF!P14)</f>
        <v/>
      </c>
      <c r="M14" s="17">
        <f>MEDIAN(Raw_Data_GF!K14,Raw_Data_GF!M14,Raw_Data_GF!N14,Raw_Data_GF!O14,Raw_Data_GF!P14)</f>
        <v/>
      </c>
      <c r="N14" s="17">
        <f>MEDIAN(Raw_Data_GF!K14,Raw_Data_GF!L14,Raw_Data_GF!N14,Raw_Data_GF!O14,Raw_Data_GF!P14)</f>
        <v/>
      </c>
      <c r="O14" s="17">
        <f>MEDIAN(Raw_Data_GF!K14,Raw_Data_GF!L14,Raw_Data_GF!M14,Raw_Data_GF!O14,Raw_Data_GF!P14)</f>
        <v/>
      </c>
      <c r="P14" s="17">
        <f>MEDIAN(Raw_Data_GF!K14,Raw_Data_GF!L14,Raw_Data_GF!M14,Raw_Data_GF!N14,Raw_Data_GF!P14)</f>
        <v/>
      </c>
      <c r="Q14" s="17">
        <f>MEDIAN(Raw_Data_GF!K14,Raw_Data_GF!L14,Raw_Data_GF!M14,Raw_Data_GF!N14,Raw_Data_GF!O14)</f>
        <v/>
      </c>
      <c r="R14" s="18">
        <f>ABS(E14)</f>
        <v/>
      </c>
    </row>
    <row r="15">
      <c r="A15" s="5">
        <f>Raw_Data_GF!B15</f>
        <v/>
      </c>
      <c r="B15" s="16">
        <f>Raw_Data_GF!A15</f>
        <v/>
      </c>
      <c r="C15" s="27">
        <f>Raw_Data_GF!C15</f>
        <v/>
      </c>
      <c r="D15" s="5">
        <f>IF(AND(C15&gt;cfg_gf_poa_threshold_wm2,C15&gt;cfg_gf_poa_floor_wm2),1,0)</f>
        <v/>
      </c>
      <c r="E15" s="18">
        <f>Raw_Data_GF!D15</f>
        <v/>
      </c>
      <c r="F15" s="18">
        <f>IF(AND(ABS(Raw_Data_GF!K15)&lt;cfg_i_threshold_a,Raw_Data_GF!E15&gt;cfg_min_voc_v),Raw_Data_GF!E15,"")</f>
        <v/>
      </c>
      <c r="G15" s="18">
        <f>IF(AND(ABS(Raw_Data_GF!L15)&lt;cfg_i_threshold_a,Raw_Data_GF!F15&gt;cfg_min_voc_v),Raw_Data_GF!F15,"")</f>
        <v/>
      </c>
      <c r="H15" s="18">
        <f>IF(AND(ABS(Raw_Data_GF!M15)&lt;cfg_i_threshold_a,Raw_Data_GF!G15&gt;cfg_min_voc_v),Raw_Data_GF!G15,"")</f>
        <v/>
      </c>
      <c r="I15" s="18">
        <f>IF(AND(ABS(Raw_Data_GF!N15)&lt;cfg_i_threshold_a,Raw_Data_GF!H15&gt;cfg_min_voc_v),Raw_Data_GF!H15,"")</f>
        <v/>
      </c>
      <c r="J15" s="18">
        <f>IF(AND(ABS(Raw_Data_GF!O15)&lt;cfg_i_threshold_a,Raw_Data_GF!I15&gt;cfg_min_voc_v),Raw_Data_GF!I15,"")</f>
        <v/>
      </c>
      <c r="K15" s="18">
        <f>IF(AND(ABS(Raw_Data_GF!P15)&lt;cfg_i_threshold_a,Raw_Data_GF!J15&gt;cfg_min_voc_v),Raw_Data_GF!J15,"")</f>
        <v/>
      </c>
      <c r="L15" s="17">
        <f>MEDIAN(Raw_Data_GF!L15,Raw_Data_GF!M15,Raw_Data_GF!N15,Raw_Data_GF!O15,Raw_Data_GF!P15)</f>
        <v/>
      </c>
      <c r="M15" s="17">
        <f>MEDIAN(Raw_Data_GF!K15,Raw_Data_GF!M15,Raw_Data_GF!N15,Raw_Data_GF!O15,Raw_Data_GF!P15)</f>
        <v/>
      </c>
      <c r="N15" s="17">
        <f>MEDIAN(Raw_Data_GF!K15,Raw_Data_GF!L15,Raw_Data_GF!N15,Raw_Data_GF!O15,Raw_Data_GF!P15)</f>
        <v/>
      </c>
      <c r="O15" s="17">
        <f>MEDIAN(Raw_Data_GF!K15,Raw_Data_GF!L15,Raw_Data_GF!M15,Raw_Data_GF!O15,Raw_Data_GF!P15)</f>
        <v/>
      </c>
      <c r="P15" s="17">
        <f>MEDIAN(Raw_Data_GF!K15,Raw_Data_GF!L15,Raw_Data_GF!M15,Raw_Data_GF!N15,Raw_Data_GF!P15)</f>
        <v/>
      </c>
      <c r="Q15" s="17">
        <f>MEDIAN(Raw_Data_GF!K15,Raw_Data_GF!L15,Raw_Data_GF!M15,Raw_Data_GF!N15,Raw_Data_GF!O15)</f>
        <v/>
      </c>
      <c r="R15" s="18">
        <f>ABS(E15)</f>
        <v/>
      </c>
    </row>
    <row r="16">
      <c r="A16" s="5">
        <f>Raw_Data_GF!B16</f>
        <v/>
      </c>
      <c r="B16" s="16">
        <f>Raw_Data_GF!A16</f>
        <v/>
      </c>
      <c r="C16" s="27">
        <f>Raw_Data_GF!C16</f>
        <v/>
      </c>
      <c r="D16" s="5">
        <f>IF(AND(C16&gt;cfg_gf_poa_threshold_wm2,C16&gt;cfg_gf_poa_floor_wm2),1,0)</f>
        <v/>
      </c>
      <c r="E16" s="18">
        <f>Raw_Data_GF!D16</f>
        <v/>
      </c>
      <c r="F16" s="18">
        <f>IF(AND(ABS(Raw_Data_GF!K16)&lt;cfg_i_threshold_a,Raw_Data_GF!E16&gt;cfg_min_voc_v),Raw_Data_GF!E16,"")</f>
        <v/>
      </c>
      <c r="G16" s="18">
        <f>IF(AND(ABS(Raw_Data_GF!L16)&lt;cfg_i_threshold_a,Raw_Data_GF!F16&gt;cfg_min_voc_v),Raw_Data_GF!F16,"")</f>
        <v/>
      </c>
      <c r="H16" s="18">
        <f>IF(AND(ABS(Raw_Data_GF!M16)&lt;cfg_i_threshold_a,Raw_Data_GF!G16&gt;cfg_min_voc_v),Raw_Data_GF!G16,"")</f>
        <v/>
      </c>
      <c r="I16" s="18">
        <f>IF(AND(ABS(Raw_Data_GF!N16)&lt;cfg_i_threshold_a,Raw_Data_GF!H16&gt;cfg_min_voc_v),Raw_Data_GF!H16,"")</f>
        <v/>
      </c>
      <c r="J16" s="18">
        <f>IF(AND(ABS(Raw_Data_GF!O16)&lt;cfg_i_threshold_a,Raw_Data_GF!I16&gt;cfg_min_voc_v),Raw_Data_GF!I16,"")</f>
        <v/>
      </c>
      <c r="K16" s="18">
        <f>IF(AND(ABS(Raw_Data_GF!P16)&lt;cfg_i_threshold_a,Raw_Data_GF!J16&gt;cfg_min_voc_v),Raw_Data_GF!J16,"")</f>
        <v/>
      </c>
      <c r="L16" s="17">
        <f>MEDIAN(Raw_Data_GF!L16,Raw_Data_GF!M16,Raw_Data_GF!N16,Raw_Data_GF!O16,Raw_Data_GF!P16)</f>
        <v/>
      </c>
      <c r="M16" s="17">
        <f>MEDIAN(Raw_Data_GF!K16,Raw_Data_GF!M16,Raw_Data_GF!N16,Raw_Data_GF!O16,Raw_Data_GF!P16)</f>
        <v/>
      </c>
      <c r="N16" s="17">
        <f>MEDIAN(Raw_Data_GF!K16,Raw_Data_GF!L16,Raw_Data_GF!N16,Raw_Data_GF!O16,Raw_Data_GF!P16)</f>
        <v/>
      </c>
      <c r="O16" s="17">
        <f>MEDIAN(Raw_Data_GF!K16,Raw_Data_GF!L16,Raw_Data_GF!M16,Raw_Data_GF!O16,Raw_Data_GF!P16)</f>
        <v/>
      </c>
      <c r="P16" s="17">
        <f>MEDIAN(Raw_Data_GF!K16,Raw_Data_GF!L16,Raw_Data_GF!M16,Raw_Data_GF!N16,Raw_Data_GF!P16)</f>
        <v/>
      </c>
      <c r="Q16" s="17">
        <f>MEDIAN(Raw_Data_GF!K16,Raw_Data_GF!L16,Raw_Data_GF!M16,Raw_Data_GF!N16,Raw_Data_GF!O16)</f>
        <v/>
      </c>
      <c r="R16" s="18">
        <f>ABS(E16)</f>
        <v/>
      </c>
    </row>
    <row r="17">
      <c r="A17" s="5">
        <f>Raw_Data_GF!B17</f>
        <v/>
      </c>
      <c r="B17" s="16">
        <f>Raw_Data_GF!A17</f>
        <v/>
      </c>
      <c r="C17" s="27">
        <f>Raw_Data_GF!C17</f>
        <v/>
      </c>
      <c r="D17" s="5">
        <f>IF(AND(C17&gt;cfg_gf_poa_threshold_wm2,C17&gt;cfg_gf_poa_floor_wm2),1,0)</f>
        <v/>
      </c>
      <c r="E17" s="18">
        <f>Raw_Data_GF!D17</f>
        <v/>
      </c>
      <c r="F17" s="18">
        <f>IF(AND(ABS(Raw_Data_GF!K17)&lt;cfg_i_threshold_a,Raw_Data_GF!E17&gt;cfg_min_voc_v),Raw_Data_GF!E17,"")</f>
        <v/>
      </c>
      <c r="G17" s="18">
        <f>IF(AND(ABS(Raw_Data_GF!L17)&lt;cfg_i_threshold_a,Raw_Data_GF!F17&gt;cfg_min_voc_v),Raw_Data_GF!F17,"")</f>
        <v/>
      </c>
      <c r="H17" s="18">
        <f>IF(AND(ABS(Raw_Data_GF!M17)&lt;cfg_i_threshold_a,Raw_Data_GF!G17&gt;cfg_min_voc_v),Raw_Data_GF!G17,"")</f>
        <v/>
      </c>
      <c r="I17" s="18">
        <f>IF(AND(ABS(Raw_Data_GF!N17)&lt;cfg_i_threshold_a,Raw_Data_GF!H17&gt;cfg_min_voc_v),Raw_Data_GF!H17,"")</f>
        <v/>
      </c>
      <c r="J17" s="18">
        <f>IF(AND(ABS(Raw_Data_GF!O17)&lt;cfg_i_threshold_a,Raw_Data_GF!I17&gt;cfg_min_voc_v),Raw_Data_GF!I17,"")</f>
        <v/>
      </c>
      <c r="K17" s="18">
        <f>IF(AND(ABS(Raw_Data_GF!P17)&lt;cfg_i_threshold_a,Raw_Data_GF!J17&gt;cfg_min_voc_v),Raw_Data_GF!J17,"")</f>
        <v/>
      </c>
      <c r="L17" s="17">
        <f>MEDIAN(Raw_Data_GF!L17,Raw_Data_GF!M17,Raw_Data_GF!N17,Raw_Data_GF!O17,Raw_Data_GF!P17)</f>
        <v/>
      </c>
      <c r="M17" s="17">
        <f>MEDIAN(Raw_Data_GF!K17,Raw_Data_GF!M17,Raw_Data_GF!N17,Raw_Data_GF!O17,Raw_Data_GF!P17)</f>
        <v/>
      </c>
      <c r="N17" s="17">
        <f>MEDIAN(Raw_Data_GF!K17,Raw_Data_GF!L17,Raw_Data_GF!N17,Raw_Data_GF!O17,Raw_Data_GF!P17)</f>
        <v/>
      </c>
      <c r="O17" s="17">
        <f>MEDIAN(Raw_Data_GF!K17,Raw_Data_GF!L17,Raw_Data_GF!M17,Raw_Data_GF!O17,Raw_Data_GF!P17)</f>
        <v/>
      </c>
      <c r="P17" s="17">
        <f>MEDIAN(Raw_Data_GF!K17,Raw_Data_GF!L17,Raw_Data_GF!M17,Raw_Data_GF!N17,Raw_Data_GF!P17)</f>
        <v/>
      </c>
      <c r="Q17" s="17">
        <f>MEDIAN(Raw_Data_GF!K17,Raw_Data_GF!L17,Raw_Data_GF!M17,Raw_Data_GF!N17,Raw_Data_GF!O17)</f>
        <v/>
      </c>
      <c r="R17" s="18">
        <f>ABS(E17)</f>
        <v/>
      </c>
    </row>
    <row r="18">
      <c r="A18" s="5">
        <f>Raw_Data_GF!B18</f>
        <v/>
      </c>
      <c r="B18" s="16">
        <f>Raw_Data_GF!A18</f>
        <v/>
      </c>
      <c r="C18" s="27">
        <f>Raw_Data_GF!C18</f>
        <v/>
      </c>
      <c r="D18" s="5">
        <f>IF(AND(C18&gt;cfg_gf_poa_threshold_wm2,C18&gt;cfg_gf_poa_floor_wm2),1,0)</f>
        <v/>
      </c>
      <c r="E18" s="18">
        <f>Raw_Data_GF!D18</f>
        <v/>
      </c>
      <c r="F18" s="18">
        <f>IF(AND(ABS(Raw_Data_GF!K18)&lt;cfg_i_threshold_a,Raw_Data_GF!E18&gt;cfg_min_voc_v),Raw_Data_GF!E18,"")</f>
        <v/>
      </c>
      <c r="G18" s="18">
        <f>IF(AND(ABS(Raw_Data_GF!L18)&lt;cfg_i_threshold_a,Raw_Data_GF!F18&gt;cfg_min_voc_v),Raw_Data_GF!F18,"")</f>
        <v/>
      </c>
      <c r="H18" s="18">
        <f>IF(AND(ABS(Raw_Data_GF!M18)&lt;cfg_i_threshold_a,Raw_Data_GF!G18&gt;cfg_min_voc_v),Raw_Data_GF!G18,"")</f>
        <v/>
      </c>
      <c r="I18" s="18">
        <f>IF(AND(ABS(Raw_Data_GF!N18)&lt;cfg_i_threshold_a,Raw_Data_GF!H18&gt;cfg_min_voc_v),Raw_Data_GF!H18,"")</f>
        <v/>
      </c>
      <c r="J18" s="18">
        <f>IF(AND(ABS(Raw_Data_GF!O18)&lt;cfg_i_threshold_a,Raw_Data_GF!I18&gt;cfg_min_voc_v),Raw_Data_GF!I18,"")</f>
        <v/>
      </c>
      <c r="K18" s="18">
        <f>IF(AND(ABS(Raw_Data_GF!P18)&lt;cfg_i_threshold_a,Raw_Data_GF!J18&gt;cfg_min_voc_v),Raw_Data_GF!J18,"")</f>
        <v/>
      </c>
      <c r="L18" s="17">
        <f>MEDIAN(Raw_Data_GF!L18,Raw_Data_GF!M18,Raw_Data_GF!N18,Raw_Data_GF!O18,Raw_Data_GF!P18)</f>
        <v/>
      </c>
      <c r="M18" s="17">
        <f>MEDIAN(Raw_Data_GF!K18,Raw_Data_GF!M18,Raw_Data_GF!N18,Raw_Data_GF!O18,Raw_Data_GF!P18)</f>
        <v/>
      </c>
      <c r="N18" s="17">
        <f>MEDIAN(Raw_Data_GF!K18,Raw_Data_GF!L18,Raw_Data_GF!N18,Raw_Data_GF!O18,Raw_Data_GF!P18)</f>
        <v/>
      </c>
      <c r="O18" s="17">
        <f>MEDIAN(Raw_Data_GF!K18,Raw_Data_GF!L18,Raw_Data_GF!M18,Raw_Data_GF!O18,Raw_Data_GF!P18)</f>
        <v/>
      </c>
      <c r="P18" s="17">
        <f>MEDIAN(Raw_Data_GF!K18,Raw_Data_GF!L18,Raw_Data_GF!M18,Raw_Data_GF!N18,Raw_Data_GF!P18)</f>
        <v/>
      </c>
      <c r="Q18" s="17">
        <f>MEDIAN(Raw_Data_GF!K18,Raw_Data_GF!L18,Raw_Data_GF!M18,Raw_Data_GF!N18,Raw_Data_GF!O18)</f>
        <v/>
      </c>
      <c r="R18" s="18">
        <f>ABS(E18)</f>
        <v/>
      </c>
    </row>
    <row r="19">
      <c r="A19" s="5">
        <f>Raw_Data_GF!B19</f>
        <v/>
      </c>
      <c r="B19" s="16">
        <f>Raw_Data_GF!A19</f>
        <v/>
      </c>
      <c r="C19" s="27">
        <f>Raw_Data_GF!C19</f>
        <v/>
      </c>
      <c r="D19" s="5">
        <f>IF(AND(C19&gt;cfg_gf_poa_threshold_wm2,C19&gt;cfg_gf_poa_floor_wm2),1,0)</f>
        <v/>
      </c>
      <c r="E19" s="18">
        <f>Raw_Data_GF!D19</f>
        <v/>
      </c>
      <c r="F19" s="18">
        <f>IF(AND(ABS(Raw_Data_GF!K19)&lt;cfg_i_threshold_a,Raw_Data_GF!E19&gt;cfg_min_voc_v),Raw_Data_GF!E19,"")</f>
        <v/>
      </c>
      <c r="G19" s="18">
        <f>IF(AND(ABS(Raw_Data_GF!L19)&lt;cfg_i_threshold_a,Raw_Data_GF!F19&gt;cfg_min_voc_v),Raw_Data_GF!F19,"")</f>
        <v/>
      </c>
      <c r="H19" s="18">
        <f>IF(AND(ABS(Raw_Data_GF!M19)&lt;cfg_i_threshold_a,Raw_Data_GF!G19&gt;cfg_min_voc_v),Raw_Data_GF!G19,"")</f>
        <v/>
      </c>
      <c r="I19" s="18">
        <f>IF(AND(ABS(Raw_Data_GF!N19)&lt;cfg_i_threshold_a,Raw_Data_GF!H19&gt;cfg_min_voc_v),Raw_Data_GF!H19,"")</f>
        <v/>
      </c>
      <c r="J19" s="18">
        <f>IF(AND(ABS(Raw_Data_GF!O19)&lt;cfg_i_threshold_a,Raw_Data_GF!I19&gt;cfg_min_voc_v),Raw_Data_GF!I19,"")</f>
        <v/>
      </c>
      <c r="K19" s="18">
        <f>IF(AND(ABS(Raw_Data_GF!P19)&lt;cfg_i_threshold_a,Raw_Data_GF!J19&gt;cfg_min_voc_v),Raw_Data_GF!J19,"")</f>
        <v/>
      </c>
      <c r="L19" s="17">
        <f>MEDIAN(Raw_Data_GF!L19,Raw_Data_GF!M19,Raw_Data_GF!N19,Raw_Data_GF!O19,Raw_Data_GF!P19)</f>
        <v/>
      </c>
      <c r="M19" s="17">
        <f>MEDIAN(Raw_Data_GF!K19,Raw_Data_GF!M19,Raw_Data_GF!N19,Raw_Data_GF!O19,Raw_Data_GF!P19)</f>
        <v/>
      </c>
      <c r="N19" s="17">
        <f>MEDIAN(Raw_Data_GF!K19,Raw_Data_GF!L19,Raw_Data_GF!N19,Raw_Data_GF!O19,Raw_Data_GF!P19)</f>
        <v/>
      </c>
      <c r="O19" s="17">
        <f>MEDIAN(Raw_Data_GF!K19,Raw_Data_GF!L19,Raw_Data_GF!M19,Raw_Data_GF!O19,Raw_Data_GF!P19)</f>
        <v/>
      </c>
      <c r="P19" s="17">
        <f>MEDIAN(Raw_Data_GF!K19,Raw_Data_GF!L19,Raw_Data_GF!M19,Raw_Data_GF!N19,Raw_Data_GF!P19)</f>
        <v/>
      </c>
      <c r="Q19" s="17">
        <f>MEDIAN(Raw_Data_GF!K19,Raw_Data_GF!L19,Raw_Data_GF!M19,Raw_Data_GF!N19,Raw_Data_GF!O19)</f>
        <v/>
      </c>
      <c r="R19" s="18">
        <f>ABS(E19)</f>
        <v/>
      </c>
    </row>
    <row r="20">
      <c r="A20" s="5">
        <f>Raw_Data_GF!B20</f>
        <v/>
      </c>
      <c r="B20" s="16">
        <f>Raw_Data_GF!A20</f>
        <v/>
      </c>
      <c r="C20" s="27">
        <f>Raw_Data_GF!C20</f>
        <v/>
      </c>
      <c r="D20" s="5">
        <f>IF(AND(C20&gt;cfg_gf_poa_threshold_wm2,C20&gt;cfg_gf_poa_floor_wm2),1,0)</f>
        <v/>
      </c>
      <c r="E20" s="18">
        <f>Raw_Data_GF!D20</f>
        <v/>
      </c>
      <c r="F20" s="18">
        <f>IF(AND(ABS(Raw_Data_GF!K20)&lt;cfg_i_threshold_a,Raw_Data_GF!E20&gt;cfg_min_voc_v),Raw_Data_GF!E20,"")</f>
        <v/>
      </c>
      <c r="G20" s="18">
        <f>IF(AND(ABS(Raw_Data_GF!L20)&lt;cfg_i_threshold_a,Raw_Data_GF!F20&gt;cfg_min_voc_v),Raw_Data_GF!F20,"")</f>
        <v/>
      </c>
      <c r="H20" s="18">
        <f>IF(AND(ABS(Raw_Data_GF!M20)&lt;cfg_i_threshold_a,Raw_Data_GF!G20&gt;cfg_min_voc_v),Raw_Data_GF!G20,"")</f>
        <v/>
      </c>
      <c r="I20" s="18">
        <f>IF(AND(ABS(Raw_Data_GF!N20)&lt;cfg_i_threshold_a,Raw_Data_GF!H20&gt;cfg_min_voc_v),Raw_Data_GF!H20,"")</f>
        <v/>
      </c>
      <c r="J20" s="18">
        <f>IF(AND(ABS(Raw_Data_GF!O20)&lt;cfg_i_threshold_a,Raw_Data_GF!I20&gt;cfg_min_voc_v),Raw_Data_GF!I20,"")</f>
        <v/>
      </c>
      <c r="K20" s="18">
        <f>IF(AND(ABS(Raw_Data_GF!P20)&lt;cfg_i_threshold_a,Raw_Data_GF!J20&gt;cfg_min_voc_v),Raw_Data_GF!J20,"")</f>
        <v/>
      </c>
      <c r="L20" s="17">
        <f>MEDIAN(Raw_Data_GF!L20,Raw_Data_GF!M20,Raw_Data_GF!N20,Raw_Data_GF!O20,Raw_Data_GF!P20)</f>
        <v/>
      </c>
      <c r="M20" s="17">
        <f>MEDIAN(Raw_Data_GF!K20,Raw_Data_GF!M20,Raw_Data_GF!N20,Raw_Data_GF!O20,Raw_Data_GF!P20)</f>
        <v/>
      </c>
      <c r="N20" s="17">
        <f>MEDIAN(Raw_Data_GF!K20,Raw_Data_GF!L20,Raw_Data_GF!N20,Raw_Data_GF!O20,Raw_Data_GF!P20)</f>
        <v/>
      </c>
      <c r="O20" s="17">
        <f>MEDIAN(Raw_Data_GF!K20,Raw_Data_GF!L20,Raw_Data_GF!M20,Raw_Data_GF!O20,Raw_Data_GF!P20)</f>
        <v/>
      </c>
      <c r="P20" s="17">
        <f>MEDIAN(Raw_Data_GF!K20,Raw_Data_GF!L20,Raw_Data_GF!M20,Raw_Data_GF!N20,Raw_Data_GF!P20)</f>
        <v/>
      </c>
      <c r="Q20" s="17">
        <f>MEDIAN(Raw_Data_GF!K20,Raw_Data_GF!L20,Raw_Data_GF!M20,Raw_Data_GF!N20,Raw_Data_GF!O20)</f>
        <v/>
      </c>
      <c r="R20" s="18">
        <f>ABS(E20)</f>
        <v/>
      </c>
    </row>
    <row r="21">
      <c r="A21" s="5">
        <f>Raw_Data_GF!B21</f>
        <v/>
      </c>
      <c r="B21" s="16">
        <f>Raw_Data_GF!A21</f>
        <v/>
      </c>
      <c r="C21" s="27">
        <f>Raw_Data_GF!C21</f>
        <v/>
      </c>
      <c r="D21" s="5">
        <f>IF(AND(C21&gt;cfg_gf_poa_threshold_wm2,C21&gt;cfg_gf_poa_floor_wm2),1,0)</f>
        <v/>
      </c>
      <c r="E21" s="18">
        <f>Raw_Data_GF!D21</f>
        <v/>
      </c>
      <c r="F21" s="18">
        <f>IF(AND(ABS(Raw_Data_GF!K21)&lt;cfg_i_threshold_a,Raw_Data_GF!E21&gt;cfg_min_voc_v),Raw_Data_GF!E21,"")</f>
        <v/>
      </c>
      <c r="G21" s="18">
        <f>IF(AND(ABS(Raw_Data_GF!L21)&lt;cfg_i_threshold_a,Raw_Data_GF!F21&gt;cfg_min_voc_v),Raw_Data_GF!F21,"")</f>
        <v/>
      </c>
      <c r="H21" s="18">
        <f>IF(AND(ABS(Raw_Data_GF!M21)&lt;cfg_i_threshold_a,Raw_Data_GF!G21&gt;cfg_min_voc_v),Raw_Data_GF!G21,"")</f>
        <v/>
      </c>
      <c r="I21" s="18">
        <f>IF(AND(ABS(Raw_Data_GF!N21)&lt;cfg_i_threshold_a,Raw_Data_GF!H21&gt;cfg_min_voc_v),Raw_Data_GF!H21,"")</f>
        <v/>
      </c>
      <c r="J21" s="18">
        <f>IF(AND(ABS(Raw_Data_GF!O21)&lt;cfg_i_threshold_a,Raw_Data_GF!I21&gt;cfg_min_voc_v),Raw_Data_GF!I21,"")</f>
        <v/>
      </c>
      <c r="K21" s="18">
        <f>IF(AND(ABS(Raw_Data_GF!P21)&lt;cfg_i_threshold_a,Raw_Data_GF!J21&gt;cfg_min_voc_v),Raw_Data_GF!J21,"")</f>
        <v/>
      </c>
      <c r="L21" s="17">
        <f>MEDIAN(Raw_Data_GF!L21,Raw_Data_GF!M21,Raw_Data_GF!N21,Raw_Data_GF!O21,Raw_Data_GF!P21)</f>
        <v/>
      </c>
      <c r="M21" s="17">
        <f>MEDIAN(Raw_Data_GF!K21,Raw_Data_GF!M21,Raw_Data_GF!N21,Raw_Data_GF!O21,Raw_Data_GF!P21)</f>
        <v/>
      </c>
      <c r="N21" s="17">
        <f>MEDIAN(Raw_Data_GF!K21,Raw_Data_GF!L21,Raw_Data_GF!N21,Raw_Data_GF!O21,Raw_Data_GF!P21)</f>
        <v/>
      </c>
      <c r="O21" s="17">
        <f>MEDIAN(Raw_Data_GF!K21,Raw_Data_GF!L21,Raw_Data_GF!M21,Raw_Data_GF!O21,Raw_Data_GF!P21)</f>
        <v/>
      </c>
      <c r="P21" s="17">
        <f>MEDIAN(Raw_Data_GF!K21,Raw_Data_GF!L21,Raw_Data_GF!M21,Raw_Data_GF!N21,Raw_Data_GF!P21)</f>
        <v/>
      </c>
      <c r="Q21" s="17">
        <f>MEDIAN(Raw_Data_GF!K21,Raw_Data_GF!L21,Raw_Data_GF!M21,Raw_Data_GF!N21,Raw_Data_GF!O21)</f>
        <v/>
      </c>
      <c r="R21" s="18">
        <f>ABS(E21)</f>
        <v/>
      </c>
    </row>
    <row r="22">
      <c r="A22" s="5">
        <f>Raw_Data_GF!B22</f>
        <v/>
      </c>
      <c r="B22" s="16">
        <f>Raw_Data_GF!A22</f>
        <v/>
      </c>
      <c r="C22" s="27">
        <f>Raw_Data_GF!C22</f>
        <v/>
      </c>
      <c r="D22" s="5">
        <f>IF(AND(C22&gt;cfg_gf_poa_threshold_wm2,C22&gt;cfg_gf_poa_floor_wm2),1,0)</f>
        <v/>
      </c>
      <c r="E22" s="18">
        <f>Raw_Data_GF!D22</f>
        <v/>
      </c>
      <c r="F22" s="18">
        <f>IF(AND(ABS(Raw_Data_GF!K22)&lt;cfg_i_threshold_a,Raw_Data_GF!E22&gt;cfg_min_voc_v),Raw_Data_GF!E22,"")</f>
        <v/>
      </c>
      <c r="G22" s="18">
        <f>IF(AND(ABS(Raw_Data_GF!L22)&lt;cfg_i_threshold_a,Raw_Data_GF!F22&gt;cfg_min_voc_v),Raw_Data_GF!F22,"")</f>
        <v/>
      </c>
      <c r="H22" s="18">
        <f>IF(AND(ABS(Raw_Data_GF!M22)&lt;cfg_i_threshold_a,Raw_Data_GF!G22&gt;cfg_min_voc_v),Raw_Data_GF!G22,"")</f>
        <v/>
      </c>
      <c r="I22" s="18">
        <f>IF(AND(ABS(Raw_Data_GF!N22)&lt;cfg_i_threshold_a,Raw_Data_GF!H22&gt;cfg_min_voc_v),Raw_Data_GF!H22,"")</f>
        <v/>
      </c>
      <c r="J22" s="18">
        <f>IF(AND(ABS(Raw_Data_GF!O22)&lt;cfg_i_threshold_a,Raw_Data_GF!I22&gt;cfg_min_voc_v),Raw_Data_GF!I22,"")</f>
        <v/>
      </c>
      <c r="K22" s="18">
        <f>IF(AND(ABS(Raw_Data_GF!P22)&lt;cfg_i_threshold_a,Raw_Data_GF!J22&gt;cfg_min_voc_v),Raw_Data_GF!J22,"")</f>
        <v/>
      </c>
      <c r="L22" s="17">
        <f>MEDIAN(Raw_Data_GF!L22,Raw_Data_GF!M22,Raw_Data_GF!N22,Raw_Data_GF!O22,Raw_Data_GF!P22)</f>
        <v/>
      </c>
      <c r="M22" s="17">
        <f>MEDIAN(Raw_Data_GF!K22,Raw_Data_GF!M22,Raw_Data_GF!N22,Raw_Data_GF!O22,Raw_Data_GF!P22)</f>
        <v/>
      </c>
      <c r="N22" s="17">
        <f>MEDIAN(Raw_Data_GF!K22,Raw_Data_GF!L22,Raw_Data_GF!N22,Raw_Data_GF!O22,Raw_Data_GF!P22)</f>
        <v/>
      </c>
      <c r="O22" s="17">
        <f>MEDIAN(Raw_Data_GF!K22,Raw_Data_GF!L22,Raw_Data_GF!M22,Raw_Data_GF!O22,Raw_Data_GF!P22)</f>
        <v/>
      </c>
      <c r="P22" s="17">
        <f>MEDIAN(Raw_Data_GF!K22,Raw_Data_GF!L22,Raw_Data_GF!M22,Raw_Data_GF!N22,Raw_Data_GF!P22)</f>
        <v/>
      </c>
      <c r="Q22" s="17">
        <f>MEDIAN(Raw_Data_GF!K22,Raw_Data_GF!L22,Raw_Data_GF!M22,Raw_Data_GF!N22,Raw_Data_GF!O22)</f>
        <v/>
      </c>
      <c r="R22" s="18">
        <f>ABS(E22)</f>
        <v/>
      </c>
    </row>
    <row r="23">
      <c r="A23" s="5">
        <f>Raw_Data_GF!B23</f>
        <v/>
      </c>
      <c r="B23" s="16">
        <f>Raw_Data_GF!A23</f>
        <v/>
      </c>
      <c r="C23" s="27">
        <f>Raw_Data_GF!C23</f>
        <v/>
      </c>
      <c r="D23" s="5">
        <f>IF(AND(C23&gt;cfg_gf_poa_threshold_wm2,C23&gt;cfg_gf_poa_floor_wm2),1,0)</f>
        <v/>
      </c>
      <c r="E23" s="18">
        <f>Raw_Data_GF!D23</f>
        <v/>
      </c>
      <c r="F23" s="18">
        <f>IF(AND(ABS(Raw_Data_GF!K23)&lt;cfg_i_threshold_a,Raw_Data_GF!E23&gt;cfg_min_voc_v),Raw_Data_GF!E23,"")</f>
        <v/>
      </c>
      <c r="G23" s="18">
        <f>IF(AND(ABS(Raw_Data_GF!L23)&lt;cfg_i_threshold_a,Raw_Data_GF!F23&gt;cfg_min_voc_v),Raw_Data_GF!F23,"")</f>
        <v/>
      </c>
      <c r="H23" s="18">
        <f>IF(AND(ABS(Raw_Data_GF!M23)&lt;cfg_i_threshold_a,Raw_Data_GF!G23&gt;cfg_min_voc_v),Raw_Data_GF!G23,"")</f>
        <v/>
      </c>
      <c r="I23" s="18">
        <f>IF(AND(ABS(Raw_Data_GF!N23)&lt;cfg_i_threshold_a,Raw_Data_GF!H23&gt;cfg_min_voc_v),Raw_Data_GF!H23,"")</f>
        <v/>
      </c>
      <c r="J23" s="18">
        <f>IF(AND(ABS(Raw_Data_GF!O23)&lt;cfg_i_threshold_a,Raw_Data_GF!I23&gt;cfg_min_voc_v),Raw_Data_GF!I23,"")</f>
        <v/>
      </c>
      <c r="K23" s="18">
        <f>IF(AND(ABS(Raw_Data_GF!P23)&lt;cfg_i_threshold_a,Raw_Data_GF!J23&gt;cfg_min_voc_v),Raw_Data_GF!J23,"")</f>
        <v/>
      </c>
      <c r="L23" s="17">
        <f>MEDIAN(Raw_Data_GF!L23,Raw_Data_GF!M23,Raw_Data_GF!N23,Raw_Data_GF!O23,Raw_Data_GF!P23)</f>
        <v/>
      </c>
      <c r="M23" s="17">
        <f>MEDIAN(Raw_Data_GF!K23,Raw_Data_GF!M23,Raw_Data_GF!N23,Raw_Data_GF!O23,Raw_Data_GF!P23)</f>
        <v/>
      </c>
      <c r="N23" s="17">
        <f>MEDIAN(Raw_Data_GF!K23,Raw_Data_GF!L23,Raw_Data_GF!N23,Raw_Data_GF!O23,Raw_Data_GF!P23)</f>
        <v/>
      </c>
      <c r="O23" s="17">
        <f>MEDIAN(Raw_Data_GF!K23,Raw_Data_GF!L23,Raw_Data_GF!M23,Raw_Data_GF!O23,Raw_Data_GF!P23)</f>
        <v/>
      </c>
      <c r="P23" s="17">
        <f>MEDIAN(Raw_Data_GF!K23,Raw_Data_GF!L23,Raw_Data_GF!M23,Raw_Data_GF!N23,Raw_Data_GF!P23)</f>
        <v/>
      </c>
      <c r="Q23" s="17">
        <f>MEDIAN(Raw_Data_GF!K23,Raw_Data_GF!L23,Raw_Data_GF!M23,Raw_Data_GF!N23,Raw_Data_GF!O23)</f>
        <v/>
      </c>
      <c r="R23" s="18">
        <f>ABS(E23)</f>
        <v/>
      </c>
    </row>
    <row r="24">
      <c r="A24" s="5">
        <f>Raw_Data_GF!B24</f>
        <v/>
      </c>
      <c r="B24" s="16">
        <f>Raw_Data_GF!A24</f>
        <v/>
      </c>
      <c r="C24" s="27">
        <f>Raw_Data_GF!C24</f>
        <v/>
      </c>
      <c r="D24" s="5">
        <f>IF(AND(C24&gt;cfg_gf_poa_threshold_wm2,C24&gt;cfg_gf_poa_floor_wm2),1,0)</f>
        <v/>
      </c>
      <c r="E24" s="18">
        <f>Raw_Data_GF!D24</f>
        <v/>
      </c>
      <c r="F24" s="18">
        <f>IF(AND(ABS(Raw_Data_GF!K24)&lt;cfg_i_threshold_a,Raw_Data_GF!E24&gt;cfg_min_voc_v),Raw_Data_GF!E24,"")</f>
        <v/>
      </c>
      <c r="G24" s="18">
        <f>IF(AND(ABS(Raw_Data_GF!L24)&lt;cfg_i_threshold_a,Raw_Data_GF!F24&gt;cfg_min_voc_v),Raw_Data_GF!F24,"")</f>
        <v/>
      </c>
      <c r="H24" s="18">
        <f>IF(AND(ABS(Raw_Data_GF!M24)&lt;cfg_i_threshold_a,Raw_Data_GF!G24&gt;cfg_min_voc_v),Raw_Data_GF!G24,"")</f>
        <v/>
      </c>
      <c r="I24" s="18">
        <f>IF(AND(ABS(Raw_Data_GF!N24)&lt;cfg_i_threshold_a,Raw_Data_GF!H24&gt;cfg_min_voc_v),Raw_Data_GF!H24,"")</f>
        <v/>
      </c>
      <c r="J24" s="18">
        <f>IF(AND(ABS(Raw_Data_GF!O24)&lt;cfg_i_threshold_a,Raw_Data_GF!I24&gt;cfg_min_voc_v),Raw_Data_GF!I24,"")</f>
        <v/>
      </c>
      <c r="K24" s="18">
        <f>IF(AND(ABS(Raw_Data_GF!P24)&lt;cfg_i_threshold_a,Raw_Data_GF!J24&gt;cfg_min_voc_v),Raw_Data_GF!J24,"")</f>
        <v/>
      </c>
      <c r="L24" s="17">
        <f>MEDIAN(Raw_Data_GF!L24,Raw_Data_GF!M24,Raw_Data_GF!N24,Raw_Data_GF!O24,Raw_Data_GF!P24)</f>
        <v/>
      </c>
      <c r="M24" s="17">
        <f>MEDIAN(Raw_Data_GF!K24,Raw_Data_GF!M24,Raw_Data_GF!N24,Raw_Data_GF!O24,Raw_Data_GF!P24)</f>
        <v/>
      </c>
      <c r="N24" s="17">
        <f>MEDIAN(Raw_Data_GF!K24,Raw_Data_GF!L24,Raw_Data_GF!N24,Raw_Data_GF!O24,Raw_Data_GF!P24)</f>
        <v/>
      </c>
      <c r="O24" s="17">
        <f>MEDIAN(Raw_Data_GF!K24,Raw_Data_GF!L24,Raw_Data_GF!M24,Raw_Data_GF!O24,Raw_Data_GF!P24)</f>
        <v/>
      </c>
      <c r="P24" s="17">
        <f>MEDIAN(Raw_Data_GF!K24,Raw_Data_GF!L24,Raw_Data_GF!M24,Raw_Data_GF!N24,Raw_Data_GF!P24)</f>
        <v/>
      </c>
      <c r="Q24" s="17">
        <f>MEDIAN(Raw_Data_GF!K24,Raw_Data_GF!L24,Raw_Data_GF!M24,Raw_Data_GF!N24,Raw_Data_GF!O24)</f>
        <v/>
      </c>
      <c r="R24" s="18">
        <f>ABS(E24)</f>
        <v/>
      </c>
    </row>
    <row r="25">
      <c r="A25" s="5">
        <f>Raw_Data_GF!B25</f>
        <v/>
      </c>
      <c r="B25" s="16">
        <f>Raw_Data_GF!A25</f>
        <v/>
      </c>
      <c r="C25" s="27">
        <f>Raw_Data_GF!C25</f>
        <v/>
      </c>
      <c r="D25" s="5">
        <f>IF(AND(C25&gt;cfg_gf_poa_threshold_wm2,C25&gt;cfg_gf_poa_floor_wm2),1,0)</f>
        <v/>
      </c>
      <c r="E25" s="18">
        <f>Raw_Data_GF!D25</f>
        <v/>
      </c>
      <c r="F25" s="18">
        <f>IF(AND(ABS(Raw_Data_GF!K25)&lt;cfg_i_threshold_a,Raw_Data_GF!E25&gt;cfg_min_voc_v),Raw_Data_GF!E25,"")</f>
        <v/>
      </c>
      <c r="G25" s="18">
        <f>IF(AND(ABS(Raw_Data_GF!L25)&lt;cfg_i_threshold_a,Raw_Data_GF!F25&gt;cfg_min_voc_v),Raw_Data_GF!F25,"")</f>
        <v/>
      </c>
      <c r="H25" s="18">
        <f>IF(AND(ABS(Raw_Data_GF!M25)&lt;cfg_i_threshold_a,Raw_Data_GF!G25&gt;cfg_min_voc_v),Raw_Data_GF!G25,"")</f>
        <v/>
      </c>
      <c r="I25" s="18">
        <f>IF(AND(ABS(Raw_Data_GF!N25)&lt;cfg_i_threshold_a,Raw_Data_GF!H25&gt;cfg_min_voc_v),Raw_Data_GF!H25,"")</f>
        <v/>
      </c>
      <c r="J25" s="18">
        <f>IF(AND(ABS(Raw_Data_GF!O25)&lt;cfg_i_threshold_a,Raw_Data_GF!I25&gt;cfg_min_voc_v),Raw_Data_GF!I25,"")</f>
        <v/>
      </c>
      <c r="K25" s="18">
        <f>IF(AND(ABS(Raw_Data_GF!P25)&lt;cfg_i_threshold_a,Raw_Data_GF!J25&gt;cfg_min_voc_v),Raw_Data_GF!J25,"")</f>
        <v/>
      </c>
      <c r="L25" s="17">
        <f>MEDIAN(Raw_Data_GF!L25,Raw_Data_GF!M25,Raw_Data_GF!N25,Raw_Data_GF!O25,Raw_Data_GF!P25)</f>
        <v/>
      </c>
      <c r="M25" s="17">
        <f>MEDIAN(Raw_Data_GF!K25,Raw_Data_GF!M25,Raw_Data_GF!N25,Raw_Data_GF!O25,Raw_Data_GF!P25)</f>
        <v/>
      </c>
      <c r="N25" s="17">
        <f>MEDIAN(Raw_Data_GF!K25,Raw_Data_GF!L25,Raw_Data_GF!N25,Raw_Data_GF!O25,Raw_Data_GF!P25)</f>
        <v/>
      </c>
      <c r="O25" s="17">
        <f>MEDIAN(Raw_Data_GF!K25,Raw_Data_GF!L25,Raw_Data_GF!M25,Raw_Data_GF!O25,Raw_Data_GF!P25)</f>
        <v/>
      </c>
      <c r="P25" s="17">
        <f>MEDIAN(Raw_Data_GF!K25,Raw_Data_GF!L25,Raw_Data_GF!M25,Raw_Data_GF!N25,Raw_Data_GF!P25)</f>
        <v/>
      </c>
      <c r="Q25" s="17">
        <f>MEDIAN(Raw_Data_GF!K25,Raw_Data_GF!L25,Raw_Data_GF!M25,Raw_Data_GF!N25,Raw_Data_GF!O25)</f>
        <v/>
      </c>
      <c r="R25" s="18">
        <f>ABS(E25)</f>
        <v/>
      </c>
    </row>
    <row r="26">
      <c r="A26" s="5">
        <f>Raw_Data_GF!B26</f>
        <v/>
      </c>
      <c r="B26" s="16">
        <f>Raw_Data_GF!A26</f>
        <v/>
      </c>
      <c r="C26" s="27">
        <f>Raw_Data_GF!C26</f>
        <v/>
      </c>
      <c r="D26" s="5">
        <f>IF(AND(C26&gt;cfg_gf_poa_threshold_wm2,C26&gt;cfg_gf_poa_floor_wm2),1,0)</f>
        <v/>
      </c>
      <c r="E26" s="18">
        <f>Raw_Data_GF!D26</f>
        <v/>
      </c>
      <c r="F26" s="18">
        <f>IF(AND(ABS(Raw_Data_GF!K26)&lt;cfg_i_threshold_a,Raw_Data_GF!E26&gt;cfg_min_voc_v),Raw_Data_GF!E26,"")</f>
        <v/>
      </c>
      <c r="G26" s="18">
        <f>IF(AND(ABS(Raw_Data_GF!L26)&lt;cfg_i_threshold_a,Raw_Data_GF!F26&gt;cfg_min_voc_v),Raw_Data_GF!F26,"")</f>
        <v/>
      </c>
      <c r="H26" s="18">
        <f>IF(AND(ABS(Raw_Data_GF!M26)&lt;cfg_i_threshold_a,Raw_Data_GF!G26&gt;cfg_min_voc_v),Raw_Data_GF!G26,"")</f>
        <v/>
      </c>
      <c r="I26" s="18">
        <f>IF(AND(ABS(Raw_Data_GF!N26)&lt;cfg_i_threshold_a,Raw_Data_GF!H26&gt;cfg_min_voc_v),Raw_Data_GF!H26,"")</f>
        <v/>
      </c>
      <c r="J26" s="18">
        <f>IF(AND(ABS(Raw_Data_GF!O26)&lt;cfg_i_threshold_a,Raw_Data_GF!I26&gt;cfg_min_voc_v),Raw_Data_GF!I26,"")</f>
        <v/>
      </c>
      <c r="K26" s="18">
        <f>IF(AND(ABS(Raw_Data_GF!P26)&lt;cfg_i_threshold_a,Raw_Data_GF!J26&gt;cfg_min_voc_v),Raw_Data_GF!J26,"")</f>
        <v/>
      </c>
      <c r="L26" s="17">
        <f>MEDIAN(Raw_Data_GF!L26,Raw_Data_GF!M26,Raw_Data_GF!N26,Raw_Data_GF!O26,Raw_Data_GF!P26)</f>
        <v/>
      </c>
      <c r="M26" s="17">
        <f>MEDIAN(Raw_Data_GF!K26,Raw_Data_GF!M26,Raw_Data_GF!N26,Raw_Data_GF!O26,Raw_Data_GF!P26)</f>
        <v/>
      </c>
      <c r="N26" s="17">
        <f>MEDIAN(Raw_Data_GF!K26,Raw_Data_GF!L26,Raw_Data_GF!N26,Raw_Data_GF!O26,Raw_Data_GF!P26)</f>
        <v/>
      </c>
      <c r="O26" s="17">
        <f>MEDIAN(Raw_Data_GF!K26,Raw_Data_GF!L26,Raw_Data_GF!M26,Raw_Data_GF!O26,Raw_Data_GF!P26)</f>
        <v/>
      </c>
      <c r="P26" s="17">
        <f>MEDIAN(Raw_Data_GF!K26,Raw_Data_GF!L26,Raw_Data_GF!M26,Raw_Data_GF!N26,Raw_Data_GF!P26)</f>
        <v/>
      </c>
      <c r="Q26" s="17">
        <f>MEDIAN(Raw_Data_GF!K26,Raw_Data_GF!L26,Raw_Data_GF!M26,Raw_Data_GF!N26,Raw_Data_GF!O26)</f>
        <v/>
      </c>
      <c r="R26" s="18">
        <f>ABS(E26)</f>
        <v/>
      </c>
    </row>
    <row r="27">
      <c r="A27" s="5">
        <f>Raw_Data_GF!B27</f>
        <v/>
      </c>
      <c r="B27" s="16">
        <f>Raw_Data_GF!A27</f>
        <v/>
      </c>
      <c r="C27" s="27">
        <f>Raw_Data_GF!C27</f>
        <v/>
      </c>
      <c r="D27" s="5">
        <f>IF(AND(C27&gt;cfg_gf_poa_threshold_wm2,C27&gt;cfg_gf_poa_floor_wm2),1,0)</f>
        <v/>
      </c>
      <c r="E27" s="18">
        <f>Raw_Data_GF!D27</f>
        <v/>
      </c>
      <c r="F27" s="18">
        <f>IF(AND(ABS(Raw_Data_GF!K27)&lt;cfg_i_threshold_a,Raw_Data_GF!E27&gt;cfg_min_voc_v),Raw_Data_GF!E27,"")</f>
        <v/>
      </c>
      <c r="G27" s="18">
        <f>IF(AND(ABS(Raw_Data_GF!L27)&lt;cfg_i_threshold_a,Raw_Data_GF!F27&gt;cfg_min_voc_v),Raw_Data_GF!F27,"")</f>
        <v/>
      </c>
      <c r="H27" s="18">
        <f>IF(AND(ABS(Raw_Data_GF!M27)&lt;cfg_i_threshold_a,Raw_Data_GF!G27&gt;cfg_min_voc_v),Raw_Data_GF!G27,"")</f>
        <v/>
      </c>
      <c r="I27" s="18">
        <f>IF(AND(ABS(Raw_Data_GF!N27)&lt;cfg_i_threshold_a,Raw_Data_GF!H27&gt;cfg_min_voc_v),Raw_Data_GF!H27,"")</f>
        <v/>
      </c>
      <c r="J27" s="18">
        <f>IF(AND(ABS(Raw_Data_GF!O27)&lt;cfg_i_threshold_a,Raw_Data_GF!I27&gt;cfg_min_voc_v),Raw_Data_GF!I27,"")</f>
        <v/>
      </c>
      <c r="K27" s="18">
        <f>IF(AND(ABS(Raw_Data_GF!P27)&lt;cfg_i_threshold_a,Raw_Data_GF!J27&gt;cfg_min_voc_v),Raw_Data_GF!J27,"")</f>
        <v/>
      </c>
      <c r="L27" s="17">
        <f>MEDIAN(Raw_Data_GF!L27,Raw_Data_GF!M27,Raw_Data_GF!N27,Raw_Data_GF!O27,Raw_Data_GF!P27)</f>
        <v/>
      </c>
      <c r="M27" s="17">
        <f>MEDIAN(Raw_Data_GF!K27,Raw_Data_GF!M27,Raw_Data_GF!N27,Raw_Data_GF!O27,Raw_Data_GF!P27)</f>
        <v/>
      </c>
      <c r="N27" s="17">
        <f>MEDIAN(Raw_Data_GF!K27,Raw_Data_GF!L27,Raw_Data_GF!N27,Raw_Data_GF!O27,Raw_Data_GF!P27)</f>
        <v/>
      </c>
      <c r="O27" s="17">
        <f>MEDIAN(Raw_Data_GF!K27,Raw_Data_GF!L27,Raw_Data_GF!M27,Raw_Data_GF!O27,Raw_Data_GF!P27)</f>
        <v/>
      </c>
      <c r="P27" s="17">
        <f>MEDIAN(Raw_Data_GF!K27,Raw_Data_GF!L27,Raw_Data_GF!M27,Raw_Data_GF!N27,Raw_Data_GF!P27)</f>
        <v/>
      </c>
      <c r="Q27" s="17">
        <f>MEDIAN(Raw_Data_GF!K27,Raw_Data_GF!L27,Raw_Data_GF!M27,Raw_Data_GF!N27,Raw_Data_GF!O27)</f>
        <v/>
      </c>
      <c r="R27" s="18">
        <f>ABS(E27)</f>
        <v/>
      </c>
    </row>
    <row r="28">
      <c r="A28" s="5">
        <f>Raw_Data_GF!B28</f>
        <v/>
      </c>
      <c r="B28" s="16">
        <f>Raw_Data_GF!A28</f>
        <v/>
      </c>
      <c r="C28" s="27">
        <f>Raw_Data_GF!C28</f>
        <v/>
      </c>
      <c r="D28" s="5">
        <f>IF(AND(C28&gt;cfg_gf_poa_threshold_wm2,C28&gt;cfg_gf_poa_floor_wm2),1,0)</f>
        <v/>
      </c>
      <c r="E28" s="18">
        <f>Raw_Data_GF!D28</f>
        <v/>
      </c>
      <c r="F28" s="18">
        <f>IF(AND(ABS(Raw_Data_GF!K28)&lt;cfg_i_threshold_a,Raw_Data_GF!E28&gt;cfg_min_voc_v),Raw_Data_GF!E28,"")</f>
        <v/>
      </c>
      <c r="G28" s="18">
        <f>IF(AND(ABS(Raw_Data_GF!L28)&lt;cfg_i_threshold_a,Raw_Data_GF!F28&gt;cfg_min_voc_v),Raw_Data_GF!F28,"")</f>
        <v/>
      </c>
      <c r="H28" s="18">
        <f>IF(AND(ABS(Raw_Data_GF!M28)&lt;cfg_i_threshold_a,Raw_Data_GF!G28&gt;cfg_min_voc_v),Raw_Data_GF!G28,"")</f>
        <v/>
      </c>
      <c r="I28" s="18">
        <f>IF(AND(ABS(Raw_Data_GF!N28)&lt;cfg_i_threshold_a,Raw_Data_GF!H28&gt;cfg_min_voc_v),Raw_Data_GF!H28,"")</f>
        <v/>
      </c>
      <c r="J28" s="18">
        <f>IF(AND(ABS(Raw_Data_GF!O28)&lt;cfg_i_threshold_a,Raw_Data_GF!I28&gt;cfg_min_voc_v),Raw_Data_GF!I28,"")</f>
        <v/>
      </c>
      <c r="K28" s="18">
        <f>IF(AND(ABS(Raw_Data_GF!P28)&lt;cfg_i_threshold_a,Raw_Data_GF!J28&gt;cfg_min_voc_v),Raw_Data_GF!J28,"")</f>
        <v/>
      </c>
      <c r="L28" s="17">
        <f>MEDIAN(Raw_Data_GF!L28,Raw_Data_GF!M28,Raw_Data_GF!N28,Raw_Data_GF!O28,Raw_Data_GF!P28)</f>
        <v/>
      </c>
      <c r="M28" s="17">
        <f>MEDIAN(Raw_Data_GF!K28,Raw_Data_GF!M28,Raw_Data_GF!N28,Raw_Data_GF!O28,Raw_Data_GF!P28)</f>
        <v/>
      </c>
      <c r="N28" s="17">
        <f>MEDIAN(Raw_Data_GF!K28,Raw_Data_GF!L28,Raw_Data_GF!N28,Raw_Data_GF!O28,Raw_Data_GF!P28)</f>
        <v/>
      </c>
      <c r="O28" s="17">
        <f>MEDIAN(Raw_Data_GF!K28,Raw_Data_GF!L28,Raw_Data_GF!M28,Raw_Data_GF!O28,Raw_Data_GF!P28)</f>
        <v/>
      </c>
      <c r="P28" s="17">
        <f>MEDIAN(Raw_Data_GF!K28,Raw_Data_GF!L28,Raw_Data_GF!M28,Raw_Data_GF!N28,Raw_Data_GF!P28)</f>
        <v/>
      </c>
      <c r="Q28" s="17">
        <f>MEDIAN(Raw_Data_GF!K28,Raw_Data_GF!L28,Raw_Data_GF!M28,Raw_Data_GF!N28,Raw_Data_GF!O28)</f>
        <v/>
      </c>
      <c r="R28" s="18">
        <f>ABS(E28)</f>
        <v/>
      </c>
    </row>
    <row r="29">
      <c r="A29" s="5">
        <f>Raw_Data_GF!B29</f>
        <v/>
      </c>
      <c r="B29" s="16">
        <f>Raw_Data_GF!A29</f>
        <v/>
      </c>
      <c r="C29" s="27">
        <f>Raw_Data_GF!C29</f>
        <v/>
      </c>
      <c r="D29" s="5">
        <f>IF(AND(C29&gt;cfg_gf_poa_threshold_wm2,C29&gt;cfg_gf_poa_floor_wm2),1,0)</f>
        <v/>
      </c>
      <c r="E29" s="18">
        <f>Raw_Data_GF!D29</f>
        <v/>
      </c>
      <c r="F29" s="18">
        <f>IF(AND(ABS(Raw_Data_GF!K29)&lt;cfg_i_threshold_a,Raw_Data_GF!E29&gt;cfg_min_voc_v),Raw_Data_GF!E29,"")</f>
        <v/>
      </c>
      <c r="G29" s="18">
        <f>IF(AND(ABS(Raw_Data_GF!L29)&lt;cfg_i_threshold_a,Raw_Data_GF!F29&gt;cfg_min_voc_v),Raw_Data_GF!F29,"")</f>
        <v/>
      </c>
      <c r="H29" s="18">
        <f>IF(AND(ABS(Raw_Data_GF!M29)&lt;cfg_i_threshold_a,Raw_Data_GF!G29&gt;cfg_min_voc_v),Raw_Data_GF!G29,"")</f>
        <v/>
      </c>
      <c r="I29" s="18">
        <f>IF(AND(ABS(Raw_Data_GF!N29)&lt;cfg_i_threshold_a,Raw_Data_GF!H29&gt;cfg_min_voc_v),Raw_Data_GF!H29,"")</f>
        <v/>
      </c>
      <c r="J29" s="18">
        <f>IF(AND(ABS(Raw_Data_GF!O29)&lt;cfg_i_threshold_a,Raw_Data_GF!I29&gt;cfg_min_voc_v),Raw_Data_GF!I29,"")</f>
        <v/>
      </c>
      <c r="K29" s="18">
        <f>IF(AND(ABS(Raw_Data_GF!P29)&lt;cfg_i_threshold_a,Raw_Data_GF!J29&gt;cfg_min_voc_v),Raw_Data_GF!J29,"")</f>
        <v/>
      </c>
      <c r="L29" s="17">
        <f>MEDIAN(Raw_Data_GF!L29,Raw_Data_GF!M29,Raw_Data_GF!N29,Raw_Data_GF!O29,Raw_Data_GF!P29)</f>
        <v/>
      </c>
      <c r="M29" s="17">
        <f>MEDIAN(Raw_Data_GF!K29,Raw_Data_GF!M29,Raw_Data_GF!N29,Raw_Data_GF!O29,Raw_Data_GF!P29)</f>
        <v/>
      </c>
      <c r="N29" s="17">
        <f>MEDIAN(Raw_Data_GF!K29,Raw_Data_GF!L29,Raw_Data_GF!N29,Raw_Data_GF!O29,Raw_Data_GF!P29)</f>
        <v/>
      </c>
      <c r="O29" s="17">
        <f>MEDIAN(Raw_Data_GF!K29,Raw_Data_GF!L29,Raw_Data_GF!M29,Raw_Data_GF!O29,Raw_Data_GF!P29)</f>
        <v/>
      </c>
      <c r="P29" s="17">
        <f>MEDIAN(Raw_Data_GF!K29,Raw_Data_GF!L29,Raw_Data_GF!M29,Raw_Data_GF!N29,Raw_Data_GF!P29)</f>
        <v/>
      </c>
      <c r="Q29" s="17">
        <f>MEDIAN(Raw_Data_GF!K29,Raw_Data_GF!L29,Raw_Data_GF!M29,Raw_Data_GF!N29,Raw_Data_GF!O29)</f>
        <v/>
      </c>
      <c r="R29" s="18">
        <f>ABS(E29)</f>
        <v/>
      </c>
    </row>
    <row r="30">
      <c r="A30" s="5">
        <f>Raw_Data_GF!B30</f>
        <v/>
      </c>
      <c r="B30" s="16">
        <f>Raw_Data_GF!A30</f>
        <v/>
      </c>
      <c r="C30" s="27">
        <f>Raw_Data_GF!C30</f>
        <v/>
      </c>
      <c r="D30" s="5">
        <f>IF(AND(C30&gt;cfg_gf_poa_threshold_wm2,C30&gt;cfg_gf_poa_floor_wm2),1,0)</f>
        <v/>
      </c>
      <c r="E30" s="18">
        <f>Raw_Data_GF!D30</f>
        <v/>
      </c>
      <c r="F30" s="18">
        <f>IF(AND(ABS(Raw_Data_GF!K30)&lt;cfg_i_threshold_a,Raw_Data_GF!E30&gt;cfg_min_voc_v),Raw_Data_GF!E30,"")</f>
        <v/>
      </c>
      <c r="G30" s="18">
        <f>IF(AND(ABS(Raw_Data_GF!L30)&lt;cfg_i_threshold_a,Raw_Data_GF!F30&gt;cfg_min_voc_v),Raw_Data_GF!F30,"")</f>
        <v/>
      </c>
      <c r="H30" s="18">
        <f>IF(AND(ABS(Raw_Data_GF!M30)&lt;cfg_i_threshold_a,Raw_Data_GF!G30&gt;cfg_min_voc_v),Raw_Data_GF!G30,"")</f>
        <v/>
      </c>
      <c r="I30" s="18">
        <f>IF(AND(ABS(Raw_Data_GF!N30)&lt;cfg_i_threshold_a,Raw_Data_GF!H30&gt;cfg_min_voc_v),Raw_Data_GF!H30,"")</f>
        <v/>
      </c>
      <c r="J30" s="18">
        <f>IF(AND(ABS(Raw_Data_GF!O30)&lt;cfg_i_threshold_a,Raw_Data_GF!I30&gt;cfg_min_voc_v),Raw_Data_GF!I30,"")</f>
        <v/>
      </c>
      <c r="K30" s="18">
        <f>IF(AND(ABS(Raw_Data_GF!P30)&lt;cfg_i_threshold_a,Raw_Data_GF!J30&gt;cfg_min_voc_v),Raw_Data_GF!J30,"")</f>
        <v/>
      </c>
      <c r="L30" s="17">
        <f>MEDIAN(Raw_Data_GF!L30,Raw_Data_GF!M30,Raw_Data_GF!N30,Raw_Data_GF!O30,Raw_Data_GF!P30)</f>
        <v/>
      </c>
      <c r="M30" s="17">
        <f>MEDIAN(Raw_Data_GF!K30,Raw_Data_GF!M30,Raw_Data_GF!N30,Raw_Data_GF!O30,Raw_Data_GF!P30)</f>
        <v/>
      </c>
      <c r="N30" s="17">
        <f>MEDIAN(Raw_Data_GF!K30,Raw_Data_GF!L30,Raw_Data_GF!N30,Raw_Data_GF!O30,Raw_Data_GF!P30)</f>
        <v/>
      </c>
      <c r="O30" s="17">
        <f>MEDIAN(Raw_Data_GF!K30,Raw_Data_GF!L30,Raw_Data_GF!M30,Raw_Data_GF!O30,Raw_Data_GF!P30)</f>
        <v/>
      </c>
      <c r="P30" s="17">
        <f>MEDIAN(Raw_Data_GF!K30,Raw_Data_GF!L30,Raw_Data_GF!M30,Raw_Data_GF!N30,Raw_Data_GF!P30)</f>
        <v/>
      </c>
      <c r="Q30" s="17">
        <f>MEDIAN(Raw_Data_GF!K30,Raw_Data_GF!L30,Raw_Data_GF!M30,Raw_Data_GF!N30,Raw_Data_GF!O30)</f>
        <v/>
      </c>
      <c r="R30" s="18">
        <f>ABS(E30)</f>
        <v/>
      </c>
    </row>
    <row r="31">
      <c r="A31" s="5">
        <f>Raw_Data_GF!B31</f>
        <v/>
      </c>
      <c r="B31" s="16">
        <f>Raw_Data_GF!A31</f>
        <v/>
      </c>
      <c r="C31" s="27">
        <f>Raw_Data_GF!C31</f>
        <v/>
      </c>
      <c r="D31" s="5">
        <f>IF(AND(C31&gt;cfg_gf_poa_threshold_wm2,C31&gt;cfg_gf_poa_floor_wm2),1,0)</f>
        <v/>
      </c>
      <c r="E31" s="18">
        <f>Raw_Data_GF!D31</f>
        <v/>
      </c>
      <c r="F31" s="18">
        <f>IF(AND(ABS(Raw_Data_GF!K31)&lt;cfg_i_threshold_a,Raw_Data_GF!E31&gt;cfg_min_voc_v),Raw_Data_GF!E31,"")</f>
        <v/>
      </c>
      <c r="G31" s="18">
        <f>IF(AND(ABS(Raw_Data_GF!L31)&lt;cfg_i_threshold_a,Raw_Data_GF!F31&gt;cfg_min_voc_v),Raw_Data_GF!F31,"")</f>
        <v/>
      </c>
      <c r="H31" s="18">
        <f>IF(AND(ABS(Raw_Data_GF!M31)&lt;cfg_i_threshold_a,Raw_Data_GF!G31&gt;cfg_min_voc_v),Raw_Data_GF!G31,"")</f>
        <v/>
      </c>
      <c r="I31" s="18">
        <f>IF(AND(ABS(Raw_Data_GF!N31)&lt;cfg_i_threshold_a,Raw_Data_GF!H31&gt;cfg_min_voc_v),Raw_Data_GF!H31,"")</f>
        <v/>
      </c>
      <c r="J31" s="18">
        <f>IF(AND(ABS(Raw_Data_GF!O31)&lt;cfg_i_threshold_a,Raw_Data_GF!I31&gt;cfg_min_voc_v),Raw_Data_GF!I31,"")</f>
        <v/>
      </c>
      <c r="K31" s="18">
        <f>IF(AND(ABS(Raw_Data_GF!P31)&lt;cfg_i_threshold_a,Raw_Data_GF!J31&gt;cfg_min_voc_v),Raw_Data_GF!J31,"")</f>
        <v/>
      </c>
      <c r="L31" s="17">
        <f>MEDIAN(Raw_Data_GF!L31,Raw_Data_GF!M31,Raw_Data_GF!N31,Raw_Data_GF!O31,Raw_Data_GF!P31)</f>
        <v/>
      </c>
      <c r="M31" s="17">
        <f>MEDIAN(Raw_Data_GF!K31,Raw_Data_GF!M31,Raw_Data_GF!N31,Raw_Data_GF!O31,Raw_Data_GF!P31)</f>
        <v/>
      </c>
      <c r="N31" s="17">
        <f>MEDIAN(Raw_Data_GF!K31,Raw_Data_GF!L31,Raw_Data_GF!N31,Raw_Data_GF!O31,Raw_Data_GF!P31)</f>
        <v/>
      </c>
      <c r="O31" s="17">
        <f>MEDIAN(Raw_Data_GF!K31,Raw_Data_GF!L31,Raw_Data_GF!M31,Raw_Data_GF!O31,Raw_Data_GF!P31)</f>
        <v/>
      </c>
      <c r="P31" s="17">
        <f>MEDIAN(Raw_Data_GF!K31,Raw_Data_GF!L31,Raw_Data_GF!M31,Raw_Data_GF!N31,Raw_Data_GF!P31)</f>
        <v/>
      </c>
      <c r="Q31" s="17">
        <f>MEDIAN(Raw_Data_GF!K31,Raw_Data_GF!L31,Raw_Data_GF!M31,Raw_Data_GF!N31,Raw_Data_GF!O31)</f>
        <v/>
      </c>
      <c r="R31" s="18">
        <f>ABS(E31)</f>
        <v/>
      </c>
    </row>
    <row r="32">
      <c r="A32" s="5">
        <f>Raw_Data_GF!B32</f>
        <v/>
      </c>
      <c r="B32" s="16">
        <f>Raw_Data_GF!A32</f>
        <v/>
      </c>
      <c r="C32" s="27">
        <f>Raw_Data_GF!C32</f>
        <v/>
      </c>
      <c r="D32" s="5">
        <f>IF(AND(C32&gt;cfg_gf_poa_threshold_wm2,C32&gt;cfg_gf_poa_floor_wm2),1,0)</f>
        <v/>
      </c>
      <c r="E32" s="18">
        <f>Raw_Data_GF!D32</f>
        <v/>
      </c>
      <c r="F32" s="18">
        <f>IF(AND(ABS(Raw_Data_GF!K32)&lt;cfg_i_threshold_a,Raw_Data_GF!E32&gt;cfg_min_voc_v),Raw_Data_GF!E32,"")</f>
        <v/>
      </c>
      <c r="G32" s="18">
        <f>IF(AND(ABS(Raw_Data_GF!L32)&lt;cfg_i_threshold_a,Raw_Data_GF!F32&gt;cfg_min_voc_v),Raw_Data_GF!F32,"")</f>
        <v/>
      </c>
      <c r="H32" s="18">
        <f>IF(AND(ABS(Raw_Data_GF!M32)&lt;cfg_i_threshold_a,Raw_Data_GF!G32&gt;cfg_min_voc_v),Raw_Data_GF!G32,"")</f>
        <v/>
      </c>
      <c r="I32" s="18">
        <f>IF(AND(ABS(Raw_Data_GF!N32)&lt;cfg_i_threshold_a,Raw_Data_GF!H32&gt;cfg_min_voc_v),Raw_Data_GF!H32,"")</f>
        <v/>
      </c>
      <c r="J32" s="18">
        <f>IF(AND(ABS(Raw_Data_GF!O32)&lt;cfg_i_threshold_a,Raw_Data_GF!I32&gt;cfg_min_voc_v),Raw_Data_GF!I32,"")</f>
        <v/>
      </c>
      <c r="K32" s="18">
        <f>IF(AND(ABS(Raw_Data_GF!P32)&lt;cfg_i_threshold_a,Raw_Data_GF!J32&gt;cfg_min_voc_v),Raw_Data_GF!J32,"")</f>
        <v/>
      </c>
      <c r="L32" s="17">
        <f>MEDIAN(Raw_Data_GF!L32,Raw_Data_GF!M32,Raw_Data_GF!N32,Raw_Data_GF!O32,Raw_Data_GF!P32)</f>
        <v/>
      </c>
      <c r="M32" s="17">
        <f>MEDIAN(Raw_Data_GF!K32,Raw_Data_GF!M32,Raw_Data_GF!N32,Raw_Data_GF!O32,Raw_Data_GF!P32)</f>
        <v/>
      </c>
      <c r="N32" s="17">
        <f>MEDIAN(Raw_Data_GF!K32,Raw_Data_GF!L32,Raw_Data_GF!N32,Raw_Data_GF!O32,Raw_Data_GF!P32)</f>
        <v/>
      </c>
      <c r="O32" s="17">
        <f>MEDIAN(Raw_Data_GF!K32,Raw_Data_GF!L32,Raw_Data_GF!M32,Raw_Data_GF!O32,Raw_Data_GF!P32)</f>
        <v/>
      </c>
      <c r="P32" s="17">
        <f>MEDIAN(Raw_Data_GF!K32,Raw_Data_GF!L32,Raw_Data_GF!M32,Raw_Data_GF!N32,Raw_Data_GF!P32)</f>
        <v/>
      </c>
      <c r="Q32" s="17">
        <f>MEDIAN(Raw_Data_GF!K32,Raw_Data_GF!L32,Raw_Data_GF!M32,Raw_Data_GF!N32,Raw_Data_GF!O32)</f>
        <v/>
      </c>
      <c r="R32" s="18">
        <f>ABS(E32)</f>
        <v/>
      </c>
    </row>
    <row r="33">
      <c r="A33" s="5">
        <f>Raw_Data_GF!B33</f>
        <v/>
      </c>
      <c r="B33" s="16">
        <f>Raw_Data_GF!A33</f>
        <v/>
      </c>
      <c r="C33" s="27">
        <f>Raw_Data_GF!C33</f>
        <v/>
      </c>
      <c r="D33" s="5">
        <f>IF(AND(C33&gt;cfg_gf_poa_threshold_wm2,C33&gt;cfg_gf_poa_floor_wm2),1,0)</f>
        <v/>
      </c>
      <c r="E33" s="18">
        <f>Raw_Data_GF!D33</f>
        <v/>
      </c>
      <c r="F33" s="18">
        <f>IF(AND(ABS(Raw_Data_GF!K33)&lt;cfg_i_threshold_a,Raw_Data_GF!E33&gt;cfg_min_voc_v),Raw_Data_GF!E33,"")</f>
        <v/>
      </c>
      <c r="G33" s="18">
        <f>IF(AND(ABS(Raw_Data_GF!L33)&lt;cfg_i_threshold_a,Raw_Data_GF!F33&gt;cfg_min_voc_v),Raw_Data_GF!F33,"")</f>
        <v/>
      </c>
      <c r="H33" s="18">
        <f>IF(AND(ABS(Raw_Data_GF!M33)&lt;cfg_i_threshold_a,Raw_Data_GF!G33&gt;cfg_min_voc_v),Raw_Data_GF!G33,"")</f>
        <v/>
      </c>
      <c r="I33" s="18">
        <f>IF(AND(ABS(Raw_Data_GF!N33)&lt;cfg_i_threshold_a,Raw_Data_GF!H33&gt;cfg_min_voc_v),Raw_Data_GF!H33,"")</f>
        <v/>
      </c>
      <c r="J33" s="18">
        <f>IF(AND(ABS(Raw_Data_GF!O33)&lt;cfg_i_threshold_a,Raw_Data_GF!I33&gt;cfg_min_voc_v),Raw_Data_GF!I33,"")</f>
        <v/>
      </c>
      <c r="K33" s="18">
        <f>IF(AND(ABS(Raw_Data_GF!P33)&lt;cfg_i_threshold_a,Raw_Data_GF!J33&gt;cfg_min_voc_v),Raw_Data_GF!J33,"")</f>
        <v/>
      </c>
      <c r="L33" s="17">
        <f>MEDIAN(Raw_Data_GF!L33,Raw_Data_GF!M33,Raw_Data_GF!N33,Raw_Data_GF!O33,Raw_Data_GF!P33)</f>
        <v/>
      </c>
      <c r="M33" s="17">
        <f>MEDIAN(Raw_Data_GF!K33,Raw_Data_GF!M33,Raw_Data_GF!N33,Raw_Data_GF!O33,Raw_Data_GF!P33)</f>
        <v/>
      </c>
      <c r="N33" s="17">
        <f>MEDIAN(Raw_Data_GF!K33,Raw_Data_GF!L33,Raw_Data_GF!N33,Raw_Data_GF!O33,Raw_Data_GF!P33)</f>
        <v/>
      </c>
      <c r="O33" s="17">
        <f>MEDIAN(Raw_Data_GF!K33,Raw_Data_GF!L33,Raw_Data_GF!M33,Raw_Data_GF!O33,Raw_Data_GF!P33)</f>
        <v/>
      </c>
      <c r="P33" s="17">
        <f>MEDIAN(Raw_Data_GF!K33,Raw_Data_GF!L33,Raw_Data_GF!M33,Raw_Data_GF!N33,Raw_Data_GF!P33)</f>
        <v/>
      </c>
      <c r="Q33" s="17">
        <f>MEDIAN(Raw_Data_GF!K33,Raw_Data_GF!L33,Raw_Data_GF!M33,Raw_Data_GF!N33,Raw_Data_GF!O33)</f>
        <v/>
      </c>
      <c r="R33" s="18">
        <f>ABS(E33)</f>
        <v/>
      </c>
    </row>
    <row r="34">
      <c r="A34" s="5">
        <f>Raw_Data_GF!B34</f>
        <v/>
      </c>
      <c r="B34" s="16">
        <f>Raw_Data_GF!A34</f>
        <v/>
      </c>
      <c r="C34" s="27">
        <f>Raw_Data_GF!C34</f>
        <v/>
      </c>
      <c r="D34" s="5">
        <f>IF(AND(C34&gt;cfg_gf_poa_threshold_wm2,C34&gt;cfg_gf_poa_floor_wm2),1,0)</f>
        <v/>
      </c>
      <c r="E34" s="18">
        <f>Raw_Data_GF!D34</f>
        <v/>
      </c>
      <c r="F34" s="18">
        <f>IF(AND(ABS(Raw_Data_GF!K34)&lt;cfg_i_threshold_a,Raw_Data_GF!E34&gt;cfg_min_voc_v),Raw_Data_GF!E34,"")</f>
        <v/>
      </c>
      <c r="G34" s="18">
        <f>IF(AND(ABS(Raw_Data_GF!L34)&lt;cfg_i_threshold_a,Raw_Data_GF!F34&gt;cfg_min_voc_v),Raw_Data_GF!F34,"")</f>
        <v/>
      </c>
      <c r="H34" s="18">
        <f>IF(AND(ABS(Raw_Data_GF!M34)&lt;cfg_i_threshold_a,Raw_Data_GF!G34&gt;cfg_min_voc_v),Raw_Data_GF!G34,"")</f>
        <v/>
      </c>
      <c r="I34" s="18">
        <f>IF(AND(ABS(Raw_Data_GF!N34)&lt;cfg_i_threshold_a,Raw_Data_GF!H34&gt;cfg_min_voc_v),Raw_Data_GF!H34,"")</f>
        <v/>
      </c>
      <c r="J34" s="18">
        <f>IF(AND(ABS(Raw_Data_GF!O34)&lt;cfg_i_threshold_a,Raw_Data_GF!I34&gt;cfg_min_voc_v),Raw_Data_GF!I34,"")</f>
        <v/>
      </c>
      <c r="K34" s="18">
        <f>IF(AND(ABS(Raw_Data_GF!P34)&lt;cfg_i_threshold_a,Raw_Data_GF!J34&gt;cfg_min_voc_v),Raw_Data_GF!J34,"")</f>
        <v/>
      </c>
      <c r="L34" s="17">
        <f>MEDIAN(Raw_Data_GF!L34,Raw_Data_GF!M34,Raw_Data_GF!N34,Raw_Data_GF!O34,Raw_Data_GF!P34)</f>
        <v/>
      </c>
      <c r="M34" s="17">
        <f>MEDIAN(Raw_Data_GF!K34,Raw_Data_GF!M34,Raw_Data_GF!N34,Raw_Data_GF!O34,Raw_Data_GF!P34)</f>
        <v/>
      </c>
      <c r="N34" s="17">
        <f>MEDIAN(Raw_Data_GF!K34,Raw_Data_GF!L34,Raw_Data_GF!N34,Raw_Data_GF!O34,Raw_Data_GF!P34)</f>
        <v/>
      </c>
      <c r="O34" s="17">
        <f>MEDIAN(Raw_Data_GF!K34,Raw_Data_GF!L34,Raw_Data_GF!M34,Raw_Data_GF!O34,Raw_Data_GF!P34)</f>
        <v/>
      </c>
      <c r="P34" s="17">
        <f>MEDIAN(Raw_Data_GF!K34,Raw_Data_GF!L34,Raw_Data_GF!M34,Raw_Data_GF!N34,Raw_Data_GF!P34)</f>
        <v/>
      </c>
      <c r="Q34" s="17">
        <f>MEDIAN(Raw_Data_GF!K34,Raw_Data_GF!L34,Raw_Data_GF!M34,Raw_Data_GF!N34,Raw_Data_GF!O34)</f>
        <v/>
      </c>
      <c r="R34" s="18">
        <f>ABS(E34)</f>
        <v/>
      </c>
    </row>
    <row r="35">
      <c r="A35" s="5">
        <f>Raw_Data_GF!B35</f>
        <v/>
      </c>
      <c r="B35" s="16">
        <f>Raw_Data_GF!A35</f>
        <v/>
      </c>
      <c r="C35" s="27">
        <f>Raw_Data_GF!C35</f>
        <v/>
      </c>
      <c r="D35" s="5">
        <f>IF(AND(C35&gt;cfg_gf_poa_threshold_wm2,C35&gt;cfg_gf_poa_floor_wm2),1,0)</f>
        <v/>
      </c>
      <c r="E35" s="18">
        <f>Raw_Data_GF!D35</f>
        <v/>
      </c>
      <c r="F35" s="18">
        <f>IF(AND(ABS(Raw_Data_GF!K35)&lt;cfg_i_threshold_a,Raw_Data_GF!E35&gt;cfg_min_voc_v),Raw_Data_GF!E35,"")</f>
        <v/>
      </c>
      <c r="G35" s="18">
        <f>IF(AND(ABS(Raw_Data_GF!L35)&lt;cfg_i_threshold_a,Raw_Data_GF!F35&gt;cfg_min_voc_v),Raw_Data_GF!F35,"")</f>
        <v/>
      </c>
      <c r="H35" s="18">
        <f>IF(AND(ABS(Raw_Data_GF!M35)&lt;cfg_i_threshold_a,Raw_Data_GF!G35&gt;cfg_min_voc_v),Raw_Data_GF!G35,"")</f>
        <v/>
      </c>
      <c r="I35" s="18">
        <f>IF(AND(ABS(Raw_Data_GF!N35)&lt;cfg_i_threshold_a,Raw_Data_GF!H35&gt;cfg_min_voc_v),Raw_Data_GF!H35,"")</f>
        <v/>
      </c>
      <c r="J35" s="18">
        <f>IF(AND(ABS(Raw_Data_GF!O35)&lt;cfg_i_threshold_a,Raw_Data_GF!I35&gt;cfg_min_voc_v),Raw_Data_GF!I35,"")</f>
        <v/>
      </c>
      <c r="K35" s="18">
        <f>IF(AND(ABS(Raw_Data_GF!P35)&lt;cfg_i_threshold_a,Raw_Data_GF!J35&gt;cfg_min_voc_v),Raw_Data_GF!J35,"")</f>
        <v/>
      </c>
      <c r="L35" s="17">
        <f>MEDIAN(Raw_Data_GF!L35,Raw_Data_GF!M35,Raw_Data_GF!N35,Raw_Data_GF!O35,Raw_Data_GF!P35)</f>
        <v/>
      </c>
      <c r="M35" s="17">
        <f>MEDIAN(Raw_Data_GF!K35,Raw_Data_GF!M35,Raw_Data_GF!N35,Raw_Data_GF!O35,Raw_Data_GF!P35)</f>
        <v/>
      </c>
      <c r="N35" s="17">
        <f>MEDIAN(Raw_Data_GF!K35,Raw_Data_GF!L35,Raw_Data_GF!N35,Raw_Data_GF!O35,Raw_Data_GF!P35)</f>
        <v/>
      </c>
      <c r="O35" s="17">
        <f>MEDIAN(Raw_Data_GF!K35,Raw_Data_GF!L35,Raw_Data_GF!M35,Raw_Data_GF!O35,Raw_Data_GF!P35)</f>
        <v/>
      </c>
      <c r="P35" s="17">
        <f>MEDIAN(Raw_Data_GF!K35,Raw_Data_GF!L35,Raw_Data_GF!M35,Raw_Data_GF!N35,Raw_Data_GF!P35)</f>
        <v/>
      </c>
      <c r="Q35" s="17">
        <f>MEDIAN(Raw_Data_GF!K35,Raw_Data_GF!L35,Raw_Data_GF!M35,Raw_Data_GF!N35,Raw_Data_GF!O35)</f>
        <v/>
      </c>
      <c r="R35" s="18">
        <f>ABS(E35)</f>
        <v/>
      </c>
    </row>
    <row r="36">
      <c r="A36" s="5">
        <f>Raw_Data_GF!B36</f>
        <v/>
      </c>
      <c r="B36" s="16">
        <f>Raw_Data_GF!A36</f>
        <v/>
      </c>
      <c r="C36" s="27">
        <f>Raw_Data_GF!C36</f>
        <v/>
      </c>
      <c r="D36" s="5">
        <f>IF(AND(C36&gt;cfg_gf_poa_threshold_wm2,C36&gt;cfg_gf_poa_floor_wm2),1,0)</f>
        <v/>
      </c>
      <c r="E36" s="18">
        <f>Raw_Data_GF!D36</f>
        <v/>
      </c>
      <c r="F36" s="18">
        <f>IF(AND(ABS(Raw_Data_GF!K36)&lt;cfg_i_threshold_a,Raw_Data_GF!E36&gt;cfg_min_voc_v),Raw_Data_GF!E36,"")</f>
        <v/>
      </c>
      <c r="G36" s="18">
        <f>IF(AND(ABS(Raw_Data_GF!L36)&lt;cfg_i_threshold_a,Raw_Data_GF!F36&gt;cfg_min_voc_v),Raw_Data_GF!F36,"")</f>
        <v/>
      </c>
      <c r="H36" s="18">
        <f>IF(AND(ABS(Raw_Data_GF!M36)&lt;cfg_i_threshold_a,Raw_Data_GF!G36&gt;cfg_min_voc_v),Raw_Data_GF!G36,"")</f>
        <v/>
      </c>
      <c r="I36" s="18">
        <f>IF(AND(ABS(Raw_Data_GF!N36)&lt;cfg_i_threshold_a,Raw_Data_GF!H36&gt;cfg_min_voc_v),Raw_Data_GF!H36,"")</f>
        <v/>
      </c>
      <c r="J36" s="18">
        <f>IF(AND(ABS(Raw_Data_GF!O36)&lt;cfg_i_threshold_a,Raw_Data_GF!I36&gt;cfg_min_voc_v),Raw_Data_GF!I36,"")</f>
        <v/>
      </c>
      <c r="K36" s="18">
        <f>IF(AND(ABS(Raw_Data_GF!P36)&lt;cfg_i_threshold_a,Raw_Data_GF!J36&gt;cfg_min_voc_v),Raw_Data_GF!J36,"")</f>
        <v/>
      </c>
      <c r="L36" s="17">
        <f>MEDIAN(Raw_Data_GF!L36,Raw_Data_GF!M36,Raw_Data_GF!N36,Raw_Data_GF!O36,Raw_Data_GF!P36)</f>
        <v/>
      </c>
      <c r="M36" s="17">
        <f>MEDIAN(Raw_Data_GF!K36,Raw_Data_GF!M36,Raw_Data_GF!N36,Raw_Data_GF!O36,Raw_Data_GF!P36)</f>
        <v/>
      </c>
      <c r="N36" s="17">
        <f>MEDIAN(Raw_Data_GF!K36,Raw_Data_GF!L36,Raw_Data_GF!N36,Raw_Data_GF!O36,Raw_Data_GF!P36)</f>
        <v/>
      </c>
      <c r="O36" s="17">
        <f>MEDIAN(Raw_Data_GF!K36,Raw_Data_GF!L36,Raw_Data_GF!M36,Raw_Data_GF!O36,Raw_Data_GF!P36)</f>
        <v/>
      </c>
      <c r="P36" s="17">
        <f>MEDIAN(Raw_Data_GF!K36,Raw_Data_GF!L36,Raw_Data_GF!M36,Raw_Data_GF!N36,Raw_Data_GF!P36)</f>
        <v/>
      </c>
      <c r="Q36" s="17">
        <f>MEDIAN(Raw_Data_GF!K36,Raw_Data_GF!L36,Raw_Data_GF!M36,Raw_Data_GF!N36,Raw_Data_GF!O36)</f>
        <v/>
      </c>
      <c r="R36" s="18">
        <f>ABS(E36)</f>
        <v/>
      </c>
    </row>
    <row r="37">
      <c r="A37" s="5">
        <f>Raw_Data_GF!B37</f>
        <v/>
      </c>
      <c r="B37" s="16">
        <f>Raw_Data_GF!A37</f>
        <v/>
      </c>
      <c r="C37" s="27">
        <f>Raw_Data_GF!C37</f>
        <v/>
      </c>
      <c r="D37" s="5">
        <f>IF(AND(C37&gt;cfg_gf_poa_threshold_wm2,C37&gt;cfg_gf_poa_floor_wm2),1,0)</f>
        <v/>
      </c>
      <c r="E37" s="18">
        <f>Raw_Data_GF!D37</f>
        <v/>
      </c>
      <c r="F37" s="18">
        <f>IF(AND(ABS(Raw_Data_GF!K37)&lt;cfg_i_threshold_a,Raw_Data_GF!E37&gt;cfg_min_voc_v),Raw_Data_GF!E37,"")</f>
        <v/>
      </c>
      <c r="G37" s="18">
        <f>IF(AND(ABS(Raw_Data_GF!L37)&lt;cfg_i_threshold_a,Raw_Data_GF!F37&gt;cfg_min_voc_v),Raw_Data_GF!F37,"")</f>
        <v/>
      </c>
      <c r="H37" s="18">
        <f>IF(AND(ABS(Raw_Data_GF!M37)&lt;cfg_i_threshold_a,Raw_Data_GF!G37&gt;cfg_min_voc_v),Raw_Data_GF!G37,"")</f>
        <v/>
      </c>
      <c r="I37" s="18">
        <f>IF(AND(ABS(Raw_Data_GF!N37)&lt;cfg_i_threshold_a,Raw_Data_GF!H37&gt;cfg_min_voc_v),Raw_Data_GF!H37,"")</f>
        <v/>
      </c>
      <c r="J37" s="18">
        <f>IF(AND(ABS(Raw_Data_GF!O37)&lt;cfg_i_threshold_a,Raw_Data_GF!I37&gt;cfg_min_voc_v),Raw_Data_GF!I37,"")</f>
        <v/>
      </c>
      <c r="K37" s="18">
        <f>IF(AND(ABS(Raw_Data_GF!P37)&lt;cfg_i_threshold_a,Raw_Data_GF!J37&gt;cfg_min_voc_v),Raw_Data_GF!J37,"")</f>
        <v/>
      </c>
      <c r="L37" s="17">
        <f>MEDIAN(Raw_Data_GF!L37,Raw_Data_GF!M37,Raw_Data_GF!N37,Raw_Data_GF!O37,Raw_Data_GF!P37)</f>
        <v/>
      </c>
      <c r="M37" s="17">
        <f>MEDIAN(Raw_Data_GF!K37,Raw_Data_GF!M37,Raw_Data_GF!N37,Raw_Data_GF!O37,Raw_Data_GF!P37)</f>
        <v/>
      </c>
      <c r="N37" s="17">
        <f>MEDIAN(Raw_Data_GF!K37,Raw_Data_GF!L37,Raw_Data_GF!N37,Raw_Data_GF!O37,Raw_Data_GF!P37)</f>
        <v/>
      </c>
      <c r="O37" s="17">
        <f>MEDIAN(Raw_Data_GF!K37,Raw_Data_GF!L37,Raw_Data_GF!M37,Raw_Data_GF!O37,Raw_Data_GF!P37)</f>
        <v/>
      </c>
      <c r="P37" s="17">
        <f>MEDIAN(Raw_Data_GF!K37,Raw_Data_GF!L37,Raw_Data_GF!M37,Raw_Data_GF!N37,Raw_Data_GF!P37)</f>
        <v/>
      </c>
      <c r="Q37" s="17">
        <f>MEDIAN(Raw_Data_GF!K37,Raw_Data_GF!L37,Raw_Data_GF!M37,Raw_Data_GF!N37,Raw_Data_GF!O37)</f>
        <v/>
      </c>
      <c r="R37" s="18">
        <f>ABS(E37)</f>
        <v/>
      </c>
    </row>
    <row r="38">
      <c r="A38" s="5">
        <f>Raw_Data_GF!B38</f>
        <v/>
      </c>
      <c r="B38" s="16">
        <f>Raw_Data_GF!A38</f>
        <v/>
      </c>
      <c r="C38" s="27">
        <f>Raw_Data_GF!C38</f>
        <v/>
      </c>
      <c r="D38" s="5">
        <f>IF(AND(C38&gt;cfg_gf_poa_threshold_wm2,C38&gt;cfg_gf_poa_floor_wm2),1,0)</f>
        <v/>
      </c>
      <c r="E38" s="18">
        <f>Raw_Data_GF!D38</f>
        <v/>
      </c>
      <c r="F38" s="18">
        <f>IF(AND(ABS(Raw_Data_GF!K38)&lt;cfg_i_threshold_a,Raw_Data_GF!E38&gt;cfg_min_voc_v),Raw_Data_GF!E38,"")</f>
        <v/>
      </c>
      <c r="G38" s="18">
        <f>IF(AND(ABS(Raw_Data_GF!L38)&lt;cfg_i_threshold_a,Raw_Data_GF!F38&gt;cfg_min_voc_v),Raw_Data_GF!F38,"")</f>
        <v/>
      </c>
      <c r="H38" s="18">
        <f>IF(AND(ABS(Raw_Data_GF!M38)&lt;cfg_i_threshold_a,Raw_Data_GF!G38&gt;cfg_min_voc_v),Raw_Data_GF!G38,"")</f>
        <v/>
      </c>
      <c r="I38" s="18">
        <f>IF(AND(ABS(Raw_Data_GF!N38)&lt;cfg_i_threshold_a,Raw_Data_GF!H38&gt;cfg_min_voc_v),Raw_Data_GF!H38,"")</f>
        <v/>
      </c>
      <c r="J38" s="18">
        <f>IF(AND(ABS(Raw_Data_GF!O38)&lt;cfg_i_threshold_a,Raw_Data_GF!I38&gt;cfg_min_voc_v),Raw_Data_GF!I38,"")</f>
        <v/>
      </c>
      <c r="K38" s="18">
        <f>IF(AND(ABS(Raw_Data_GF!P38)&lt;cfg_i_threshold_a,Raw_Data_GF!J38&gt;cfg_min_voc_v),Raw_Data_GF!J38,"")</f>
        <v/>
      </c>
      <c r="L38" s="17">
        <f>MEDIAN(Raw_Data_GF!L38,Raw_Data_GF!M38,Raw_Data_GF!N38,Raw_Data_GF!O38,Raw_Data_GF!P38)</f>
        <v/>
      </c>
      <c r="M38" s="17">
        <f>MEDIAN(Raw_Data_GF!K38,Raw_Data_GF!M38,Raw_Data_GF!N38,Raw_Data_GF!O38,Raw_Data_GF!P38)</f>
        <v/>
      </c>
      <c r="N38" s="17">
        <f>MEDIAN(Raw_Data_GF!K38,Raw_Data_GF!L38,Raw_Data_GF!N38,Raw_Data_GF!O38,Raw_Data_GF!P38)</f>
        <v/>
      </c>
      <c r="O38" s="17">
        <f>MEDIAN(Raw_Data_GF!K38,Raw_Data_GF!L38,Raw_Data_GF!M38,Raw_Data_GF!O38,Raw_Data_GF!P38)</f>
        <v/>
      </c>
      <c r="P38" s="17">
        <f>MEDIAN(Raw_Data_GF!K38,Raw_Data_GF!L38,Raw_Data_GF!M38,Raw_Data_GF!N38,Raw_Data_GF!P38)</f>
        <v/>
      </c>
      <c r="Q38" s="17">
        <f>MEDIAN(Raw_Data_GF!K38,Raw_Data_GF!L38,Raw_Data_GF!M38,Raw_Data_GF!N38,Raw_Data_GF!O38)</f>
        <v/>
      </c>
      <c r="R38" s="18">
        <f>ABS(E38)</f>
        <v/>
      </c>
    </row>
    <row r="39">
      <c r="A39" s="5">
        <f>Raw_Data_GF!B39</f>
        <v/>
      </c>
      <c r="B39" s="16">
        <f>Raw_Data_GF!A39</f>
        <v/>
      </c>
      <c r="C39" s="27">
        <f>Raw_Data_GF!C39</f>
        <v/>
      </c>
      <c r="D39" s="5">
        <f>IF(AND(C39&gt;cfg_gf_poa_threshold_wm2,C39&gt;cfg_gf_poa_floor_wm2),1,0)</f>
        <v/>
      </c>
      <c r="E39" s="18">
        <f>Raw_Data_GF!D39</f>
        <v/>
      </c>
      <c r="F39" s="18">
        <f>IF(AND(ABS(Raw_Data_GF!K39)&lt;cfg_i_threshold_a,Raw_Data_GF!E39&gt;cfg_min_voc_v),Raw_Data_GF!E39,"")</f>
        <v/>
      </c>
      <c r="G39" s="18">
        <f>IF(AND(ABS(Raw_Data_GF!L39)&lt;cfg_i_threshold_a,Raw_Data_GF!F39&gt;cfg_min_voc_v),Raw_Data_GF!F39,"")</f>
        <v/>
      </c>
      <c r="H39" s="18">
        <f>IF(AND(ABS(Raw_Data_GF!M39)&lt;cfg_i_threshold_a,Raw_Data_GF!G39&gt;cfg_min_voc_v),Raw_Data_GF!G39,"")</f>
        <v/>
      </c>
      <c r="I39" s="18">
        <f>IF(AND(ABS(Raw_Data_GF!N39)&lt;cfg_i_threshold_a,Raw_Data_GF!H39&gt;cfg_min_voc_v),Raw_Data_GF!H39,"")</f>
        <v/>
      </c>
      <c r="J39" s="18">
        <f>IF(AND(ABS(Raw_Data_GF!O39)&lt;cfg_i_threshold_a,Raw_Data_GF!I39&gt;cfg_min_voc_v),Raw_Data_GF!I39,"")</f>
        <v/>
      </c>
      <c r="K39" s="18">
        <f>IF(AND(ABS(Raw_Data_GF!P39)&lt;cfg_i_threshold_a,Raw_Data_GF!J39&gt;cfg_min_voc_v),Raw_Data_GF!J39,"")</f>
        <v/>
      </c>
      <c r="L39" s="17">
        <f>MEDIAN(Raw_Data_GF!L39,Raw_Data_GF!M39,Raw_Data_GF!N39,Raw_Data_GF!O39,Raw_Data_GF!P39)</f>
        <v/>
      </c>
      <c r="M39" s="17">
        <f>MEDIAN(Raw_Data_GF!K39,Raw_Data_GF!M39,Raw_Data_GF!N39,Raw_Data_GF!O39,Raw_Data_GF!P39)</f>
        <v/>
      </c>
      <c r="N39" s="17">
        <f>MEDIAN(Raw_Data_GF!K39,Raw_Data_GF!L39,Raw_Data_GF!N39,Raw_Data_GF!O39,Raw_Data_GF!P39)</f>
        <v/>
      </c>
      <c r="O39" s="17">
        <f>MEDIAN(Raw_Data_GF!K39,Raw_Data_GF!L39,Raw_Data_GF!M39,Raw_Data_GF!O39,Raw_Data_GF!P39)</f>
        <v/>
      </c>
      <c r="P39" s="17">
        <f>MEDIAN(Raw_Data_GF!K39,Raw_Data_GF!L39,Raw_Data_GF!M39,Raw_Data_GF!N39,Raw_Data_GF!P39)</f>
        <v/>
      </c>
      <c r="Q39" s="17">
        <f>MEDIAN(Raw_Data_GF!K39,Raw_Data_GF!L39,Raw_Data_GF!M39,Raw_Data_GF!N39,Raw_Data_GF!O39)</f>
        <v/>
      </c>
      <c r="R39" s="18">
        <f>ABS(E39)</f>
        <v/>
      </c>
    </row>
    <row r="40">
      <c r="A40" s="5">
        <f>Raw_Data_GF!B40</f>
        <v/>
      </c>
      <c r="B40" s="16">
        <f>Raw_Data_GF!A40</f>
        <v/>
      </c>
      <c r="C40" s="27">
        <f>Raw_Data_GF!C40</f>
        <v/>
      </c>
      <c r="D40" s="5">
        <f>IF(AND(C40&gt;cfg_gf_poa_threshold_wm2,C40&gt;cfg_gf_poa_floor_wm2),1,0)</f>
        <v/>
      </c>
      <c r="E40" s="18">
        <f>Raw_Data_GF!D40</f>
        <v/>
      </c>
      <c r="F40" s="18">
        <f>IF(AND(ABS(Raw_Data_GF!K40)&lt;cfg_i_threshold_a,Raw_Data_GF!E40&gt;cfg_min_voc_v),Raw_Data_GF!E40,"")</f>
        <v/>
      </c>
      <c r="G40" s="18">
        <f>IF(AND(ABS(Raw_Data_GF!L40)&lt;cfg_i_threshold_a,Raw_Data_GF!F40&gt;cfg_min_voc_v),Raw_Data_GF!F40,"")</f>
        <v/>
      </c>
      <c r="H40" s="18">
        <f>IF(AND(ABS(Raw_Data_GF!M40)&lt;cfg_i_threshold_a,Raw_Data_GF!G40&gt;cfg_min_voc_v),Raw_Data_GF!G40,"")</f>
        <v/>
      </c>
      <c r="I40" s="18">
        <f>IF(AND(ABS(Raw_Data_GF!N40)&lt;cfg_i_threshold_a,Raw_Data_GF!H40&gt;cfg_min_voc_v),Raw_Data_GF!H40,"")</f>
        <v/>
      </c>
      <c r="J40" s="18">
        <f>IF(AND(ABS(Raw_Data_GF!O40)&lt;cfg_i_threshold_a,Raw_Data_GF!I40&gt;cfg_min_voc_v),Raw_Data_GF!I40,"")</f>
        <v/>
      </c>
      <c r="K40" s="18">
        <f>IF(AND(ABS(Raw_Data_GF!P40)&lt;cfg_i_threshold_a,Raw_Data_GF!J40&gt;cfg_min_voc_v),Raw_Data_GF!J40,"")</f>
        <v/>
      </c>
      <c r="L40" s="17">
        <f>MEDIAN(Raw_Data_GF!L40,Raw_Data_GF!M40,Raw_Data_GF!N40,Raw_Data_GF!O40,Raw_Data_GF!P40)</f>
        <v/>
      </c>
      <c r="M40" s="17">
        <f>MEDIAN(Raw_Data_GF!K40,Raw_Data_GF!M40,Raw_Data_GF!N40,Raw_Data_GF!O40,Raw_Data_GF!P40)</f>
        <v/>
      </c>
      <c r="N40" s="17">
        <f>MEDIAN(Raw_Data_GF!K40,Raw_Data_GF!L40,Raw_Data_GF!N40,Raw_Data_GF!O40,Raw_Data_GF!P40)</f>
        <v/>
      </c>
      <c r="O40" s="17">
        <f>MEDIAN(Raw_Data_GF!K40,Raw_Data_GF!L40,Raw_Data_GF!M40,Raw_Data_GF!O40,Raw_Data_GF!P40)</f>
        <v/>
      </c>
      <c r="P40" s="17">
        <f>MEDIAN(Raw_Data_GF!K40,Raw_Data_GF!L40,Raw_Data_GF!M40,Raw_Data_GF!N40,Raw_Data_GF!P40)</f>
        <v/>
      </c>
      <c r="Q40" s="17">
        <f>MEDIAN(Raw_Data_GF!K40,Raw_Data_GF!L40,Raw_Data_GF!M40,Raw_Data_GF!N40,Raw_Data_GF!O40)</f>
        <v/>
      </c>
      <c r="R40" s="18">
        <f>ABS(E40)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s="23" t="inlineStr">
        <is>
          <t>GF_StringMetrics — per (inverter, PV string): Voc &amp; peer-I z-score</t>
        </is>
      </c>
    </row>
    <row r="2">
      <c r="A2" s="24" t="inlineStr">
        <is>
          <t>voc_actual = MEDIAN(voc_cand) (hanya baris dawn I&lt;0.5 non-blank). voc_ratio = voc_actual / voc_string_26_calc (1430.61V @30°C). i_z = (I_median_daylight − peer_med) / peer_std. spec_flag = voc_ratio&lt;0.85 AND i_z&gt;2 (string bukan-empty).</t>
        </is>
      </c>
    </row>
    <row r="4">
      <c r="A4" s="10" t="inlineStr">
        <is>
          <t>Inverter_ID</t>
        </is>
      </c>
      <c r="B4" s="10" t="inlineStr">
        <is>
          <t>PV</t>
        </is>
      </c>
      <c r="C4" s="10" t="inlineStr">
        <is>
          <t>is_empty</t>
        </is>
      </c>
      <c r="D4" s="10" t="inlineStr">
        <is>
          <t>voc_actual (V)</t>
        </is>
      </c>
      <c r="E4" s="10" t="inlineStr">
        <is>
          <t>voc_string_nominal (V)</t>
        </is>
      </c>
      <c r="F4" s="10" t="inlineStr">
        <is>
          <t>voc_ratio</t>
        </is>
      </c>
      <c r="G4" s="10" t="inlineStr">
        <is>
          <t>I_median_daylight</t>
        </is>
      </c>
      <c r="H4" s="10" t="inlineStr">
        <is>
          <t>peer_med_daylight</t>
        </is>
      </c>
      <c r="I4" s="10" t="inlineStr">
        <is>
          <t>peer_std_daylight</t>
        </is>
      </c>
      <c r="J4" s="10" t="inlineStr">
        <is>
          <t>i_z</t>
        </is>
      </c>
      <c r="K4" s="10" t="inlineStr">
        <is>
          <t>spec_flag</t>
        </is>
      </c>
    </row>
    <row r="5">
      <c r="A5" s="5" t="inlineStr">
        <is>
          <t>WB05-INV01</t>
        </is>
      </c>
      <c r="B5" s="5" t="inlineStr">
        <is>
          <t>PV1</t>
        </is>
      </c>
      <c r="C5" s="5" t="n">
        <v>0</v>
      </c>
      <c r="D5" s="18">
        <f>IFERROR(MEDIAN(Helpers_GF!F5:F13),"")</f>
        <v/>
      </c>
      <c r="E5" s="15">
        <f>voc_string_26_calc</f>
        <v/>
      </c>
      <c r="F5" s="31">
        <f>IFERROR(D5/E5,"")</f>
        <v/>
      </c>
      <c r="G5" s="17">
        <f>MEDIAN(Raw_Data_GF!K8:K13)</f>
        <v/>
      </c>
      <c r="H5" s="17">
        <f>MEDIAN(Helpers_GF!L8:L13)</f>
        <v/>
      </c>
      <c r="I5" s="37">
        <f>IF(STDEV(Helpers_GF!L8:L13)=0,0.01,STDEV(Helpers_GF!L8:L13))</f>
        <v/>
      </c>
      <c r="J5" s="17">
        <f>IFERROR((G5-H5)/I5,"")</f>
        <v/>
      </c>
      <c r="K5" s="5">
        <f>IF(C5=1,0,IF(AND(F5&lt;cfg_gf_voc_ratio_threshold,J5&gt;cfg_gf_i_high_z_threshold),1,0))</f>
        <v/>
      </c>
    </row>
    <row r="6">
      <c r="A6" s="5" t="inlineStr">
        <is>
          <t>WB05-INV01</t>
        </is>
      </c>
      <c r="B6" s="5" t="inlineStr">
        <is>
          <t>PV2</t>
        </is>
      </c>
      <c r="C6" s="5" t="n">
        <v>0</v>
      </c>
      <c r="D6" s="18">
        <f>IFERROR(MEDIAN(Helpers_GF!G5:G13),"")</f>
        <v/>
      </c>
      <c r="E6" s="15">
        <f>voc_string_26_calc</f>
        <v/>
      </c>
      <c r="F6" s="31">
        <f>IFERROR(D6/E6,"")</f>
        <v/>
      </c>
      <c r="G6" s="17">
        <f>MEDIAN(Raw_Data_GF!L8:L13)</f>
        <v/>
      </c>
      <c r="H6" s="17">
        <f>MEDIAN(Helpers_GF!M8:M13)</f>
        <v/>
      </c>
      <c r="I6" s="37">
        <f>IF(STDEV(Helpers_GF!M8:M13)=0,0.01,STDEV(Helpers_GF!M8:M13))</f>
        <v/>
      </c>
      <c r="J6" s="17">
        <f>IFERROR((G6-H6)/I6,"")</f>
        <v/>
      </c>
      <c r="K6" s="5">
        <f>IF(C6=1,0,IF(AND(F6&lt;cfg_gf_voc_ratio_threshold,J6&gt;cfg_gf_i_high_z_threshold),1,0))</f>
        <v/>
      </c>
    </row>
    <row r="7">
      <c r="A7" s="5" t="inlineStr">
        <is>
          <t>WB05-INV01</t>
        </is>
      </c>
      <c r="B7" s="5" t="inlineStr">
        <is>
          <t>PV3</t>
        </is>
      </c>
      <c r="C7" s="5" t="n">
        <v>0</v>
      </c>
      <c r="D7" s="18">
        <f>IFERROR(MEDIAN(Helpers_GF!H5:H13),"")</f>
        <v/>
      </c>
      <c r="E7" s="15">
        <f>voc_string_26_calc</f>
        <v/>
      </c>
      <c r="F7" s="31">
        <f>IFERROR(D7/E7,"")</f>
        <v/>
      </c>
      <c r="G7" s="17">
        <f>MEDIAN(Raw_Data_GF!M8:M13)</f>
        <v/>
      </c>
      <c r="H7" s="17">
        <f>MEDIAN(Helpers_GF!N8:N13)</f>
        <v/>
      </c>
      <c r="I7" s="37">
        <f>IF(STDEV(Helpers_GF!N8:N13)=0,0.01,STDEV(Helpers_GF!N8:N13))</f>
        <v/>
      </c>
      <c r="J7" s="17">
        <f>IFERROR((G7-H7)/I7,"")</f>
        <v/>
      </c>
      <c r="K7" s="5">
        <f>IF(C7=1,0,IF(AND(F7&lt;cfg_gf_voc_ratio_threshold,J7&gt;cfg_gf_i_high_z_threshold),1,0))</f>
        <v/>
      </c>
    </row>
    <row r="8">
      <c r="A8" s="5" t="inlineStr">
        <is>
          <t>WB05-INV01</t>
        </is>
      </c>
      <c r="B8" s="5" t="inlineStr">
        <is>
          <t>PV4</t>
        </is>
      </c>
      <c r="C8" s="5" t="n">
        <v>0</v>
      </c>
      <c r="D8" s="18">
        <f>IFERROR(MEDIAN(Helpers_GF!I5:I13),"")</f>
        <v/>
      </c>
      <c r="E8" s="15">
        <f>voc_string_26_calc</f>
        <v/>
      </c>
      <c r="F8" s="31">
        <f>IFERROR(D8/E8,"")</f>
        <v/>
      </c>
      <c r="G8" s="17">
        <f>MEDIAN(Raw_Data_GF!N8:N13)</f>
        <v/>
      </c>
      <c r="H8" s="17">
        <f>MEDIAN(Helpers_GF!O8:O13)</f>
        <v/>
      </c>
      <c r="I8" s="37">
        <f>IF(STDEV(Helpers_GF!O8:O13)=0,0.01,STDEV(Helpers_GF!O8:O13))</f>
        <v/>
      </c>
      <c r="J8" s="17">
        <f>IFERROR((G8-H8)/I8,"")</f>
        <v/>
      </c>
      <c r="K8" s="5">
        <f>IF(C8=1,0,IF(AND(F8&lt;cfg_gf_voc_ratio_threshold,J8&gt;cfg_gf_i_high_z_threshold),1,0))</f>
        <v/>
      </c>
    </row>
    <row r="9">
      <c r="A9" s="5" t="inlineStr">
        <is>
          <t>WB05-INV01</t>
        </is>
      </c>
      <c r="B9" s="5" t="inlineStr">
        <is>
          <t>PV5</t>
        </is>
      </c>
      <c r="C9" s="5" t="n">
        <v>1</v>
      </c>
      <c r="D9" s="18">
        <f>IFERROR(MEDIAN(Helpers_GF!J5:J13),"")</f>
        <v/>
      </c>
      <c r="E9" s="15">
        <f>voc_string_26_calc</f>
        <v/>
      </c>
      <c r="F9" s="31">
        <f>IFERROR(D9/E9,"")</f>
        <v/>
      </c>
      <c r="G9" s="17">
        <f>MEDIAN(Raw_Data_GF!O8:O13)</f>
        <v/>
      </c>
      <c r="H9" s="17">
        <f>MEDIAN(Helpers_GF!P8:P13)</f>
        <v/>
      </c>
      <c r="I9" s="37">
        <f>IF(STDEV(Helpers_GF!P8:P13)=0,0.01,STDEV(Helpers_GF!P8:P13))</f>
        <v/>
      </c>
      <c r="J9" s="17">
        <f>IFERROR((G9-H9)/I9,"")</f>
        <v/>
      </c>
      <c r="K9" s="5">
        <f>IF(C9=1,0,IF(AND(F9&lt;cfg_gf_voc_ratio_threshold,J9&gt;cfg_gf_i_high_z_threshold),1,0))</f>
        <v/>
      </c>
    </row>
    <row r="10">
      <c r="A10" s="5" t="inlineStr">
        <is>
          <t>WB05-INV01</t>
        </is>
      </c>
      <c r="B10" s="5" t="inlineStr">
        <is>
          <t>PV6</t>
        </is>
      </c>
      <c r="C10" s="5" t="n">
        <v>0</v>
      </c>
      <c r="D10" s="18">
        <f>IFERROR(MEDIAN(Helpers_GF!K5:K13),"")</f>
        <v/>
      </c>
      <c r="E10" s="15">
        <f>voc_string_26_calc</f>
        <v/>
      </c>
      <c r="F10" s="31">
        <f>IFERROR(D10/E10,"")</f>
        <v/>
      </c>
      <c r="G10" s="17">
        <f>MEDIAN(Raw_Data_GF!P8:P13)</f>
        <v/>
      </c>
      <c r="H10" s="17">
        <f>MEDIAN(Helpers_GF!Q8:Q13)</f>
        <v/>
      </c>
      <c r="I10" s="37">
        <f>IF(STDEV(Helpers_GF!Q8:Q13)=0,0.01,STDEV(Helpers_GF!Q8:Q13))</f>
        <v/>
      </c>
      <c r="J10" s="17">
        <f>IFERROR((G10-H10)/I10,"")</f>
        <v/>
      </c>
      <c r="K10" s="5">
        <f>IF(C10=1,0,IF(AND(F10&lt;cfg_gf_voc_ratio_threshold,J10&gt;cfg_gf_i_high_z_threshold),1,0))</f>
        <v/>
      </c>
    </row>
    <row r="11">
      <c r="A11" s="5" t="inlineStr">
        <is>
          <t>WB05-INV02</t>
        </is>
      </c>
      <c r="B11" s="5" t="inlineStr">
        <is>
          <t>PV1</t>
        </is>
      </c>
      <c r="C11" s="5" t="n">
        <v>0</v>
      </c>
      <c r="D11" s="18">
        <f>IFERROR(MEDIAN(Helpers_GF!F14:F22),"")</f>
        <v/>
      </c>
      <c r="E11" s="15">
        <f>voc_string_26_calc</f>
        <v/>
      </c>
      <c r="F11" s="31">
        <f>IFERROR(D11/E11,"")</f>
        <v/>
      </c>
      <c r="G11" s="17">
        <f>MEDIAN(Raw_Data_GF!K17:K22)</f>
        <v/>
      </c>
      <c r="H11" s="17">
        <f>MEDIAN(Helpers_GF!L17:L22)</f>
        <v/>
      </c>
      <c r="I11" s="37">
        <f>IF(STDEV(Helpers_GF!L17:L22)=0,0.01,STDEV(Helpers_GF!L17:L22))</f>
        <v/>
      </c>
      <c r="J11" s="17">
        <f>IFERROR((G11-H11)/I11,"")</f>
        <v/>
      </c>
      <c r="K11" s="5">
        <f>IF(C11=1,0,IF(AND(F11&lt;cfg_gf_voc_ratio_threshold,J11&gt;cfg_gf_i_high_z_threshold),1,0))</f>
        <v/>
      </c>
    </row>
    <row r="12">
      <c r="A12" s="5" t="inlineStr">
        <is>
          <t>WB05-INV02</t>
        </is>
      </c>
      <c r="B12" s="5" t="inlineStr">
        <is>
          <t>PV2</t>
        </is>
      </c>
      <c r="C12" s="5" t="n">
        <v>0</v>
      </c>
      <c r="D12" s="18">
        <f>IFERROR(MEDIAN(Helpers_GF!G14:G22),"")</f>
        <v/>
      </c>
      <c r="E12" s="15">
        <f>voc_string_26_calc</f>
        <v/>
      </c>
      <c r="F12" s="31">
        <f>IFERROR(D12/E12,"")</f>
        <v/>
      </c>
      <c r="G12" s="17">
        <f>MEDIAN(Raw_Data_GF!L17:L22)</f>
        <v/>
      </c>
      <c r="H12" s="17">
        <f>MEDIAN(Helpers_GF!M17:M22)</f>
        <v/>
      </c>
      <c r="I12" s="37">
        <f>IF(STDEV(Helpers_GF!M17:M22)=0,0.01,STDEV(Helpers_GF!M17:M22))</f>
        <v/>
      </c>
      <c r="J12" s="17">
        <f>IFERROR((G12-H12)/I12,"")</f>
        <v/>
      </c>
      <c r="K12" s="5">
        <f>IF(C12=1,0,IF(AND(F12&lt;cfg_gf_voc_ratio_threshold,J12&gt;cfg_gf_i_high_z_threshold),1,0))</f>
        <v/>
      </c>
    </row>
    <row r="13">
      <c r="A13" s="5" t="inlineStr">
        <is>
          <t>WB05-INV02</t>
        </is>
      </c>
      <c r="B13" s="5" t="inlineStr">
        <is>
          <t>PV3</t>
        </is>
      </c>
      <c r="C13" s="5" t="n">
        <v>0</v>
      </c>
      <c r="D13" s="18">
        <f>IFERROR(MEDIAN(Helpers_GF!H14:H22),"")</f>
        <v/>
      </c>
      <c r="E13" s="15">
        <f>voc_string_26_calc</f>
        <v/>
      </c>
      <c r="F13" s="31">
        <f>IFERROR(D13/E13,"")</f>
        <v/>
      </c>
      <c r="G13" s="17">
        <f>MEDIAN(Raw_Data_GF!M17:M22)</f>
        <v/>
      </c>
      <c r="H13" s="17">
        <f>MEDIAN(Helpers_GF!N17:N22)</f>
        <v/>
      </c>
      <c r="I13" s="37">
        <f>IF(STDEV(Helpers_GF!N17:N22)=0,0.01,STDEV(Helpers_GF!N17:N22))</f>
        <v/>
      </c>
      <c r="J13" s="17">
        <f>IFERROR((G13-H13)/I13,"")</f>
        <v/>
      </c>
      <c r="K13" s="5">
        <f>IF(C13=1,0,IF(AND(F13&lt;cfg_gf_voc_ratio_threshold,J13&gt;cfg_gf_i_high_z_threshold),1,0))</f>
        <v/>
      </c>
    </row>
    <row r="14">
      <c r="A14" s="5" t="inlineStr">
        <is>
          <t>WB05-INV02</t>
        </is>
      </c>
      <c r="B14" s="5" t="inlineStr">
        <is>
          <t>PV4</t>
        </is>
      </c>
      <c r="C14" s="5" t="n">
        <v>0</v>
      </c>
      <c r="D14" s="18">
        <f>IFERROR(MEDIAN(Helpers_GF!I14:I22),"")</f>
        <v/>
      </c>
      <c r="E14" s="15">
        <f>voc_string_26_calc</f>
        <v/>
      </c>
      <c r="F14" s="31">
        <f>IFERROR(D14/E14,"")</f>
        <v/>
      </c>
      <c r="G14" s="17">
        <f>MEDIAN(Raw_Data_GF!N17:N22)</f>
        <v/>
      </c>
      <c r="H14" s="17">
        <f>MEDIAN(Helpers_GF!O17:O22)</f>
        <v/>
      </c>
      <c r="I14" s="37">
        <f>IF(STDEV(Helpers_GF!O17:O22)=0,0.01,STDEV(Helpers_GF!O17:O22))</f>
        <v/>
      </c>
      <c r="J14" s="17">
        <f>IFERROR((G14-H14)/I14,"")</f>
        <v/>
      </c>
      <c r="K14" s="5">
        <f>IF(C14=1,0,IF(AND(F14&lt;cfg_gf_voc_ratio_threshold,J14&gt;cfg_gf_i_high_z_threshold),1,0))</f>
        <v/>
      </c>
    </row>
    <row r="15">
      <c r="A15" s="5" t="inlineStr">
        <is>
          <t>WB05-INV02</t>
        </is>
      </c>
      <c r="B15" s="5" t="inlineStr">
        <is>
          <t>PV5</t>
        </is>
      </c>
      <c r="C15" s="5" t="n">
        <v>1</v>
      </c>
      <c r="D15" s="18">
        <f>IFERROR(MEDIAN(Helpers_GF!J14:J22),"")</f>
        <v/>
      </c>
      <c r="E15" s="15">
        <f>voc_string_26_calc</f>
        <v/>
      </c>
      <c r="F15" s="31">
        <f>IFERROR(D15/E15,"")</f>
        <v/>
      </c>
      <c r="G15" s="17">
        <f>MEDIAN(Raw_Data_GF!O17:O22)</f>
        <v/>
      </c>
      <c r="H15" s="17">
        <f>MEDIAN(Helpers_GF!P17:P22)</f>
        <v/>
      </c>
      <c r="I15" s="37">
        <f>IF(STDEV(Helpers_GF!P17:P22)=0,0.01,STDEV(Helpers_GF!P17:P22))</f>
        <v/>
      </c>
      <c r="J15" s="17">
        <f>IFERROR((G15-H15)/I15,"")</f>
        <v/>
      </c>
      <c r="K15" s="5">
        <f>IF(C15=1,0,IF(AND(F15&lt;cfg_gf_voc_ratio_threshold,J15&gt;cfg_gf_i_high_z_threshold),1,0))</f>
        <v/>
      </c>
    </row>
    <row r="16">
      <c r="A16" s="5" t="inlineStr">
        <is>
          <t>WB05-INV02</t>
        </is>
      </c>
      <c r="B16" s="5" t="inlineStr">
        <is>
          <t>PV6</t>
        </is>
      </c>
      <c r="C16" s="5" t="n">
        <v>0</v>
      </c>
      <c r="D16" s="18">
        <f>IFERROR(MEDIAN(Helpers_GF!K14:K22),"")</f>
        <v/>
      </c>
      <c r="E16" s="15">
        <f>voc_string_26_calc</f>
        <v/>
      </c>
      <c r="F16" s="31">
        <f>IFERROR(D16/E16,"")</f>
        <v/>
      </c>
      <c r="G16" s="17">
        <f>MEDIAN(Raw_Data_GF!P17:P22)</f>
        <v/>
      </c>
      <c r="H16" s="17">
        <f>MEDIAN(Helpers_GF!Q17:Q22)</f>
        <v/>
      </c>
      <c r="I16" s="37">
        <f>IF(STDEV(Helpers_GF!Q17:Q22)=0,0.01,STDEV(Helpers_GF!Q17:Q22))</f>
        <v/>
      </c>
      <c r="J16" s="17">
        <f>IFERROR((G16-H16)/I16,"")</f>
        <v/>
      </c>
      <c r="K16" s="5">
        <f>IF(C16=1,0,IF(AND(F16&lt;cfg_gf_voc_ratio_threshold,J16&gt;cfg_gf_i_high_z_threshold),1,0))</f>
        <v/>
      </c>
    </row>
    <row r="17">
      <c r="A17" s="5" t="inlineStr">
        <is>
          <t>WB05-INV03</t>
        </is>
      </c>
      <c r="B17" s="5" t="inlineStr">
        <is>
          <t>PV1</t>
        </is>
      </c>
      <c r="C17" s="5" t="n">
        <v>0</v>
      </c>
      <c r="D17" s="18">
        <f>IFERROR(MEDIAN(Helpers_GF!F23:F31),"")</f>
        <v/>
      </c>
      <c r="E17" s="15">
        <f>voc_string_26_calc</f>
        <v/>
      </c>
      <c r="F17" s="31">
        <f>IFERROR(D17/E17,"")</f>
        <v/>
      </c>
      <c r="G17" s="17">
        <f>MEDIAN(Raw_Data_GF!K26:K31)</f>
        <v/>
      </c>
      <c r="H17" s="17">
        <f>MEDIAN(Helpers_GF!L26:L31)</f>
        <v/>
      </c>
      <c r="I17" s="37">
        <f>IF(STDEV(Helpers_GF!L26:L31)=0,0.01,STDEV(Helpers_GF!L26:L31))</f>
        <v/>
      </c>
      <c r="J17" s="17">
        <f>IFERROR((G17-H17)/I17,"")</f>
        <v/>
      </c>
      <c r="K17" s="5">
        <f>IF(C17=1,0,IF(AND(F17&lt;cfg_gf_voc_ratio_threshold,J17&gt;cfg_gf_i_high_z_threshold),1,0))</f>
        <v/>
      </c>
    </row>
    <row r="18">
      <c r="A18" s="5" t="inlineStr">
        <is>
          <t>WB05-INV03</t>
        </is>
      </c>
      <c r="B18" s="5" t="inlineStr">
        <is>
          <t>PV2</t>
        </is>
      </c>
      <c r="C18" s="5" t="n">
        <v>0</v>
      </c>
      <c r="D18" s="18">
        <f>IFERROR(MEDIAN(Helpers_GF!G23:G31),"")</f>
        <v/>
      </c>
      <c r="E18" s="15">
        <f>voc_string_26_calc</f>
        <v/>
      </c>
      <c r="F18" s="31">
        <f>IFERROR(D18/E18,"")</f>
        <v/>
      </c>
      <c r="G18" s="17">
        <f>MEDIAN(Raw_Data_GF!L26:L31)</f>
        <v/>
      </c>
      <c r="H18" s="17">
        <f>MEDIAN(Helpers_GF!M26:M31)</f>
        <v/>
      </c>
      <c r="I18" s="37">
        <f>IF(STDEV(Helpers_GF!M26:M31)=0,0.01,STDEV(Helpers_GF!M26:M31))</f>
        <v/>
      </c>
      <c r="J18" s="17">
        <f>IFERROR((G18-H18)/I18,"")</f>
        <v/>
      </c>
      <c r="K18" s="5">
        <f>IF(C18=1,0,IF(AND(F18&lt;cfg_gf_voc_ratio_threshold,J18&gt;cfg_gf_i_high_z_threshold),1,0))</f>
        <v/>
      </c>
    </row>
    <row r="19">
      <c r="A19" s="5" t="inlineStr">
        <is>
          <t>WB05-INV03</t>
        </is>
      </c>
      <c r="B19" s="5" t="inlineStr">
        <is>
          <t>PV3</t>
        </is>
      </c>
      <c r="C19" s="5" t="n">
        <v>0</v>
      </c>
      <c r="D19" s="18">
        <f>IFERROR(MEDIAN(Helpers_GF!H23:H31),"")</f>
        <v/>
      </c>
      <c r="E19" s="15">
        <f>voc_string_26_calc</f>
        <v/>
      </c>
      <c r="F19" s="31">
        <f>IFERROR(D19/E19,"")</f>
        <v/>
      </c>
      <c r="G19" s="17">
        <f>MEDIAN(Raw_Data_GF!M26:M31)</f>
        <v/>
      </c>
      <c r="H19" s="17">
        <f>MEDIAN(Helpers_GF!N26:N31)</f>
        <v/>
      </c>
      <c r="I19" s="37">
        <f>IF(STDEV(Helpers_GF!N26:N31)=0,0.01,STDEV(Helpers_GF!N26:N31))</f>
        <v/>
      </c>
      <c r="J19" s="17">
        <f>IFERROR((G19-H19)/I19,"")</f>
        <v/>
      </c>
      <c r="K19" s="5">
        <f>IF(C19=1,0,IF(AND(F19&lt;cfg_gf_voc_ratio_threshold,J19&gt;cfg_gf_i_high_z_threshold),1,0))</f>
        <v/>
      </c>
    </row>
    <row r="20">
      <c r="A20" s="5" t="inlineStr">
        <is>
          <t>WB05-INV03</t>
        </is>
      </c>
      <c r="B20" s="5" t="inlineStr">
        <is>
          <t>PV4</t>
        </is>
      </c>
      <c r="C20" s="5" t="n">
        <v>0</v>
      </c>
      <c r="D20" s="18">
        <f>IFERROR(MEDIAN(Helpers_GF!I23:I31),"")</f>
        <v/>
      </c>
      <c r="E20" s="15">
        <f>voc_string_26_calc</f>
        <v/>
      </c>
      <c r="F20" s="31">
        <f>IFERROR(D20/E20,"")</f>
        <v/>
      </c>
      <c r="G20" s="17">
        <f>MEDIAN(Raw_Data_GF!N26:N31)</f>
        <v/>
      </c>
      <c r="H20" s="17">
        <f>MEDIAN(Helpers_GF!O26:O31)</f>
        <v/>
      </c>
      <c r="I20" s="37">
        <f>IF(STDEV(Helpers_GF!O26:O31)=0,0.01,STDEV(Helpers_GF!O26:O31))</f>
        <v/>
      </c>
      <c r="J20" s="17">
        <f>IFERROR((G20-H20)/I20,"")</f>
        <v/>
      </c>
      <c r="K20" s="5">
        <f>IF(C20=1,0,IF(AND(F20&lt;cfg_gf_voc_ratio_threshold,J20&gt;cfg_gf_i_high_z_threshold),1,0))</f>
        <v/>
      </c>
    </row>
    <row r="21">
      <c r="A21" s="5" t="inlineStr">
        <is>
          <t>WB05-INV03</t>
        </is>
      </c>
      <c r="B21" s="5" t="inlineStr">
        <is>
          <t>PV5</t>
        </is>
      </c>
      <c r="C21" s="5" t="n">
        <v>0</v>
      </c>
      <c r="D21" s="18">
        <f>IFERROR(MEDIAN(Helpers_GF!J23:J31),"")</f>
        <v/>
      </c>
      <c r="E21" s="15">
        <f>voc_string_26_calc</f>
        <v/>
      </c>
      <c r="F21" s="31">
        <f>IFERROR(D21/E21,"")</f>
        <v/>
      </c>
      <c r="G21" s="17">
        <f>MEDIAN(Raw_Data_GF!O26:O31)</f>
        <v/>
      </c>
      <c r="H21" s="17">
        <f>MEDIAN(Helpers_GF!P26:P31)</f>
        <v/>
      </c>
      <c r="I21" s="37">
        <f>IF(STDEV(Helpers_GF!P26:P31)=0,0.01,STDEV(Helpers_GF!P26:P31))</f>
        <v/>
      </c>
      <c r="J21" s="17">
        <f>IFERROR((G21-H21)/I21,"")</f>
        <v/>
      </c>
      <c r="K21" s="5">
        <f>IF(C21=1,0,IF(AND(F21&lt;cfg_gf_voc_ratio_threshold,J21&gt;cfg_gf_i_high_z_threshold),1,0))</f>
        <v/>
      </c>
    </row>
    <row r="22">
      <c r="A22" s="5" t="inlineStr">
        <is>
          <t>WB05-INV03</t>
        </is>
      </c>
      <c r="B22" s="5" t="inlineStr">
        <is>
          <t>PV6</t>
        </is>
      </c>
      <c r="C22" s="5" t="n">
        <v>0</v>
      </c>
      <c r="D22" s="18">
        <f>IFERROR(MEDIAN(Helpers_GF!K23:K31),"")</f>
        <v/>
      </c>
      <c r="E22" s="15">
        <f>voc_string_26_calc</f>
        <v/>
      </c>
      <c r="F22" s="31">
        <f>IFERROR(D22/E22,"")</f>
        <v/>
      </c>
      <c r="G22" s="17">
        <f>MEDIAN(Raw_Data_GF!P26:P31)</f>
        <v/>
      </c>
      <c r="H22" s="17">
        <f>MEDIAN(Helpers_GF!Q26:Q31)</f>
        <v/>
      </c>
      <c r="I22" s="37">
        <f>IF(STDEV(Helpers_GF!Q26:Q31)=0,0.01,STDEV(Helpers_GF!Q26:Q31))</f>
        <v/>
      </c>
      <c r="J22" s="17">
        <f>IFERROR((G22-H22)/I22,"")</f>
        <v/>
      </c>
      <c r="K22" s="5">
        <f>IF(C22=1,0,IF(AND(F22&lt;cfg_gf_voc_ratio_threshold,J22&gt;cfg_gf_i_high_z_threshold),1,0))</f>
        <v/>
      </c>
    </row>
    <row r="23">
      <c r="A23" s="5" t="inlineStr">
        <is>
          <t>WB05-INV04</t>
        </is>
      </c>
      <c r="B23" s="5" t="inlineStr">
        <is>
          <t>PV1</t>
        </is>
      </c>
      <c r="C23" s="5" t="n">
        <v>0</v>
      </c>
      <c r="D23" s="18">
        <f>IFERROR(MEDIAN(Helpers_GF!F32:F40),"")</f>
        <v/>
      </c>
      <c r="E23" s="15">
        <f>voc_string_26_calc</f>
        <v/>
      </c>
      <c r="F23" s="31">
        <f>IFERROR(D23/E23,"")</f>
        <v/>
      </c>
      <c r="G23" s="17">
        <f>MEDIAN(Raw_Data_GF!K35:K40)</f>
        <v/>
      </c>
      <c r="H23" s="17">
        <f>MEDIAN(Helpers_GF!L35:L40)</f>
        <v/>
      </c>
      <c r="I23" s="37">
        <f>IF(STDEV(Helpers_GF!L35:L40)=0,0.01,STDEV(Helpers_GF!L35:L40))</f>
        <v/>
      </c>
      <c r="J23" s="17">
        <f>IFERROR((G23-H23)/I23,"")</f>
        <v/>
      </c>
      <c r="K23" s="5">
        <f>IF(C23=1,0,IF(AND(F23&lt;cfg_gf_voc_ratio_threshold,J23&gt;cfg_gf_i_high_z_threshold),1,0))</f>
        <v/>
      </c>
    </row>
    <row r="24">
      <c r="A24" s="5" t="inlineStr">
        <is>
          <t>WB05-INV04</t>
        </is>
      </c>
      <c r="B24" s="5" t="inlineStr">
        <is>
          <t>PV2</t>
        </is>
      </c>
      <c r="C24" s="5" t="n">
        <v>0</v>
      </c>
      <c r="D24" s="18">
        <f>IFERROR(MEDIAN(Helpers_GF!G32:G40),"")</f>
        <v/>
      </c>
      <c r="E24" s="15">
        <f>voc_string_26_calc</f>
        <v/>
      </c>
      <c r="F24" s="31">
        <f>IFERROR(D24/E24,"")</f>
        <v/>
      </c>
      <c r="G24" s="17">
        <f>MEDIAN(Raw_Data_GF!L35:L40)</f>
        <v/>
      </c>
      <c r="H24" s="17">
        <f>MEDIAN(Helpers_GF!M35:M40)</f>
        <v/>
      </c>
      <c r="I24" s="37">
        <f>IF(STDEV(Helpers_GF!M35:M40)=0,0.01,STDEV(Helpers_GF!M35:M40))</f>
        <v/>
      </c>
      <c r="J24" s="17">
        <f>IFERROR((G24-H24)/I24,"")</f>
        <v/>
      </c>
      <c r="K24" s="5">
        <f>IF(C24=1,0,IF(AND(F24&lt;cfg_gf_voc_ratio_threshold,J24&gt;cfg_gf_i_high_z_threshold),1,0))</f>
        <v/>
      </c>
    </row>
    <row r="25">
      <c r="A25" s="5" t="inlineStr">
        <is>
          <t>WB05-INV04</t>
        </is>
      </c>
      <c r="B25" s="5" t="inlineStr">
        <is>
          <t>PV3</t>
        </is>
      </c>
      <c r="C25" s="5" t="n">
        <v>0</v>
      </c>
      <c r="D25" s="18">
        <f>IFERROR(MEDIAN(Helpers_GF!H32:H40),"")</f>
        <v/>
      </c>
      <c r="E25" s="15">
        <f>voc_string_26_calc</f>
        <v/>
      </c>
      <c r="F25" s="31">
        <f>IFERROR(D25/E25,"")</f>
        <v/>
      </c>
      <c r="G25" s="17">
        <f>MEDIAN(Raw_Data_GF!M35:M40)</f>
        <v/>
      </c>
      <c r="H25" s="17">
        <f>MEDIAN(Helpers_GF!N35:N40)</f>
        <v/>
      </c>
      <c r="I25" s="37">
        <f>IF(STDEV(Helpers_GF!N35:N40)=0,0.01,STDEV(Helpers_GF!N35:N40))</f>
        <v/>
      </c>
      <c r="J25" s="17">
        <f>IFERROR((G25-H25)/I25,"")</f>
        <v/>
      </c>
      <c r="K25" s="5">
        <f>IF(C25=1,0,IF(AND(F25&lt;cfg_gf_voc_ratio_threshold,J25&gt;cfg_gf_i_high_z_threshold),1,0))</f>
        <v/>
      </c>
    </row>
    <row r="26">
      <c r="A26" s="5" t="inlineStr">
        <is>
          <t>WB05-INV04</t>
        </is>
      </c>
      <c r="B26" s="5" t="inlineStr">
        <is>
          <t>PV4</t>
        </is>
      </c>
      <c r="C26" s="5" t="n">
        <v>0</v>
      </c>
      <c r="D26" s="18">
        <f>IFERROR(MEDIAN(Helpers_GF!I32:I40),"")</f>
        <v/>
      </c>
      <c r="E26" s="15">
        <f>voc_string_26_calc</f>
        <v/>
      </c>
      <c r="F26" s="31">
        <f>IFERROR(D26/E26,"")</f>
        <v/>
      </c>
      <c r="G26" s="17">
        <f>MEDIAN(Raw_Data_GF!N35:N40)</f>
        <v/>
      </c>
      <c r="H26" s="17">
        <f>MEDIAN(Helpers_GF!O35:O40)</f>
        <v/>
      </c>
      <c r="I26" s="37">
        <f>IF(STDEV(Helpers_GF!O35:O40)=0,0.01,STDEV(Helpers_GF!O35:O40))</f>
        <v/>
      </c>
      <c r="J26" s="17">
        <f>IFERROR((G26-H26)/I26,"")</f>
        <v/>
      </c>
      <c r="K26" s="5">
        <f>IF(C26=1,0,IF(AND(F26&lt;cfg_gf_voc_ratio_threshold,J26&gt;cfg_gf_i_high_z_threshold),1,0))</f>
        <v/>
      </c>
    </row>
    <row r="27">
      <c r="A27" s="5" t="inlineStr">
        <is>
          <t>WB05-INV04</t>
        </is>
      </c>
      <c r="B27" s="5" t="inlineStr">
        <is>
          <t>PV5</t>
        </is>
      </c>
      <c r="C27" s="5" t="n">
        <v>0</v>
      </c>
      <c r="D27" s="18">
        <f>IFERROR(MEDIAN(Helpers_GF!J32:J40),"")</f>
        <v/>
      </c>
      <c r="E27" s="15">
        <f>voc_string_26_calc</f>
        <v/>
      </c>
      <c r="F27" s="31">
        <f>IFERROR(D27/E27,"")</f>
        <v/>
      </c>
      <c r="G27" s="17">
        <f>MEDIAN(Raw_Data_GF!O35:O40)</f>
        <v/>
      </c>
      <c r="H27" s="17">
        <f>MEDIAN(Helpers_GF!P35:P40)</f>
        <v/>
      </c>
      <c r="I27" s="37">
        <f>IF(STDEV(Helpers_GF!P35:P40)=0,0.01,STDEV(Helpers_GF!P35:P40))</f>
        <v/>
      </c>
      <c r="J27" s="17">
        <f>IFERROR((G27-H27)/I27,"")</f>
        <v/>
      </c>
      <c r="K27" s="5">
        <f>IF(C27=1,0,IF(AND(F27&lt;cfg_gf_voc_ratio_threshold,J27&gt;cfg_gf_i_high_z_threshold),1,0))</f>
        <v/>
      </c>
    </row>
    <row r="28">
      <c r="A28" s="5" t="inlineStr">
        <is>
          <t>WB05-INV04</t>
        </is>
      </c>
      <c r="B28" s="5" t="inlineStr">
        <is>
          <t>PV6</t>
        </is>
      </c>
      <c r="C28" s="5" t="n">
        <v>0</v>
      </c>
      <c r="D28" s="18">
        <f>IFERROR(MEDIAN(Helpers_GF!K32:K40),"")</f>
        <v/>
      </c>
      <c r="E28" s="15">
        <f>voc_string_26_calc</f>
        <v/>
      </c>
      <c r="F28" s="31">
        <f>IFERROR(D28/E28,"")</f>
        <v/>
      </c>
      <c r="G28" s="17">
        <f>MEDIAN(Raw_Data_GF!P35:P40)</f>
        <v/>
      </c>
      <c r="H28" s="17">
        <f>MEDIAN(Helpers_GF!Q35:Q40)</f>
        <v/>
      </c>
      <c r="I28" s="37">
        <f>IF(STDEV(Helpers_GF!Q35:Q40)=0,0.01,STDEV(Helpers_GF!Q35:Q40))</f>
        <v/>
      </c>
      <c r="J28" s="17">
        <f>IFERROR((G28-H28)/I28,"")</f>
        <v/>
      </c>
      <c r="K28" s="5">
        <f>IF(C28=1,0,IF(AND(F28&lt;cfg_gf_voc_ratio_threshold,J28&gt;cfg_gf_i_high_z_threshold),1,0))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8" max="8"/>
    <col width="60" customWidth="1" min="14" max="14"/>
  </cols>
  <sheetData>
    <row r="1">
      <c r="A1" s="23" t="inlineStr">
        <is>
          <t>M2c_GroundFault — keputusan per-inverter (ground_fault.py run())</t>
        </is>
      </c>
    </row>
    <row r="2">
      <c r="A2" s="24" t="inlineStr">
        <is>
          <t>Triple-signal: absolute(MAX|V_gnd|&gt;50) · adaptive(|med-fleet|/std&gt;3) · spec(ADA string voc_ratio&lt;0.85 &amp; i_z&gt;2). confidence: spec+(abs|adp)=90 · spec=80 · abs+adp=80 · abs=70 · adp=60. severity CRITICAL kalau conf≥80 else HIGH.</t>
        </is>
      </c>
    </row>
    <row r="3">
      <c r="A3" s="24" t="inlineStr">
        <is>
          <t>Finding per-inverter; pv_string = worst (voc_ratio terendah). value = |V_gnd_median|. fleet median/std = INPUT (Config).</t>
        </is>
      </c>
    </row>
    <row r="4">
      <c r="A4" s="10" t="inlineStr">
        <is>
          <t>Inverter_ID</t>
        </is>
      </c>
      <c r="B4" s="10" t="inlineStr">
        <is>
          <t>V_gnd_max_abs</t>
        </is>
      </c>
      <c r="C4" s="10" t="inlineStr">
        <is>
          <t>V_gnd_median</t>
        </is>
      </c>
      <c r="D4" s="10" t="inlineStr">
        <is>
          <t>adaptive_z</t>
        </is>
      </c>
      <c r="E4" s="10" t="inlineStr">
        <is>
          <t>flag_absolute</t>
        </is>
      </c>
      <c r="F4" s="10" t="inlineStr">
        <is>
          <t>flag_adaptive</t>
        </is>
      </c>
      <c r="G4" s="10" t="inlineStr">
        <is>
          <t>flag_spec</t>
        </is>
      </c>
      <c r="H4" s="10" t="inlineStr">
        <is>
          <t>triggered_by</t>
        </is>
      </c>
      <c r="I4" s="10" t="inlineStr">
        <is>
          <t>confidence</t>
        </is>
      </c>
      <c r="J4" s="10" t="inlineStr">
        <is>
          <t>severity</t>
        </is>
      </c>
      <c r="K4" s="10" t="inlineStr">
        <is>
          <t>worst_PV</t>
        </is>
      </c>
      <c r="L4" s="10" t="inlineStr">
        <is>
          <t>worst_voc_ratio</t>
        </is>
      </c>
      <c r="M4" s="10" t="inlineStr">
        <is>
          <t>status</t>
        </is>
      </c>
      <c r="N4" s="10" t="inlineStr">
        <is>
          <t>message</t>
        </is>
      </c>
    </row>
    <row r="5">
      <c r="A5" s="5" t="inlineStr">
        <is>
          <t>WB05-INV01</t>
        </is>
      </c>
      <c r="B5" s="18">
        <f>MAX(Helpers_GF!R8:R13)</f>
        <v/>
      </c>
      <c r="C5" s="18">
        <f>MEDIAN(Raw_Data_GF!D8:D13)</f>
        <v/>
      </c>
      <c r="D5" s="17">
        <f>ABS(C5-cfg_gf_fleet_v_gnd_median)/MAX(cfg_gf_fleet_v_gnd_std,0.01)</f>
        <v/>
      </c>
      <c r="E5" s="5">
        <f>IF(B5&gt;cfg_gf_v_abs_threshold,1,0)</f>
        <v/>
      </c>
      <c r="F5" s="5">
        <f>IF(D5&gt;cfg_gf_adaptive_z_threshold,1,0)</f>
        <v/>
      </c>
      <c r="G5" s="5">
        <f>IF(SUM(GF_StringMetrics!K5:K10)&gt;0,1,0)</f>
        <v/>
      </c>
      <c r="H5" s="5">
        <f>MID(IF(E5=1,"+absolute","")&amp;IF(F5=1,"+adaptive","")&amp;IF(G5=1,"+spec_4.2.3",""),2,99)</f>
        <v/>
      </c>
      <c r="I5" s="27">
        <f>IF(AND(G5=1,OR(E5=1,F5=1)),90,IF(G5=1,80,IF(AND(E5=1,F5=1),80,IF(E5=1,70,IF(F5=1,60,0)))))</f>
        <v/>
      </c>
      <c r="J5" s="5">
        <f>IF(I5&gt;=80,"CRITICAL",IF(I5&gt;0,"HIGH","-"))</f>
        <v/>
      </c>
      <c r="K5" s="5">
        <f>INDEX(GF_StringMetrics!B5:B10,MATCH(L5,GF_StringMetrics!F5:F10,0))</f>
        <v/>
      </c>
      <c r="L5" s="31">
        <f>MIN(GF_StringMetrics!F5:F10)</f>
        <v/>
      </c>
      <c r="M5" s="5">
        <f>IF(OR(E5=1,F5=1,G5=1),"ground_fault","NORMAL")</f>
        <v/>
      </c>
      <c r="N5" s="5">
        <f>IF(M5="ground_fault","Ground-fault suspect ("&amp;H5&amp;"): |V_gnd_med|="&amp;TEXT(ABS(C5),"0.0")&amp;"V worst "&amp;K5&amp;" voc_ratio="&amp;TEXT(L5,"0.000")&amp;" conf "&amp;I5&amp;"%","")</f>
        <v/>
      </c>
    </row>
    <row r="6">
      <c r="A6" s="5" t="inlineStr">
        <is>
          <t>WB05-INV02</t>
        </is>
      </c>
      <c r="B6" s="18">
        <f>MAX(Helpers_GF!R17:R22)</f>
        <v/>
      </c>
      <c r="C6" s="18">
        <f>MEDIAN(Raw_Data_GF!D17:D22)</f>
        <v/>
      </c>
      <c r="D6" s="17">
        <f>ABS(C6-cfg_gf_fleet_v_gnd_median)/MAX(cfg_gf_fleet_v_gnd_std,0.01)</f>
        <v/>
      </c>
      <c r="E6" s="5">
        <f>IF(B6&gt;cfg_gf_v_abs_threshold,1,0)</f>
        <v/>
      </c>
      <c r="F6" s="5">
        <f>IF(D6&gt;cfg_gf_adaptive_z_threshold,1,0)</f>
        <v/>
      </c>
      <c r="G6" s="5">
        <f>IF(SUM(GF_StringMetrics!K11:K16)&gt;0,1,0)</f>
        <v/>
      </c>
      <c r="H6" s="5">
        <f>MID(IF(E6=1,"+absolute","")&amp;IF(F6=1,"+adaptive","")&amp;IF(G6=1,"+spec_4.2.3",""),2,99)</f>
        <v/>
      </c>
      <c r="I6" s="27">
        <f>IF(AND(G6=1,OR(E6=1,F6=1)),90,IF(G6=1,80,IF(AND(E6=1,F6=1),80,IF(E6=1,70,IF(F6=1,60,0)))))</f>
        <v/>
      </c>
      <c r="J6" s="5">
        <f>IF(I6&gt;=80,"CRITICAL",IF(I6&gt;0,"HIGH","-"))</f>
        <v/>
      </c>
      <c r="K6" s="5">
        <f>INDEX(GF_StringMetrics!B11:B16,MATCH(L6,GF_StringMetrics!F11:F16,0))</f>
        <v/>
      </c>
      <c r="L6" s="31">
        <f>MIN(GF_StringMetrics!F11:F16)</f>
        <v/>
      </c>
      <c r="M6" s="5">
        <f>IF(OR(E6=1,F6=1,G6=1),"ground_fault","NORMAL")</f>
        <v/>
      </c>
      <c r="N6" s="5">
        <f>IF(M6="ground_fault","Ground-fault suspect ("&amp;H6&amp;"): |V_gnd_med|="&amp;TEXT(ABS(C6),"0.0")&amp;"V worst "&amp;K6&amp;" voc_ratio="&amp;TEXT(L6,"0.000")&amp;" conf "&amp;I6&amp;"%","")</f>
        <v/>
      </c>
    </row>
    <row r="7">
      <c r="A7" s="5" t="inlineStr">
        <is>
          <t>WB05-INV03</t>
        </is>
      </c>
      <c r="B7" s="18">
        <f>MAX(Helpers_GF!R26:R31)</f>
        <v/>
      </c>
      <c r="C7" s="18">
        <f>MEDIAN(Raw_Data_GF!D26:D31)</f>
        <v/>
      </c>
      <c r="D7" s="17">
        <f>ABS(C7-cfg_gf_fleet_v_gnd_median)/MAX(cfg_gf_fleet_v_gnd_std,0.01)</f>
        <v/>
      </c>
      <c r="E7" s="5">
        <f>IF(B7&gt;cfg_gf_v_abs_threshold,1,0)</f>
        <v/>
      </c>
      <c r="F7" s="5">
        <f>IF(D7&gt;cfg_gf_adaptive_z_threshold,1,0)</f>
        <v/>
      </c>
      <c r="G7" s="5">
        <f>IF(SUM(GF_StringMetrics!K17:K22)&gt;0,1,0)</f>
        <v/>
      </c>
      <c r="H7" s="5">
        <f>MID(IF(E7=1,"+absolute","")&amp;IF(F7=1,"+adaptive","")&amp;IF(G7=1,"+spec_4.2.3",""),2,99)</f>
        <v/>
      </c>
      <c r="I7" s="27">
        <f>IF(AND(G7=1,OR(E7=1,F7=1)),90,IF(G7=1,80,IF(AND(E7=1,F7=1),80,IF(E7=1,70,IF(F7=1,60,0)))))</f>
        <v/>
      </c>
      <c r="J7" s="5">
        <f>IF(I7&gt;=80,"CRITICAL",IF(I7&gt;0,"HIGH","-"))</f>
        <v/>
      </c>
      <c r="K7" s="5">
        <f>INDEX(GF_StringMetrics!B17:B22,MATCH(L7,GF_StringMetrics!F17:F22,0))</f>
        <v/>
      </c>
      <c r="L7" s="31">
        <f>MIN(GF_StringMetrics!F17:F22)</f>
        <v/>
      </c>
      <c r="M7" s="5">
        <f>IF(OR(E7=1,F7=1,G7=1),"ground_fault","NORMAL")</f>
        <v/>
      </c>
      <c r="N7" s="5">
        <f>IF(M7="ground_fault","Ground-fault suspect ("&amp;H7&amp;"): |V_gnd_med|="&amp;TEXT(ABS(C7),"0.0")&amp;"V worst "&amp;K7&amp;" voc_ratio="&amp;TEXT(L7,"0.000")&amp;" conf "&amp;I7&amp;"%","")</f>
        <v/>
      </c>
    </row>
    <row r="8">
      <c r="A8" s="5" t="inlineStr">
        <is>
          <t>WB05-INV04</t>
        </is>
      </c>
      <c r="B8" s="18">
        <f>MAX(Helpers_GF!R35:R40)</f>
        <v/>
      </c>
      <c r="C8" s="18">
        <f>MEDIAN(Raw_Data_GF!D35:D40)</f>
        <v/>
      </c>
      <c r="D8" s="17">
        <f>ABS(C8-cfg_gf_fleet_v_gnd_median)/MAX(cfg_gf_fleet_v_gnd_std,0.01)</f>
        <v/>
      </c>
      <c r="E8" s="5">
        <f>IF(B8&gt;cfg_gf_v_abs_threshold,1,0)</f>
        <v/>
      </c>
      <c r="F8" s="5">
        <f>IF(D8&gt;cfg_gf_adaptive_z_threshold,1,0)</f>
        <v/>
      </c>
      <c r="G8" s="5">
        <f>IF(SUM(GF_StringMetrics!K23:K28)&gt;0,1,0)</f>
        <v/>
      </c>
      <c r="H8" s="5">
        <f>MID(IF(E8=1,"+absolute","")&amp;IF(F8=1,"+adaptive","")&amp;IF(G8=1,"+spec_4.2.3",""),2,99)</f>
        <v/>
      </c>
      <c r="I8" s="27">
        <f>IF(AND(G8=1,OR(E8=1,F8=1)),90,IF(G8=1,80,IF(AND(E8=1,F8=1),80,IF(E8=1,70,IF(F8=1,60,0)))))</f>
        <v/>
      </c>
      <c r="J8" s="5">
        <f>IF(I8&gt;=80,"CRITICAL",IF(I8&gt;0,"HIGH","-"))</f>
        <v/>
      </c>
      <c r="K8" s="5">
        <f>INDEX(GF_StringMetrics!B23:B28,MATCH(L8,GF_StringMetrics!F23:F28,0))</f>
        <v/>
      </c>
      <c r="L8" s="31">
        <f>MIN(GF_StringMetrics!F23:F28)</f>
        <v/>
      </c>
      <c r="M8" s="5">
        <f>IF(OR(E8=1,F8=1,G8=1),"ground_fault","NORMAL")</f>
        <v/>
      </c>
      <c r="N8" s="5">
        <f>IF(M8="ground_fault","Ground-fault suspect ("&amp;H8&amp;"): |V_gnd_med|="&amp;TEXT(ABS(C8),"0.0")&amp;"V worst "&amp;K8&amp;" voc_ratio="&amp;TEXT(L8,"0.000")&amp;" conf "&amp;I8&amp;"%","")</f>
        <v/>
      </c>
    </row>
  </sheetData>
  <conditionalFormatting sqref="M5:M8">
    <cfRule type="cellIs" priority="1" operator="equal" dxfId="0">
      <formula>"ground_fault"</formula>
    </cfRule>
    <cfRule type="cellIs" priority="2" operator="equal" dxfId="4">
      <formula>"NORMAL"</formula>
    </cfRule>
  </conditionalFormatting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13" customWidth="1" min="2" max="2"/>
    <col width="24" customWidth="1" min="10" max="10"/>
  </cols>
  <sheetData>
    <row r="1">
      <c r="A1" s="23" t="inlineStr">
        <is>
          <t>M2c_GF_StringStatus — replika artifact StringStatus (ground_fault.py)</t>
        </is>
      </c>
    </row>
    <row r="2">
      <c r="A2" s="24" t="inlineStr">
        <is>
          <t>Mirror self.artifacts['StringStatus']: per-PV status (fan-out status inverter), is_worst_string, V_gnd stats, confidence. Empty slot → EMPTY (top-up EmptyPVMap). Status string = status inverter (semua string inverter ter-flag dapat 'ground_fault').</t>
        </is>
      </c>
    </row>
    <row r="4">
      <c r="A4" s="10" t="inlineStr">
        <is>
          <t>poa_source</t>
        </is>
      </c>
      <c r="B4" s="10" t="inlineStr">
        <is>
          <t>inverter_id</t>
        </is>
      </c>
      <c r="C4" s="10" t="inlineStr">
        <is>
          <t>wb_id</t>
        </is>
      </c>
      <c r="D4" s="10" t="inlineStr">
        <is>
          <t>pv_string</t>
        </is>
      </c>
      <c r="E4" s="10" t="inlineStr">
        <is>
          <t>status</t>
        </is>
      </c>
      <c r="F4" s="10" t="inlineStr">
        <is>
          <t>is_worst_string</t>
        </is>
      </c>
      <c r="G4" s="10" t="inlineStr">
        <is>
          <t>v_gnd_median</t>
        </is>
      </c>
      <c r="H4" s="10" t="inlineStr">
        <is>
          <t>v_gnd_max_abs</t>
        </is>
      </c>
      <c r="I4" s="10" t="inlineStr">
        <is>
          <t>adaptive_z</t>
        </is>
      </c>
      <c r="J4" s="10" t="inlineStr">
        <is>
          <t>triggered_by</t>
        </is>
      </c>
      <c r="K4" s="10" t="inlineStr">
        <is>
          <t>confidence</t>
        </is>
      </c>
      <c r="L4" s="10" t="inlineStr">
        <is>
          <t>voc_ratio</t>
        </is>
      </c>
    </row>
    <row r="5">
      <c r="A5" s="5" t="inlineStr">
        <is>
          <t>dummy_single</t>
        </is>
      </c>
      <c r="B5" s="5" t="inlineStr">
        <is>
          <t>WB05-INV01</t>
        </is>
      </c>
      <c r="C5" s="5" t="inlineStr">
        <is>
          <t>WB05</t>
        </is>
      </c>
      <c r="D5" s="5" t="inlineStr">
        <is>
          <t>PV1</t>
        </is>
      </c>
      <c r="E5" s="5">
        <f>M2c_GroundFault!M5</f>
        <v/>
      </c>
      <c r="F5" s="5">
        <f>IF(M2c_GroundFault!K5="PV1",TRUE,FALSE)</f>
        <v/>
      </c>
      <c r="G5" s="18">
        <f>M2c_GroundFault!C5</f>
        <v/>
      </c>
      <c r="H5" s="18">
        <f>M2c_GroundFault!B5</f>
        <v/>
      </c>
      <c r="I5" s="17">
        <f>M2c_GroundFault!D5</f>
        <v/>
      </c>
      <c r="J5" s="5">
        <f>M2c_GroundFault!H5</f>
        <v/>
      </c>
      <c r="K5" s="27">
        <f>M2c_GroundFault!I5</f>
        <v/>
      </c>
      <c r="L5" s="31">
        <f>IFERROR(GF_StringMetrics!F5,"")</f>
        <v/>
      </c>
    </row>
    <row r="6">
      <c r="A6" s="5" t="inlineStr">
        <is>
          <t>dummy_single</t>
        </is>
      </c>
      <c r="B6" s="5" t="inlineStr">
        <is>
          <t>WB05-INV01</t>
        </is>
      </c>
      <c r="C6" s="5" t="inlineStr">
        <is>
          <t>WB05</t>
        </is>
      </c>
      <c r="D6" s="5" t="inlineStr">
        <is>
          <t>PV2</t>
        </is>
      </c>
      <c r="E6" s="5">
        <f>M2c_GroundFault!M5</f>
        <v/>
      </c>
      <c r="F6" s="5">
        <f>IF(M2c_GroundFault!K5="PV2",TRUE,FALSE)</f>
        <v/>
      </c>
      <c r="G6" s="18">
        <f>M2c_GroundFault!C5</f>
        <v/>
      </c>
      <c r="H6" s="18">
        <f>M2c_GroundFault!B5</f>
        <v/>
      </c>
      <c r="I6" s="17">
        <f>M2c_GroundFault!D5</f>
        <v/>
      </c>
      <c r="J6" s="5">
        <f>M2c_GroundFault!H5</f>
        <v/>
      </c>
      <c r="K6" s="27">
        <f>M2c_GroundFault!I5</f>
        <v/>
      </c>
      <c r="L6" s="31">
        <f>IFERROR(GF_StringMetrics!F6,"")</f>
        <v/>
      </c>
    </row>
    <row r="7">
      <c r="A7" s="5" t="inlineStr">
        <is>
          <t>dummy_single</t>
        </is>
      </c>
      <c r="B7" s="5" t="inlineStr">
        <is>
          <t>WB05-INV01</t>
        </is>
      </c>
      <c r="C7" s="5" t="inlineStr">
        <is>
          <t>WB05</t>
        </is>
      </c>
      <c r="D7" s="5" t="inlineStr">
        <is>
          <t>PV3</t>
        </is>
      </c>
      <c r="E7" s="5">
        <f>M2c_GroundFault!M5</f>
        <v/>
      </c>
      <c r="F7" s="5">
        <f>IF(M2c_GroundFault!K5="PV3",TRUE,FALSE)</f>
        <v/>
      </c>
      <c r="G7" s="18">
        <f>M2c_GroundFault!C5</f>
        <v/>
      </c>
      <c r="H7" s="18">
        <f>M2c_GroundFault!B5</f>
        <v/>
      </c>
      <c r="I7" s="17">
        <f>M2c_GroundFault!D5</f>
        <v/>
      </c>
      <c r="J7" s="5">
        <f>M2c_GroundFault!H5</f>
        <v/>
      </c>
      <c r="K7" s="27">
        <f>M2c_GroundFault!I5</f>
        <v/>
      </c>
      <c r="L7" s="31">
        <f>IFERROR(GF_StringMetrics!F7,"")</f>
        <v/>
      </c>
    </row>
    <row r="8">
      <c r="A8" s="5" t="inlineStr">
        <is>
          <t>dummy_single</t>
        </is>
      </c>
      <c r="B8" s="5" t="inlineStr">
        <is>
          <t>WB05-INV01</t>
        </is>
      </c>
      <c r="C8" s="5" t="inlineStr">
        <is>
          <t>WB05</t>
        </is>
      </c>
      <c r="D8" s="5" t="inlineStr">
        <is>
          <t>PV4</t>
        </is>
      </c>
      <c r="E8" s="5">
        <f>M2c_GroundFault!M5</f>
        <v/>
      </c>
      <c r="F8" s="5">
        <f>IF(M2c_GroundFault!K5="PV4",TRUE,FALSE)</f>
        <v/>
      </c>
      <c r="G8" s="18">
        <f>M2c_GroundFault!C5</f>
        <v/>
      </c>
      <c r="H8" s="18">
        <f>M2c_GroundFault!B5</f>
        <v/>
      </c>
      <c r="I8" s="17">
        <f>M2c_GroundFault!D5</f>
        <v/>
      </c>
      <c r="J8" s="5">
        <f>M2c_GroundFault!H5</f>
        <v/>
      </c>
      <c r="K8" s="27">
        <f>M2c_GroundFault!I5</f>
        <v/>
      </c>
      <c r="L8" s="31">
        <f>IFERROR(GF_StringMetrics!F8,"")</f>
        <v/>
      </c>
    </row>
    <row r="9">
      <c r="A9" s="5" t="inlineStr">
        <is>
          <t>dummy_single</t>
        </is>
      </c>
      <c r="B9" s="5" t="inlineStr">
        <is>
          <t>WB05-INV01</t>
        </is>
      </c>
      <c r="C9" s="5" t="inlineStr">
        <is>
          <t>WB05</t>
        </is>
      </c>
      <c r="D9" s="5" t="inlineStr">
        <is>
          <t>PV5</t>
        </is>
      </c>
      <c r="E9" s="5" t="inlineStr">
        <is>
          <t>EMPTY</t>
        </is>
      </c>
      <c r="F9" s="5">
        <f>IF(M2c_GroundFault!K5="PV5",TRUE,FALSE)</f>
        <v/>
      </c>
      <c r="G9" s="18">
        <f>M2c_GroundFault!C5</f>
        <v/>
      </c>
      <c r="H9" s="18">
        <f>M2c_GroundFault!B5</f>
        <v/>
      </c>
      <c r="I9" s="17">
        <f>M2c_GroundFault!D5</f>
        <v/>
      </c>
      <c r="J9" s="5">
        <f>M2c_GroundFault!H5</f>
        <v/>
      </c>
      <c r="K9" s="27">
        <f>M2c_GroundFault!I5</f>
        <v/>
      </c>
      <c r="L9" s="31">
        <f>IFERROR(GF_StringMetrics!F9,"")</f>
        <v/>
      </c>
    </row>
    <row r="10">
      <c r="A10" s="5" t="inlineStr">
        <is>
          <t>dummy_single</t>
        </is>
      </c>
      <c r="B10" s="5" t="inlineStr">
        <is>
          <t>WB05-INV01</t>
        </is>
      </c>
      <c r="C10" s="5" t="inlineStr">
        <is>
          <t>WB05</t>
        </is>
      </c>
      <c r="D10" s="5" t="inlineStr">
        <is>
          <t>PV6</t>
        </is>
      </c>
      <c r="E10" s="5">
        <f>M2c_GroundFault!M5</f>
        <v/>
      </c>
      <c r="F10" s="5">
        <f>IF(M2c_GroundFault!K5="PV6",TRUE,FALSE)</f>
        <v/>
      </c>
      <c r="G10" s="18">
        <f>M2c_GroundFault!C5</f>
        <v/>
      </c>
      <c r="H10" s="18">
        <f>M2c_GroundFault!B5</f>
        <v/>
      </c>
      <c r="I10" s="17">
        <f>M2c_GroundFault!D5</f>
        <v/>
      </c>
      <c r="J10" s="5">
        <f>M2c_GroundFault!H5</f>
        <v/>
      </c>
      <c r="K10" s="27">
        <f>M2c_GroundFault!I5</f>
        <v/>
      </c>
      <c r="L10" s="31">
        <f>IFERROR(GF_StringMetrics!F10,"")</f>
        <v/>
      </c>
    </row>
    <row r="11">
      <c r="A11" s="5" t="inlineStr">
        <is>
          <t>dummy_single</t>
        </is>
      </c>
      <c r="B11" s="5" t="inlineStr">
        <is>
          <t>WB05-INV02</t>
        </is>
      </c>
      <c r="C11" s="5" t="inlineStr">
        <is>
          <t>WB05</t>
        </is>
      </c>
      <c r="D11" s="5" t="inlineStr">
        <is>
          <t>PV1</t>
        </is>
      </c>
      <c r="E11" s="5">
        <f>M2c_GroundFault!M6</f>
        <v/>
      </c>
      <c r="F11" s="5">
        <f>IF(M2c_GroundFault!K6="PV1",TRUE,FALSE)</f>
        <v/>
      </c>
      <c r="G11" s="18">
        <f>M2c_GroundFault!C6</f>
        <v/>
      </c>
      <c r="H11" s="18">
        <f>M2c_GroundFault!B6</f>
        <v/>
      </c>
      <c r="I11" s="17">
        <f>M2c_GroundFault!D6</f>
        <v/>
      </c>
      <c r="J11" s="5">
        <f>M2c_GroundFault!H6</f>
        <v/>
      </c>
      <c r="K11" s="27">
        <f>M2c_GroundFault!I6</f>
        <v/>
      </c>
      <c r="L11" s="31">
        <f>IFERROR(GF_StringMetrics!F11,"")</f>
        <v/>
      </c>
    </row>
    <row r="12">
      <c r="A12" s="5" t="inlineStr">
        <is>
          <t>dummy_single</t>
        </is>
      </c>
      <c r="B12" s="5" t="inlineStr">
        <is>
          <t>WB05-INV02</t>
        </is>
      </c>
      <c r="C12" s="5" t="inlineStr">
        <is>
          <t>WB05</t>
        </is>
      </c>
      <c r="D12" s="5" t="inlineStr">
        <is>
          <t>PV2</t>
        </is>
      </c>
      <c r="E12" s="5">
        <f>M2c_GroundFault!M6</f>
        <v/>
      </c>
      <c r="F12" s="5">
        <f>IF(M2c_GroundFault!K6="PV2",TRUE,FALSE)</f>
        <v/>
      </c>
      <c r="G12" s="18">
        <f>M2c_GroundFault!C6</f>
        <v/>
      </c>
      <c r="H12" s="18">
        <f>M2c_GroundFault!B6</f>
        <v/>
      </c>
      <c r="I12" s="17">
        <f>M2c_GroundFault!D6</f>
        <v/>
      </c>
      <c r="J12" s="5">
        <f>M2c_GroundFault!H6</f>
        <v/>
      </c>
      <c r="K12" s="27">
        <f>M2c_GroundFault!I6</f>
        <v/>
      </c>
      <c r="L12" s="31">
        <f>IFERROR(GF_StringMetrics!F12,"")</f>
        <v/>
      </c>
    </row>
    <row r="13">
      <c r="A13" s="5" t="inlineStr">
        <is>
          <t>dummy_single</t>
        </is>
      </c>
      <c r="B13" s="5" t="inlineStr">
        <is>
          <t>WB05-INV02</t>
        </is>
      </c>
      <c r="C13" s="5" t="inlineStr">
        <is>
          <t>WB05</t>
        </is>
      </c>
      <c r="D13" s="5" t="inlineStr">
        <is>
          <t>PV3</t>
        </is>
      </c>
      <c r="E13" s="5">
        <f>M2c_GroundFault!M6</f>
        <v/>
      </c>
      <c r="F13" s="5">
        <f>IF(M2c_GroundFault!K6="PV3",TRUE,FALSE)</f>
        <v/>
      </c>
      <c r="G13" s="18">
        <f>M2c_GroundFault!C6</f>
        <v/>
      </c>
      <c r="H13" s="18">
        <f>M2c_GroundFault!B6</f>
        <v/>
      </c>
      <c r="I13" s="17">
        <f>M2c_GroundFault!D6</f>
        <v/>
      </c>
      <c r="J13" s="5">
        <f>M2c_GroundFault!H6</f>
        <v/>
      </c>
      <c r="K13" s="27">
        <f>M2c_GroundFault!I6</f>
        <v/>
      </c>
      <c r="L13" s="31">
        <f>IFERROR(GF_StringMetrics!F13,"")</f>
        <v/>
      </c>
    </row>
    <row r="14">
      <c r="A14" s="5" t="inlineStr">
        <is>
          <t>dummy_single</t>
        </is>
      </c>
      <c r="B14" s="5" t="inlineStr">
        <is>
          <t>WB05-INV02</t>
        </is>
      </c>
      <c r="C14" s="5" t="inlineStr">
        <is>
          <t>WB05</t>
        </is>
      </c>
      <c r="D14" s="5" t="inlineStr">
        <is>
          <t>PV4</t>
        </is>
      </c>
      <c r="E14" s="5">
        <f>M2c_GroundFault!M6</f>
        <v/>
      </c>
      <c r="F14" s="5">
        <f>IF(M2c_GroundFault!K6="PV4",TRUE,FALSE)</f>
        <v/>
      </c>
      <c r="G14" s="18">
        <f>M2c_GroundFault!C6</f>
        <v/>
      </c>
      <c r="H14" s="18">
        <f>M2c_GroundFault!B6</f>
        <v/>
      </c>
      <c r="I14" s="17">
        <f>M2c_GroundFault!D6</f>
        <v/>
      </c>
      <c r="J14" s="5">
        <f>M2c_GroundFault!H6</f>
        <v/>
      </c>
      <c r="K14" s="27">
        <f>M2c_GroundFault!I6</f>
        <v/>
      </c>
      <c r="L14" s="31">
        <f>IFERROR(GF_StringMetrics!F14,"")</f>
        <v/>
      </c>
    </row>
    <row r="15">
      <c r="A15" s="5" t="inlineStr">
        <is>
          <t>dummy_single</t>
        </is>
      </c>
      <c r="B15" s="5" t="inlineStr">
        <is>
          <t>WB05-INV02</t>
        </is>
      </c>
      <c r="C15" s="5" t="inlineStr">
        <is>
          <t>WB05</t>
        </is>
      </c>
      <c r="D15" s="5" t="inlineStr">
        <is>
          <t>PV5</t>
        </is>
      </c>
      <c r="E15" s="5" t="inlineStr">
        <is>
          <t>EMPTY</t>
        </is>
      </c>
      <c r="F15" s="5">
        <f>IF(M2c_GroundFault!K6="PV5",TRUE,FALSE)</f>
        <v/>
      </c>
      <c r="G15" s="18">
        <f>M2c_GroundFault!C6</f>
        <v/>
      </c>
      <c r="H15" s="18">
        <f>M2c_GroundFault!B6</f>
        <v/>
      </c>
      <c r="I15" s="17">
        <f>M2c_GroundFault!D6</f>
        <v/>
      </c>
      <c r="J15" s="5">
        <f>M2c_GroundFault!H6</f>
        <v/>
      </c>
      <c r="K15" s="27">
        <f>M2c_GroundFault!I6</f>
        <v/>
      </c>
      <c r="L15" s="31">
        <f>IFERROR(GF_StringMetrics!F15,"")</f>
        <v/>
      </c>
    </row>
    <row r="16">
      <c r="A16" s="5" t="inlineStr">
        <is>
          <t>dummy_single</t>
        </is>
      </c>
      <c r="B16" s="5" t="inlineStr">
        <is>
          <t>WB05-INV02</t>
        </is>
      </c>
      <c r="C16" s="5" t="inlineStr">
        <is>
          <t>WB05</t>
        </is>
      </c>
      <c r="D16" s="5" t="inlineStr">
        <is>
          <t>PV6</t>
        </is>
      </c>
      <c r="E16" s="5">
        <f>M2c_GroundFault!M6</f>
        <v/>
      </c>
      <c r="F16" s="5">
        <f>IF(M2c_GroundFault!K6="PV6",TRUE,FALSE)</f>
        <v/>
      </c>
      <c r="G16" s="18">
        <f>M2c_GroundFault!C6</f>
        <v/>
      </c>
      <c r="H16" s="18">
        <f>M2c_GroundFault!B6</f>
        <v/>
      </c>
      <c r="I16" s="17">
        <f>M2c_GroundFault!D6</f>
        <v/>
      </c>
      <c r="J16" s="5">
        <f>M2c_GroundFault!H6</f>
        <v/>
      </c>
      <c r="K16" s="27">
        <f>M2c_GroundFault!I6</f>
        <v/>
      </c>
      <c r="L16" s="31">
        <f>IFERROR(GF_StringMetrics!F16,"")</f>
        <v/>
      </c>
    </row>
    <row r="17">
      <c r="A17" s="5" t="inlineStr">
        <is>
          <t>dummy_single</t>
        </is>
      </c>
      <c r="B17" s="5" t="inlineStr">
        <is>
          <t>WB05-INV03</t>
        </is>
      </c>
      <c r="C17" s="5" t="inlineStr">
        <is>
          <t>WB05</t>
        </is>
      </c>
      <c r="D17" s="5" t="inlineStr">
        <is>
          <t>PV1</t>
        </is>
      </c>
      <c r="E17" s="5">
        <f>M2c_GroundFault!M7</f>
        <v/>
      </c>
      <c r="F17" s="5">
        <f>IF(M2c_GroundFault!K7="PV1",TRUE,FALSE)</f>
        <v/>
      </c>
      <c r="G17" s="18">
        <f>M2c_GroundFault!C7</f>
        <v/>
      </c>
      <c r="H17" s="18">
        <f>M2c_GroundFault!B7</f>
        <v/>
      </c>
      <c r="I17" s="17">
        <f>M2c_GroundFault!D7</f>
        <v/>
      </c>
      <c r="J17" s="5">
        <f>M2c_GroundFault!H7</f>
        <v/>
      </c>
      <c r="K17" s="27">
        <f>M2c_GroundFault!I7</f>
        <v/>
      </c>
      <c r="L17" s="31">
        <f>IFERROR(GF_StringMetrics!F17,"")</f>
        <v/>
      </c>
    </row>
    <row r="18">
      <c r="A18" s="5" t="inlineStr">
        <is>
          <t>dummy_single</t>
        </is>
      </c>
      <c r="B18" s="5" t="inlineStr">
        <is>
          <t>WB05-INV03</t>
        </is>
      </c>
      <c r="C18" s="5" t="inlineStr">
        <is>
          <t>WB05</t>
        </is>
      </c>
      <c r="D18" s="5" t="inlineStr">
        <is>
          <t>PV2</t>
        </is>
      </c>
      <c r="E18" s="5">
        <f>M2c_GroundFault!M7</f>
        <v/>
      </c>
      <c r="F18" s="5">
        <f>IF(M2c_GroundFault!K7="PV2",TRUE,FALSE)</f>
        <v/>
      </c>
      <c r="G18" s="18">
        <f>M2c_GroundFault!C7</f>
        <v/>
      </c>
      <c r="H18" s="18">
        <f>M2c_GroundFault!B7</f>
        <v/>
      </c>
      <c r="I18" s="17">
        <f>M2c_GroundFault!D7</f>
        <v/>
      </c>
      <c r="J18" s="5">
        <f>M2c_GroundFault!H7</f>
        <v/>
      </c>
      <c r="K18" s="27">
        <f>M2c_GroundFault!I7</f>
        <v/>
      </c>
      <c r="L18" s="31">
        <f>IFERROR(GF_StringMetrics!F18,"")</f>
        <v/>
      </c>
    </row>
    <row r="19">
      <c r="A19" s="5" t="inlineStr">
        <is>
          <t>dummy_single</t>
        </is>
      </c>
      <c r="B19" s="5" t="inlineStr">
        <is>
          <t>WB05-INV03</t>
        </is>
      </c>
      <c r="C19" s="5" t="inlineStr">
        <is>
          <t>WB05</t>
        </is>
      </c>
      <c r="D19" s="5" t="inlineStr">
        <is>
          <t>PV3</t>
        </is>
      </c>
      <c r="E19" s="5">
        <f>M2c_GroundFault!M7</f>
        <v/>
      </c>
      <c r="F19" s="5">
        <f>IF(M2c_GroundFault!K7="PV3",TRUE,FALSE)</f>
        <v/>
      </c>
      <c r="G19" s="18">
        <f>M2c_GroundFault!C7</f>
        <v/>
      </c>
      <c r="H19" s="18">
        <f>M2c_GroundFault!B7</f>
        <v/>
      </c>
      <c r="I19" s="17">
        <f>M2c_GroundFault!D7</f>
        <v/>
      </c>
      <c r="J19" s="5">
        <f>M2c_GroundFault!H7</f>
        <v/>
      </c>
      <c r="K19" s="27">
        <f>M2c_GroundFault!I7</f>
        <v/>
      </c>
      <c r="L19" s="31">
        <f>IFERROR(GF_StringMetrics!F19,"")</f>
        <v/>
      </c>
    </row>
    <row r="20">
      <c r="A20" s="5" t="inlineStr">
        <is>
          <t>dummy_single</t>
        </is>
      </c>
      <c r="B20" s="5" t="inlineStr">
        <is>
          <t>WB05-INV03</t>
        </is>
      </c>
      <c r="C20" s="5" t="inlineStr">
        <is>
          <t>WB05</t>
        </is>
      </c>
      <c r="D20" s="5" t="inlineStr">
        <is>
          <t>PV4</t>
        </is>
      </c>
      <c r="E20" s="5">
        <f>M2c_GroundFault!M7</f>
        <v/>
      </c>
      <c r="F20" s="5">
        <f>IF(M2c_GroundFault!K7="PV4",TRUE,FALSE)</f>
        <v/>
      </c>
      <c r="G20" s="18">
        <f>M2c_GroundFault!C7</f>
        <v/>
      </c>
      <c r="H20" s="18">
        <f>M2c_GroundFault!B7</f>
        <v/>
      </c>
      <c r="I20" s="17">
        <f>M2c_GroundFault!D7</f>
        <v/>
      </c>
      <c r="J20" s="5">
        <f>M2c_GroundFault!H7</f>
        <v/>
      </c>
      <c r="K20" s="27">
        <f>M2c_GroundFault!I7</f>
        <v/>
      </c>
      <c r="L20" s="31">
        <f>IFERROR(GF_StringMetrics!F20,"")</f>
        <v/>
      </c>
    </row>
    <row r="21">
      <c r="A21" s="5" t="inlineStr">
        <is>
          <t>dummy_single</t>
        </is>
      </c>
      <c r="B21" s="5" t="inlineStr">
        <is>
          <t>WB05-INV03</t>
        </is>
      </c>
      <c r="C21" s="5" t="inlineStr">
        <is>
          <t>WB05</t>
        </is>
      </c>
      <c r="D21" s="5" t="inlineStr">
        <is>
          <t>PV5</t>
        </is>
      </c>
      <c r="E21" s="5">
        <f>M2c_GroundFault!M7</f>
        <v/>
      </c>
      <c r="F21" s="5">
        <f>IF(M2c_GroundFault!K7="PV5",TRUE,FALSE)</f>
        <v/>
      </c>
      <c r="G21" s="18">
        <f>M2c_GroundFault!C7</f>
        <v/>
      </c>
      <c r="H21" s="18">
        <f>M2c_GroundFault!B7</f>
        <v/>
      </c>
      <c r="I21" s="17">
        <f>M2c_GroundFault!D7</f>
        <v/>
      </c>
      <c r="J21" s="5">
        <f>M2c_GroundFault!H7</f>
        <v/>
      </c>
      <c r="K21" s="27">
        <f>M2c_GroundFault!I7</f>
        <v/>
      </c>
      <c r="L21" s="31">
        <f>IFERROR(GF_StringMetrics!F21,"")</f>
        <v/>
      </c>
    </row>
    <row r="22">
      <c r="A22" s="5" t="inlineStr">
        <is>
          <t>dummy_single</t>
        </is>
      </c>
      <c r="B22" s="5" t="inlineStr">
        <is>
          <t>WB05-INV03</t>
        </is>
      </c>
      <c r="C22" s="5" t="inlineStr">
        <is>
          <t>WB05</t>
        </is>
      </c>
      <c r="D22" s="5" t="inlineStr">
        <is>
          <t>PV6</t>
        </is>
      </c>
      <c r="E22" s="5">
        <f>M2c_GroundFault!M7</f>
        <v/>
      </c>
      <c r="F22" s="5">
        <f>IF(M2c_GroundFault!K7="PV6",TRUE,FALSE)</f>
        <v/>
      </c>
      <c r="G22" s="18">
        <f>M2c_GroundFault!C7</f>
        <v/>
      </c>
      <c r="H22" s="18">
        <f>M2c_GroundFault!B7</f>
        <v/>
      </c>
      <c r="I22" s="17">
        <f>M2c_GroundFault!D7</f>
        <v/>
      </c>
      <c r="J22" s="5">
        <f>M2c_GroundFault!H7</f>
        <v/>
      </c>
      <c r="K22" s="27">
        <f>M2c_GroundFault!I7</f>
        <v/>
      </c>
      <c r="L22" s="31">
        <f>IFERROR(GF_StringMetrics!F22,"")</f>
        <v/>
      </c>
    </row>
    <row r="23">
      <c r="A23" s="5" t="inlineStr">
        <is>
          <t>dummy_single</t>
        </is>
      </c>
      <c r="B23" s="5" t="inlineStr">
        <is>
          <t>WB05-INV04</t>
        </is>
      </c>
      <c r="C23" s="5" t="inlineStr">
        <is>
          <t>WB05</t>
        </is>
      </c>
      <c r="D23" s="5" t="inlineStr">
        <is>
          <t>PV1</t>
        </is>
      </c>
      <c r="E23" s="5">
        <f>M2c_GroundFault!M8</f>
        <v/>
      </c>
      <c r="F23" s="5">
        <f>IF(M2c_GroundFault!K8="PV1",TRUE,FALSE)</f>
        <v/>
      </c>
      <c r="G23" s="18">
        <f>M2c_GroundFault!C8</f>
        <v/>
      </c>
      <c r="H23" s="18">
        <f>M2c_GroundFault!B8</f>
        <v/>
      </c>
      <c r="I23" s="17">
        <f>M2c_GroundFault!D8</f>
        <v/>
      </c>
      <c r="J23" s="5">
        <f>M2c_GroundFault!H8</f>
        <v/>
      </c>
      <c r="K23" s="27">
        <f>M2c_GroundFault!I8</f>
        <v/>
      </c>
      <c r="L23" s="31">
        <f>IFERROR(GF_StringMetrics!F23,"")</f>
        <v/>
      </c>
    </row>
    <row r="24">
      <c r="A24" s="5" t="inlineStr">
        <is>
          <t>dummy_single</t>
        </is>
      </c>
      <c r="B24" s="5" t="inlineStr">
        <is>
          <t>WB05-INV04</t>
        </is>
      </c>
      <c r="C24" s="5" t="inlineStr">
        <is>
          <t>WB05</t>
        </is>
      </c>
      <c r="D24" s="5" t="inlineStr">
        <is>
          <t>PV2</t>
        </is>
      </c>
      <c r="E24" s="5">
        <f>M2c_GroundFault!M8</f>
        <v/>
      </c>
      <c r="F24" s="5">
        <f>IF(M2c_GroundFault!K8="PV2",TRUE,FALSE)</f>
        <v/>
      </c>
      <c r="G24" s="18">
        <f>M2c_GroundFault!C8</f>
        <v/>
      </c>
      <c r="H24" s="18">
        <f>M2c_GroundFault!B8</f>
        <v/>
      </c>
      <c r="I24" s="17">
        <f>M2c_GroundFault!D8</f>
        <v/>
      </c>
      <c r="J24" s="5">
        <f>M2c_GroundFault!H8</f>
        <v/>
      </c>
      <c r="K24" s="27">
        <f>M2c_GroundFault!I8</f>
        <v/>
      </c>
      <c r="L24" s="31">
        <f>IFERROR(GF_StringMetrics!F24,"")</f>
        <v/>
      </c>
    </row>
    <row r="25">
      <c r="A25" s="5" t="inlineStr">
        <is>
          <t>dummy_single</t>
        </is>
      </c>
      <c r="B25" s="5" t="inlineStr">
        <is>
          <t>WB05-INV04</t>
        </is>
      </c>
      <c r="C25" s="5" t="inlineStr">
        <is>
          <t>WB05</t>
        </is>
      </c>
      <c r="D25" s="5" t="inlineStr">
        <is>
          <t>PV3</t>
        </is>
      </c>
      <c r="E25" s="5">
        <f>M2c_GroundFault!M8</f>
        <v/>
      </c>
      <c r="F25" s="5">
        <f>IF(M2c_GroundFault!K8="PV3",TRUE,FALSE)</f>
        <v/>
      </c>
      <c r="G25" s="18">
        <f>M2c_GroundFault!C8</f>
        <v/>
      </c>
      <c r="H25" s="18">
        <f>M2c_GroundFault!B8</f>
        <v/>
      </c>
      <c r="I25" s="17">
        <f>M2c_GroundFault!D8</f>
        <v/>
      </c>
      <c r="J25" s="5">
        <f>M2c_GroundFault!H8</f>
        <v/>
      </c>
      <c r="K25" s="27">
        <f>M2c_GroundFault!I8</f>
        <v/>
      </c>
      <c r="L25" s="31">
        <f>IFERROR(GF_StringMetrics!F25,"")</f>
        <v/>
      </c>
    </row>
    <row r="26">
      <c r="A26" s="5" t="inlineStr">
        <is>
          <t>dummy_single</t>
        </is>
      </c>
      <c r="B26" s="5" t="inlineStr">
        <is>
          <t>WB05-INV04</t>
        </is>
      </c>
      <c r="C26" s="5" t="inlineStr">
        <is>
          <t>WB05</t>
        </is>
      </c>
      <c r="D26" s="5" t="inlineStr">
        <is>
          <t>PV4</t>
        </is>
      </c>
      <c r="E26" s="5">
        <f>M2c_GroundFault!M8</f>
        <v/>
      </c>
      <c r="F26" s="5">
        <f>IF(M2c_GroundFault!K8="PV4",TRUE,FALSE)</f>
        <v/>
      </c>
      <c r="G26" s="18">
        <f>M2c_GroundFault!C8</f>
        <v/>
      </c>
      <c r="H26" s="18">
        <f>M2c_GroundFault!B8</f>
        <v/>
      </c>
      <c r="I26" s="17">
        <f>M2c_GroundFault!D8</f>
        <v/>
      </c>
      <c r="J26" s="5">
        <f>M2c_GroundFault!H8</f>
        <v/>
      </c>
      <c r="K26" s="27">
        <f>M2c_GroundFault!I8</f>
        <v/>
      </c>
      <c r="L26" s="31">
        <f>IFERROR(GF_StringMetrics!F26,"")</f>
        <v/>
      </c>
    </row>
    <row r="27">
      <c r="A27" s="5" t="inlineStr">
        <is>
          <t>dummy_single</t>
        </is>
      </c>
      <c r="B27" s="5" t="inlineStr">
        <is>
          <t>WB05-INV04</t>
        </is>
      </c>
      <c r="C27" s="5" t="inlineStr">
        <is>
          <t>WB05</t>
        </is>
      </c>
      <c r="D27" s="5" t="inlineStr">
        <is>
          <t>PV5</t>
        </is>
      </c>
      <c r="E27" s="5">
        <f>M2c_GroundFault!M8</f>
        <v/>
      </c>
      <c r="F27" s="5">
        <f>IF(M2c_GroundFault!K8="PV5",TRUE,FALSE)</f>
        <v/>
      </c>
      <c r="G27" s="18">
        <f>M2c_GroundFault!C8</f>
        <v/>
      </c>
      <c r="H27" s="18">
        <f>M2c_GroundFault!B8</f>
        <v/>
      </c>
      <c r="I27" s="17">
        <f>M2c_GroundFault!D8</f>
        <v/>
      </c>
      <c r="J27" s="5">
        <f>M2c_GroundFault!H8</f>
        <v/>
      </c>
      <c r="K27" s="27">
        <f>M2c_GroundFault!I8</f>
        <v/>
      </c>
      <c r="L27" s="31">
        <f>IFERROR(GF_StringMetrics!F27,"")</f>
        <v/>
      </c>
    </row>
    <row r="28">
      <c r="A28" s="5" t="inlineStr">
        <is>
          <t>dummy_single</t>
        </is>
      </c>
      <c r="B28" s="5" t="inlineStr">
        <is>
          <t>WB05-INV04</t>
        </is>
      </c>
      <c r="C28" s="5" t="inlineStr">
        <is>
          <t>WB05</t>
        </is>
      </c>
      <c r="D28" s="5" t="inlineStr">
        <is>
          <t>PV6</t>
        </is>
      </c>
      <c r="E28" s="5">
        <f>M2c_GroundFault!M8</f>
        <v/>
      </c>
      <c r="F28" s="5">
        <f>IF(M2c_GroundFault!K8="PV6",TRUE,FALSE)</f>
        <v/>
      </c>
      <c r="G28" s="18">
        <f>M2c_GroundFault!C8</f>
        <v/>
      </c>
      <c r="H28" s="18">
        <f>M2c_GroundFault!B8</f>
        <v/>
      </c>
      <c r="I28" s="17">
        <f>M2c_GroundFault!D8</f>
        <v/>
      </c>
      <c r="J28" s="5">
        <f>M2c_GroundFault!H8</f>
        <v/>
      </c>
      <c r="K28" s="27">
        <f>M2c_GroundFault!I8</f>
        <v/>
      </c>
      <c r="L28" s="31">
        <f>IFERROR(GF_StringMetrics!F28,"")</f>
        <v/>
      </c>
    </row>
  </sheetData>
  <conditionalFormatting sqref="E5:E28">
    <cfRule type="cellIs" priority="1" operator="equal" dxfId="0">
      <formula>"ground_fault"</formula>
    </cfRule>
    <cfRule type="cellIs" priority="2" operator="equal" dxfId="4">
      <formula>"NORMAL"</formula>
    </cfRule>
    <cfRule type="cellIs" priority="3" operator="equal" dxfId="5">
      <formula>"EMPTY"</formula>
    </cfRule>
  </conditionalFormatting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3" customWidth="1" min="2" max="2"/>
  </cols>
  <sheetData>
    <row r="1">
      <c r="A1" s="23" t="inlineStr">
        <is>
          <t>Raw_Data_IF — V/I per PV string (WB05-INV01, 14 ts daylight)</t>
        </is>
      </c>
    </row>
    <row r="2">
      <c r="A2" s="24" t="inlineStr">
        <is>
          <t>1 inverter, 6 PV string, 14 timestamp noon (POA=900). Sel anomali di-inject (di-highlight): PV3@12:25/12:30 arus drop, PV5@12:45 V drop, PV2@12:10 arus tinggi.</t>
        </is>
      </c>
    </row>
    <row r="3">
      <c r="A3" s="24" t="inlineStr">
        <is>
          <t>Detector iForest ASLI train per inverter di SEMUA daylight sample. Ganti dengan data Huawei aktual (paste over).</t>
        </is>
      </c>
    </row>
    <row r="4">
      <c r="A4" s="10" t="inlineStr">
        <is>
          <t>t</t>
        </is>
      </c>
      <c r="B4" s="10" t="inlineStr">
        <is>
          <t>Start Time</t>
        </is>
      </c>
      <c r="C4" s="10" t="inlineStr">
        <is>
          <t>POA</t>
        </is>
      </c>
      <c r="D4" s="10" t="inlineStr">
        <is>
          <t>PV1 V</t>
        </is>
      </c>
      <c r="E4" s="10" t="inlineStr">
        <is>
          <t>PV2 V</t>
        </is>
      </c>
      <c r="F4" s="10" t="inlineStr">
        <is>
          <t>PV3 V</t>
        </is>
      </c>
      <c r="G4" s="10" t="inlineStr">
        <is>
          <t>PV4 V</t>
        </is>
      </c>
      <c r="H4" s="10" t="inlineStr">
        <is>
          <t>PV5 V</t>
        </is>
      </c>
      <c r="I4" s="10" t="inlineStr">
        <is>
          <t>PV6 V</t>
        </is>
      </c>
      <c r="J4" s="10" t="inlineStr">
        <is>
          <t>PV1 I</t>
        </is>
      </c>
      <c r="K4" s="10" t="inlineStr">
        <is>
          <t>PV2 I</t>
        </is>
      </c>
      <c r="L4" s="10" t="inlineStr">
        <is>
          <t>PV3 I</t>
        </is>
      </c>
      <c r="M4" s="10" t="inlineStr">
        <is>
          <t>PV4 I</t>
        </is>
      </c>
      <c r="N4" s="10" t="inlineStr">
        <is>
          <t>PV5 I</t>
        </is>
      </c>
      <c r="O4" s="10" t="inlineStr">
        <is>
          <t>PV6 I</t>
        </is>
      </c>
    </row>
    <row r="5">
      <c r="A5" s="5" t="n">
        <v>0</v>
      </c>
      <c r="B5" s="40" t="n">
        <v>46156.5</v>
      </c>
      <c r="C5" s="5" t="n">
        <v>900</v>
      </c>
      <c r="D5" s="18" t="n">
        <v>1200.6</v>
      </c>
      <c r="E5" s="18" t="n">
        <v>1199.4</v>
      </c>
      <c r="F5" s="18" t="n">
        <v>1200.3</v>
      </c>
      <c r="G5" s="18" t="n">
        <v>1199.7</v>
      </c>
      <c r="H5" s="18" t="n">
        <v>1200.9</v>
      </c>
      <c r="I5" s="18" t="n">
        <v>1199.1</v>
      </c>
      <c r="J5" s="17" t="n">
        <v>10.08973386615901</v>
      </c>
      <c r="K5" s="17" t="n">
        <v>9.989733866159012</v>
      </c>
      <c r="L5" s="17" t="n">
        <v>10.06973386615901</v>
      </c>
      <c r="M5" s="17" t="n">
        <v>10.00973386615901</v>
      </c>
      <c r="N5" s="17" t="n">
        <v>10.10973386615901</v>
      </c>
      <c r="O5" s="17" t="n">
        <v>9.969733866159013</v>
      </c>
    </row>
    <row r="6">
      <c r="A6" s="5" t="n">
        <v>1</v>
      </c>
      <c r="B6" s="40" t="n">
        <v>46156.50347222222</v>
      </c>
      <c r="C6" s="5" t="n">
        <v>900</v>
      </c>
      <c r="D6" s="18" t="n">
        <v>1200.6</v>
      </c>
      <c r="E6" s="18" t="n">
        <v>1199.4</v>
      </c>
      <c r="F6" s="18" t="n">
        <v>1200.3</v>
      </c>
      <c r="G6" s="18" t="n">
        <v>1199.7</v>
      </c>
      <c r="H6" s="18" t="n">
        <v>1200.9</v>
      </c>
      <c r="I6" s="18" t="n">
        <v>1199.1</v>
      </c>
      <c r="J6" s="17" t="n">
        <v>10.12988540101605</v>
      </c>
      <c r="K6" s="17" t="n">
        <v>10.02988540101605</v>
      </c>
      <c r="L6" s="17" t="n">
        <v>10.10988540101605</v>
      </c>
      <c r="M6" s="17" t="n">
        <v>10.04988540101605</v>
      </c>
      <c r="N6" s="17" t="n">
        <v>10.14988540101605</v>
      </c>
      <c r="O6" s="17" t="n">
        <v>10.00988540101605</v>
      </c>
    </row>
    <row r="7">
      <c r="A7" s="5" t="n">
        <v>2</v>
      </c>
      <c r="B7" s="40" t="n">
        <v>46156.50694444445</v>
      </c>
      <c r="C7" s="5" t="n">
        <v>900</v>
      </c>
      <c r="D7" s="18" t="n">
        <v>1200.6</v>
      </c>
      <c r="E7" s="18" t="n">
        <v>1199.4</v>
      </c>
      <c r="F7" s="18" t="n">
        <v>1200.3</v>
      </c>
      <c r="G7" s="18" t="n">
        <v>1199.7</v>
      </c>
      <c r="H7" s="18" t="n">
        <v>1200.9</v>
      </c>
      <c r="I7" s="18" t="n">
        <v>1199.1</v>
      </c>
      <c r="J7" s="17" t="n">
        <v>10.16649715516797</v>
      </c>
      <c r="K7" s="25" t="n">
        <v>12.6</v>
      </c>
      <c r="L7" s="17" t="n">
        <v>10.14649715516797</v>
      </c>
      <c r="M7" s="17" t="n">
        <v>10.08649715516797</v>
      </c>
      <c r="N7" s="17" t="n">
        <v>10.18649715516797</v>
      </c>
      <c r="O7" s="17" t="n">
        <v>10.04649715516797</v>
      </c>
    </row>
    <row r="8">
      <c r="A8" s="5" t="n">
        <v>3</v>
      </c>
      <c r="B8" s="40" t="n">
        <v>46156.51041666666</v>
      </c>
      <c r="C8" s="5" t="n">
        <v>900</v>
      </c>
      <c r="D8" s="18" t="n">
        <v>1200.6</v>
      </c>
      <c r="E8" s="18" t="n">
        <v>1199.4</v>
      </c>
      <c r="F8" s="18" t="n">
        <v>1200.3</v>
      </c>
      <c r="G8" s="18" t="n">
        <v>1199.7</v>
      </c>
      <c r="H8" s="18" t="n">
        <v>1200.9</v>
      </c>
      <c r="I8" s="18" t="n">
        <v>1199.1</v>
      </c>
      <c r="J8" s="17" t="n">
        <v>10.19794683493809</v>
      </c>
      <c r="K8" s="17" t="n">
        <v>10.09794683493809</v>
      </c>
      <c r="L8" s="17" t="n">
        <v>10.17794683493809</v>
      </c>
      <c r="M8" s="17" t="n">
        <v>10.11794683493809</v>
      </c>
      <c r="N8" s="17" t="n">
        <v>10.21794683493809</v>
      </c>
      <c r="O8" s="17" t="n">
        <v>10.07794683493809</v>
      </c>
    </row>
    <row r="9">
      <c r="A9" s="5" t="n">
        <v>4</v>
      </c>
      <c r="B9" s="40" t="n">
        <v>46156.51388888889</v>
      </c>
      <c r="C9" s="5" t="n">
        <v>900</v>
      </c>
      <c r="D9" s="18" t="n">
        <v>1200.6</v>
      </c>
      <c r="E9" s="18" t="n">
        <v>1199.4</v>
      </c>
      <c r="F9" s="18" t="n">
        <v>1200.3</v>
      </c>
      <c r="G9" s="18" t="n">
        <v>1199.7</v>
      </c>
      <c r="H9" s="18" t="n">
        <v>1200.9</v>
      </c>
      <c r="I9" s="18" t="n">
        <v>1199.1</v>
      </c>
      <c r="J9" s="17" t="n">
        <v>10.22284088195135</v>
      </c>
      <c r="K9" s="17" t="n">
        <v>10.12284088195135</v>
      </c>
      <c r="L9" s="17" t="n">
        <v>10.20284088195135</v>
      </c>
      <c r="M9" s="17" t="n">
        <v>10.14284088195135</v>
      </c>
      <c r="N9" s="17" t="n">
        <v>10.24284088195135</v>
      </c>
      <c r="O9" s="17" t="n">
        <v>10.10284088195135</v>
      </c>
    </row>
    <row r="10">
      <c r="A10" s="5" t="n">
        <v>5</v>
      </c>
      <c r="B10" s="40" t="n">
        <v>46156.51736111111</v>
      </c>
      <c r="C10" s="5" t="n">
        <v>900</v>
      </c>
      <c r="D10" s="18" t="n">
        <v>1200.6</v>
      </c>
      <c r="E10" s="18" t="n">
        <v>1199.4</v>
      </c>
      <c r="F10" s="18" t="n">
        <v>1200.3</v>
      </c>
      <c r="G10" s="18" t="n">
        <v>1199.7</v>
      </c>
      <c r="H10" s="18" t="n">
        <v>1200.9</v>
      </c>
      <c r="I10" s="18" t="n">
        <v>1199.1</v>
      </c>
      <c r="J10" s="17" t="n">
        <v>10.24007622272786</v>
      </c>
      <c r="K10" s="17" t="n">
        <v>10.14007622272786</v>
      </c>
      <c r="L10" s="25" t="n">
        <v>3</v>
      </c>
      <c r="M10" s="17" t="n">
        <v>10.16007622272786</v>
      </c>
      <c r="N10" s="17" t="n">
        <v>10.26007622272786</v>
      </c>
      <c r="O10" s="17" t="n">
        <v>10.12007622272786</v>
      </c>
    </row>
    <row r="11">
      <c r="A11" s="5" t="n">
        <v>6</v>
      </c>
      <c r="B11" s="40" t="n">
        <v>46156.52083333334</v>
      </c>
      <c r="C11" s="5" t="n">
        <v>900</v>
      </c>
      <c r="D11" s="18" t="n">
        <v>1200.6</v>
      </c>
      <c r="E11" s="18" t="n">
        <v>1199.4</v>
      </c>
      <c r="F11" s="18" t="n">
        <v>1200.3</v>
      </c>
      <c r="G11" s="18" t="n">
        <v>1199.7</v>
      </c>
      <c r="H11" s="18" t="n">
        <v>1200.9</v>
      </c>
      <c r="I11" s="18" t="n">
        <v>1199.1</v>
      </c>
      <c r="J11" s="17" t="n">
        <v>10.24888914667782</v>
      </c>
      <c r="K11" s="17" t="n">
        <v>10.14888914667782</v>
      </c>
      <c r="L11" s="25" t="n">
        <v>4</v>
      </c>
      <c r="M11" s="17" t="n">
        <v>10.16888914667782</v>
      </c>
      <c r="N11" s="17" t="n">
        <v>10.26888914667782</v>
      </c>
      <c r="O11" s="17" t="n">
        <v>10.12888914667782</v>
      </c>
    </row>
    <row r="12">
      <c r="A12" s="5" t="n">
        <v>7</v>
      </c>
      <c r="B12" s="40" t="n">
        <v>46156.52430555555</v>
      </c>
      <c r="C12" s="5" t="n">
        <v>900</v>
      </c>
      <c r="D12" s="18" t="n">
        <v>1200.6</v>
      </c>
      <c r="E12" s="18" t="n">
        <v>1199.4</v>
      </c>
      <c r="F12" s="18" t="n">
        <v>1200.3</v>
      </c>
      <c r="G12" s="18" t="n">
        <v>1199.7</v>
      </c>
      <c r="H12" s="18" t="n">
        <v>1200.9</v>
      </c>
      <c r="I12" s="18" t="n">
        <v>1199.1</v>
      </c>
      <c r="J12" s="17" t="n">
        <v>10.24888914667782</v>
      </c>
      <c r="K12" s="17" t="n">
        <v>10.14888914667782</v>
      </c>
      <c r="L12" s="17" t="n">
        <v>10.22888914667782</v>
      </c>
      <c r="M12" s="17" t="n">
        <v>10.16888914667782</v>
      </c>
      <c r="N12" s="17" t="n">
        <v>10.26888914667782</v>
      </c>
      <c r="O12" s="17" t="n">
        <v>10.12888914667782</v>
      </c>
    </row>
    <row r="13">
      <c r="A13" s="5" t="n">
        <v>8</v>
      </c>
      <c r="B13" s="40" t="n">
        <v>46156.52777777778</v>
      </c>
      <c r="C13" s="5" t="n">
        <v>900</v>
      </c>
      <c r="D13" s="18" t="n">
        <v>1200.6</v>
      </c>
      <c r="E13" s="18" t="n">
        <v>1199.4</v>
      </c>
      <c r="F13" s="18" t="n">
        <v>1200.3</v>
      </c>
      <c r="G13" s="18" t="n">
        <v>1199.7</v>
      </c>
      <c r="H13" s="18" t="n">
        <v>1200.9</v>
      </c>
      <c r="I13" s="18" t="n">
        <v>1199.1</v>
      </c>
      <c r="J13" s="17" t="n">
        <v>10.24007622272786</v>
      </c>
      <c r="K13" s="17" t="n">
        <v>10.14007622272786</v>
      </c>
      <c r="L13" s="17" t="n">
        <v>10.22007622272786</v>
      </c>
      <c r="M13" s="17" t="n">
        <v>10.16007622272786</v>
      </c>
      <c r="N13" s="17" t="n">
        <v>10.26007622272786</v>
      </c>
      <c r="O13" s="17" t="n">
        <v>10.12007622272786</v>
      </c>
    </row>
    <row r="14">
      <c r="A14" s="5" t="n">
        <v>9</v>
      </c>
      <c r="B14" s="40" t="n">
        <v>46156.53125</v>
      </c>
      <c r="C14" s="5" t="n">
        <v>900</v>
      </c>
      <c r="D14" s="18" t="n">
        <v>1200.6</v>
      </c>
      <c r="E14" s="18" t="n">
        <v>1199.4</v>
      </c>
      <c r="F14" s="18" t="n">
        <v>1200.3</v>
      </c>
      <c r="G14" s="18" t="n">
        <v>1199.7</v>
      </c>
      <c r="H14" s="35" t="n">
        <v>1100</v>
      </c>
      <c r="I14" s="18" t="n">
        <v>1199.1</v>
      </c>
      <c r="J14" s="17" t="n">
        <v>10.22284088195135</v>
      </c>
      <c r="K14" s="17" t="n">
        <v>10.12284088195135</v>
      </c>
      <c r="L14" s="17" t="n">
        <v>10.20284088195135</v>
      </c>
      <c r="M14" s="17" t="n">
        <v>10.14284088195135</v>
      </c>
      <c r="N14" s="17" t="n">
        <v>10.24284088195135</v>
      </c>
      <c r="O14" s="17" t="n">
        <v>10.10284088195135</v>
      </c>
    </row>
    <row r="15">
      <c r="A15" s="5" t="n">
        <v>10</v>
      </c>
      <c r="B15" s="40" t="n">
        <v>46156.53472222222</v>
      </c>
      <c r="C15" s="5" t="n">
        <v>900</v>
      </c>
      <c r="D15" s="18" t="n">
        <v>1200.6</v>
      </c>
      <c r="E15" s="18" t="n">
        <v>1199.4</v>
      </c>
      <c r="F15" s="18" t="n">
        <v>1200.3</v>
      </c>
      <c r="G15" s="18" t="n">
        <v>1199.7</v>
      </c>
      <c r="H15" s="18" t="n">
        <v>1200.9</v>
      </c>
      <c r="I15" s="18" t="n">
        <v>1199.1</v>
      </c>
      <c r="J15" s="17" t="n">
        <v>10.19794683493809</v>
      </c>
      <c r="K15" s="17" t="n">
        <v>10.09794683493809</v>
      </c>
      <c r="L15" s="17" t="n">
        <v>10.17794683493809</v>
      </c>
      <c r="M15" s="17" t="n">
        <v>10.11794683493809</v>
      </c>
      <c r="N15" s="17" t="n">
        <v>10.21794683493809</v>
      </c>
      <c r="O15" s="17" t="n">
        <v>10.07794683493809</v>
      </c>
    </row>
    <row r="16">
      <c r="A16" s="5" t="n">
        <v>11</v>
      </c>
      <c r="B16" s="40" t="n">
        <v>46156.53819444445</v>
      </c>
      <c r="C16" s="5" t="n">
        <v>900</v>
      </c>
      <c r="D16" s="18" t="n">
        <v>1200.6</v>
      </c>
      <c r="E16" s="18" t="n">
        <v>1199.4</v>
      </c>
      <c r="F16" s="18" t="n">
        <v>1200.3</v>
      </c>
      <c r="G16" s="18" t="n">
        <v>1199.7</v>
      </c>
      <c r="H16" s="18" t="n">
        <v>1200.9</v>
      </c>
      <c r="I16" s="18" t="n">
        <v>1199.1</v>
      </c>
      <c r="J16" s="17" t="n">
        <v>10.16649715516797</v>
      </c>
      <c r="K16" s="17" t="n">
        <v>10.06649715516797</v>
      </c>
      <c r="L16" s="17" t="n">
        <v>10.14649715516797</v>
      </c>
      <c r="M16" s="17" t="n">
        <v>10.08649715516797</v>
      </c>
      <c r="N16" s="17" t="n">
        <v>10.18649715516797</v>
      </c>
      <c r="O16" s="17" t="n">
        <v>10.04649715516797</v>
      </c>
    </row>
    <row r="17">
      <c r="A17" s="5" t="n">
        <v>12</v>
      </c>
      <c r="B17" s="40" t="n">
        <v>46156.54166666666</v>
      </c>
      <c r="C17" s="5" t="n">
        <v>900</v>
      </c>
      <c r="D17" s="18" t="n">
        <v>1200.6</v>
      </c>
      <c r="E17" s="18" t="n">
        <v>1199.4</v>
      </c>
      <c r="F17" s="18" t="n">
        <v>1200.3</v>
      </c>
      <c r="G17" s="18" t="n">
        <v>1199.7</v>
      </c>
      <c r="H17" s="18" t="n">
        <v>1200.9</v>
      </c>
      <c r="I17" s="18" t="n">
        <v>1199.1</v>
      </c>
      <c r="J17" s="17" t="n">
        <v>10.12988540101605</v>
      </c>
      <c r="K17" s="17" t="n">
        <v>10.02988540101605</v>
      </c>
      <c r="L17" s="17" t="n">
        <v>10.10988540101605</v>
      </c>
      <c r="M17" s="17" t="n">
        <v>10.04988540101605</v>
      </c>
      <c r="N17" s="17" t="n">
        <v>10.14988540101605</v>
      </c>
      <c r="O17" s="17" t="n">
        <v>10.00988540101605</v>
      </c>
    </row>
    <row r="18">
      <c r="A18" s="5" t="n">
        <v>13</v>
      </c>
      <c r="B18" s="40" t="n">
        <v>46156.54513888889</v>
      </c>
      <c r="C18" s="5" t="n">
        <v>900</v>
      </c>
      <c r="D18" s="18" t="n">
        <v>1200.6</v>
      </c>
      <c r="E18" s="18" t="n">
        <v>1199.4</v>
      </c>
      <c r="F18" s="18" t="n">
        <v>1200.3</v>
      </c>
      <c r="G18" s="18" t="n">
        <v>1199.7</v>
      </c>
      <c r="H18" s="18" t="n">
        <v>1200.9</v>
      </c>
      <c r="I18" s="18" t="n">
        <v>1199.1</v>
      </c>
      <c r="J18" s="17" t="n">
        <v>10.08973386615901</v>
      </c>
      <c r="K18" s="17" t="n">
        <v>9.989733866159012</v>
      </c>
      <c r="L18" s="17" t="n">
        <v>10.06973386615901</v>
      </c>
      <c r="M18" s="17" t="n">
        <v>10.00973386615901</v>
      </c>
      <c r="N18" s="17" t="n">
        <v>10.10973386615901</v>
      </c>
      <c r="O18" s="17" t="n">
        <v>9.969733866159013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X8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Features_IF — fitur build_feature_matrix + robust-z (MAD)</t>
        </is>
      </c>
    </row>
    <row r="2">
      <c r="A2" s="24" t="inlineStr">
        <is>
          <t>Fitur IDENTIK detector: V, I, V_dev=V−MEDIAN(siblings@ts), I_dev=I−MEDIAN(siblings@ts), R=V/MAX(I,floor). 84 sampel = 6 PV × 14 ts.</t>
        </is>
      </c>
    </row>
    <row r="3">
      <c r="A3" s="24" t="inlineStr">
        <is>
          <t>Skor A = MAX robust-z lintas 5 fitur, z=|x−median|/(1.4826·MAD) per fitur (stats kolom U-X). CATATAN: A ≈ proxy MAD, BUKAN skor IsolationForest asli (path-length 100 pohon).</t>
        </is>
      </c>
    </row>
    <row r="4">
      <c r="A4" s="10" t="inlineStr">
        <is>
          <t>pv</t>
        </is>
      </c>
      <c r="B4" s="10" t="inlineStr">
        <is>
          <t>t</t>
        </is>
      </c>
      <c r="C4" s="10" t="inlineStr">
        <is>
          <t>Start Time</t>
        </is>
      </c>
      <c r="D4" s="10" t="inlineStr">
        <is>
          <t>V</t>
        </is>
      </c>
      <c r="E4" s="10" t="inlineStr">
        <is>
          <t>I</t>
        </is>
      </c>
      <c r="F4" s="10" t="inlineStr">
        <is>
          <t>V_dev</t>
        </is>
      </c>
      <c r="G4" s="10" t="inlineStr">
        <is>
          <t>I_dev</t>
        </is>
      </c>
      <c r="H4" s="10" t="inlineStr">
        <is>
          <t>R</t>
        </is>
      </c>
      <c r="I4" s="10" t="inlineStr">
        <is>
          <t>absdev_V</t>
        </is>
      </c>
      <c r="J4" s="10" t="inlineStr">
        <is>
          <t>absdev_I</t>
        </is>
      </c>
      <c r="K4" s="10" t="inlineStr">
        <is>
          <t>absdev_Vdev</t>
        </is>
      </c>
      <c r="L4" s="10" t="inlineStr">
        <is>
          <t>absdev_Idev</t>
        </is>
      </c>
      <c r="M4" s="10" t="inlineStr">
        <is>
          <t>absdev_R</t>
        </is>
      </c>
      <c r="N4" s="10" t="inlineStr">
        <is>
          <t>z_V</t>
        </is>
      </c>
      <c r="O4" s="10" t="inlineStr">
        <is>
          <t>z_I</t>
        </is>
      </c>
      <c r="P4" s="10" t="inlineStr">
        <is>
          <t>z_Vdev</t>
        </is>
      </c>
      <c r="Q4" s="10" t="inlineStr">
        <is>
          <t>z_Idev</t>
        </is>
      </c>
      <c r="R4" s="10" t="inlineStr">
        <is>
          <t>z_R</t>
        </is>
      </c>
      <c r="S4" s="10" t="inlineStr">
        <is>
          <t>A (max z)</t>
        </is>
      </c>
      <c r="U4" s="8" t="inlineStr">
        <is>
          <t>feature</t>
        </is>
      </c>
      <c r="V4" s="8" t="inlineStr">
        <is>
          <t>median</t>
        </is>
      </c>
      <c r="W4" s="8" t="inlineStr">
        <is>
          <t>MAD</t>
        </is>
      </c>
      <c r="X4" s="8" t="inlineStr">
        <is>
          <t>scale=1.4826·MAD</t>
        </is>
      </c>
    </row>
    <row r="5">
      <c r="A5" s="5" t="n">
        <v>1</v>
      </c>
      <c r="B5" s="5" t="n">
        <v>0</v>
      </c>
      <c r="C5" s="40">
        <f>Raw_Data_IF!B5</f>
        <v/>
      </c>
      <c r="D5" s="18">
        <f>Raw_Data_IF!D5</f>
        <v/>
      </c>
      <c r="E5" s="17">
        <f>Raw_Data_IF!J5</f>
        <v/>
      </c>
      <c r="F5" s="17">
        <f>Raw_Data_IF!D5-MEDIAN(Raw_Data_IF!D5:I5)</f>
        <v/>
      </c>
      <c r="G5" s="17">
        <f>Raw_Data_IF!J5-MEDIAN(Raw_Data_IF!J5:O5)</f>
        <v/>
      </c>
      <c r="H5" s="15">
        <f>Raw_Data_IF!D5/MAX(Raw_Data_IF!J5,cfg_if_i_floor)</f>
        <v/>
      </c>
      <c r="I5" s="17">
        <f>ABS(D5-$V$5)</f>
        <v/>
      </c>
      <c r="J5" s="17">
        <f>ABS(E5-$V$6)</f>
        <v/>
      </c>
      <c r="K5" s="17">
        <f>ABS(F5-$V$7)</f>
        <v/>
      </c>
      <c r="L5" s="17">
        <f>ABS(G5-$V$8)</f>
        <v/>
      </c>
      <c r="M5" s="17">
        <f>ABS(H5-$V$9)</f>
        <v/>
      </c>
      <c r="N5" s="17">
        <f>I5/$X$5</f>
        <v/>
      </c>
      <c r="O5" s="17">
        <f>J5/$X$6</f>
        <v/>
      </c>
      <c r="P5" s="17">
        <f>K5/$X$7</f>
        <v/>
      </c>
      <c r="Q5" s="17">
        <f>L5/$X$8</f>
        <v/>
      </c>
      <c r="R5" s="17">
        <f>M5/$X$9</f>
        <v/>
      </c>
      <c r="S5" s="17">
        <f>MAX(N5:R5)</f>
        <v/>
      </c>
      <c r="U5" s="5" t="inlineStr">
        <is>
          <t>V</t>
        </is>
      </c>
      <c r="V5" s="31">
        <f>MEDIAN(D5:D88)</f>
        <v/>
      </c>
      <c r="W5" s="31">
        <f>MEDIAN(I5:I88)</f>
        <v/>
      </c>
      <c r="X5" s="37">
        <f>MAX(cfg_if_mad_scale*W5,0.000000001)</f>
        <v/>
      </c>
    </row>
    <row r="6">
      <c r="A6" s="5" t="n">
        <v>2</v>
      </c>
      <c r="B6" s="5" t="n">
        <v>0</v>
      </c>
      <c r="C6" s="40">
        <f>Raw_Data_IF!B5</f>
        <v/>
      </c>
      <c r="D6" s="18">
        <f>Raw_Data_IF!E5</f>
        <v/>
      </c>
      <c r="E6" s="17">
        <f>Raw_Data_IF!K5</f>
        <v/>
      </c>
      <c r="F6" s="17">
        <f>Raw_Data_IF!E5-MEDIAN(Raw_Data_IF!D5:I5)</f>
        <v/>
      </c>
      <c r="G6" s="17">
        <f>Raw_Data_IF!K5-MEDIAN(Raw_Data_IF!J5:O5)</f>
        <v/>
      </c>
      <c r="H6" s="15">
        <f>Raw_Data_IF!E5/MAX(Raw_Data_IF!K5,cfg_if_i_floor)</f>
        <v/>
      </c>
      <c r="I6" s="17">
        <f>ABS(D6-$V$5)</f>
        <v/>
      </c>
      <c r="J6" s="17">
        <f>ABS(E6-$V$6)</f>
        <v/>
      </c>
      <c r="K6" s="17">
        <f>ABS(F6-$V$7)</f>
        <v/>
      </c>
      <c r="L6" s="17">
        <f>ABS(G6-$V$8)</f>
        <v/>
      </c>
      <c r="M6" s="17">
        <f>ABS(H6-$V$9)</f>
        <v/>
      </c>
      <c r="N6" s="17">
        <f>I6/$X$5</f>
        <v/>
      </c>
      <c r="O6" s="17">
        <f>J6/$X$6</f>
        <v/>
      </c>
      <c r="P6" s="17">
        <f>K6/$X$7</f>
        <v/>
      </c>
      <c r="Q6" s="17">
        <f>L6/$X$8</f>
        <v/>
      </c>
      <c r="R6" s="17">
        <f>M6/$X$9</f>
        <v/>
      </c>
      <c r="S6" s="17">
        <f>MAX(N6:R6)</f>
        <v/>
      </c>
      <c r="U6" s="5" t="inlineStr">
        <is>
          <t>I</t>
        </is>
      </c>
      <c r="V6" s="31">
        <f>MEDIAN(E5:E88)</f>
        <v/>
      </c>
      <c r="W6" s="31">
        <f>MEDIAN(J5:J88)</f>
        <v/>
      </c>
      <c r="X6" s="37">
        <f>MAX(cfg_if_mad_scale*W6,0.000000001)</f>
        <v/>
      </c>
    </row>
    <row r="7">
      <c r="A7" s="5" t="n">
        <v>3</v>
      </c>
      <c r="B7" s="5" t="n">
        <v>0</v>
      </c>
      <c r="C7" s="40">
        <f>Raw_Data_IF!B5</f>
        <v/>
      </c>
      <c r="D7" s="18">
        <f>Raw_Data_IF!F5</f>
        <v/>
      </c>
      <c r="E7" s="17">
        <f>Raw_Data_IF!L5</f>
        <v/>
      </c>
      <c r="F7" s="17">
        <f>Raw_Data_IF!F5-MEDIAN(Raw_Data_IF!D5:I5)</f>
        <v/>
      </c>
      <c r="G7" s="17">
        <f>Raw_Data_IF!L5-MEDIAN(Raw_Data_IF!J5:O5)</f>
        <v/>
      </c>
      <c r="H7" s="15">
        <f>Raw_Data_IF!F5/MAX(Raw_Data_IF!L5,cfg_if_i_floor)</f>
        <v/>
      </c>
      <c r="I7" s="17">
        <f>ABS(D7-$V$5)</f>
        <v/>
      </c>
      <c r="J7" s="17">
        <f>ABS(E7-$V$6)</f>
        <v/>
      </c>
      <c r="K7" s="17">
        <f>ABS(F7-$V$7)</f>
        <v/>
      </c>
      <c r="L7" s="17">
        <f>ABS(G7-$V$8)</f>
        <v/>
      </c>
      <c r="M7" s="17">
        <f>ABS(H7-$V$9)</f>
        <v/>
      </c>
      <c r="N7" s="17">
        <f>I7/$X$5</f>
        <v/>
      </c>
      <c r="O7" s="17">
        <f>J7/$X$6</f>
        <v/>
      </c>
      <c r="P7" s="17">
        <f>K7/$X$7</f>
        <v/>
      </c>
      <c r="Q7" s="17">
        <f>L7/$X$8</f>
        <v/>
      </c>
      <c r="R7" s="17">
        <f>M7/$X$9</f>
        <v/>
      </c>
      <c r="S7" s="17">
        <f>MAX(N7:R7)</f>
        <v/>
      </c>
      <c r="U7" s="5" t="inlineStr">
        <is>
          <t>V_dev</t>
        </is>
      </c>
      <c r="V7" s="31">
        <f>MEDIAN(F5:F88)</f>
        <v/>
      </c>
      <c r="W7" s="31">
        <f>MEDIAN(K5:K88)</f>
        <v/>
      </c>
      <c r="X7" s="37">
        <f>MAX(cfg_if_mad_scale*W7,0.000000001)</f>
        <v/>
      </c>
    </row>
    <row r="8">
      <c r="A8" s="5" t="n">
        <v>4</v>
      </c>
      <c r="B8" s="5" t="n">
        <v>0</v>
      </c>
      <c r="C8" s="40">
        <f>Raw_Data_IF!B5</f>
        <v/>
      </c>
      <c r="D8" s="18">
        <f>Raw_Data_IF!G5</f>
        <v/>
      </c>
      <c r="E8" s="17">
        <f>Raw_Data_IF!M5</f>
        <v/>
      </c>
      <c r="F8" s="17">
        <f>Raw_Data_IF!G5-MEDIAN(Raw_Data_IF!D5:I5)</f>
        <v/>
      </c>
      <c r="G8" s="17">
        <f>Raw_Data_IF!M5-MEDIAN(Raw_Data_IF!J5:O5)</f>
        <v/>
      </c>
      <c r="H8" s="15">
        <f>Raw_Data_IF!G5/MAX(Raw_Data_IF!M5,cfg_if_i_floor)</f>
        <v/>
      </c>
      <c r="I8" s="17">
        <f>ABS(D8-$V$5)</f>
        <v/>
      </c>
      <c r="J8" s="17">
        <f>ABS(E8-$V$6)</f>
        <v/>
      </c>
      <c r="K8" s="17">
        <f>ABS(F8-$V$7)</f>
        <v/>
      </c>
      <c r="L8" s="17">
        <f>ABS(G8-$V$8)</f>
        <v/>
      </c>
      <c r="M8" s="17">
        <f>ABS(H8-$V$9)</f>
        <v/>
      </c>
      <c r="N8" s="17">
        <f>I8/$X$5</f>
        <v/>
      </c>
      <c r="O8" s="17">
        <f>J8/$X$6</f>
        <v/>
      </c>
      <c r="P8" s="17">
        <f>K8/$X$7</f>
        <v/>
      </c>
      <c r="Q8" s="17">
        <f>L8/$X$8</f>
        <v/>
      </c>
      <c r="R8" s="17">
        <f>M8/$X$9</f>
        <v/>
      </c>
      <c r="S8" s="17">
        <f>MAX(N8:R8)</f>
        <v/>
      </c>
      <c r="U8" s="5" t="inlineStr">
        <is>
          <t>I_dev</t>
        </is>
      </c>
      <c r="V8" s="31">
        <f>MEDIAN(G5:G88)</f>
        <v/>
      </c>
      <c r="W8" s="31">
        <f>MEDIAN(L5:L88)</f>
        <v/>
      </c>
      <c r="X8" s="37">
        <f>MAX(cfg_if_mad_scale*W8,0.000000001)</f>
        <v/>
      </c>
    </row>
    <row r="9">
      <c r="A9" s="5" t="n">
        <v>5</v>
      </c>
      <c r="B9" s="5" t="n">
        <v>0</v>
      </c>
      <c r="C9" s="40">
        <f>Raw_Data_IF!B5</f>
        <v/>
      </c>
      <c r="D9" s="18">
        <f>Raw_Data_IF!H5</f>
        <v/>
      </c>
      <c r="E9" s="17">
        <f>Raw_Data_IF!N5</f>
        <v/>
      </c>
      <c r="F9" s="17">
        <f>Raw_Data_IF!H5-MEDIAN(Raw_Data_IF!D5:I5)</f>
        <v/>
      </c>
      <c r="G9" s="17">
        <f>Raw_Data_IF!N5-MEDIAN(Raw_Data_IF!J5:O5)</f>
        <v/>
      </c>
      <c r="H9" s="15">
        <f>Raw_Data_IF!H5/MAX(Raw_Data_IF!N5,cfg_if_i_floor)</f>
        <v/>
      </c>
      <c r="I9" s="17">
        <f>ABS(D9-$V$5)</f>
        <v/>
      </c>
      <c r="J9" s="17">
        <f>ABS(E9-$V$6)</f>
        <v/>
      </c>
      <c r="K9" s="17">
        <f>ABS(F9-$V$7)</f>
        <v/>
      </c>
      <c r="L9" s="17">
        <f>ABS(G9-$V$8)</f>
        <v/>
      </c>
      <c r="M9" s="17">
        <f>ABS(H9-$V$9)</f>
        <v/>
      </c>
      <c r="N9" s="17">
        <f>I9/$X$5</f>
        <v/>
      </c>
      <c r="O9" s="17">
        <f>J9/$X$6</f>
        <v/>
      </c>
      <c r="P9" s="17">
        <f>K9/$X$7</f>
        <v/>
      </c>
      <c r="Q9" s="17">
        <f>L9/$X$8</f>
        <v/>
      </c>
      <c r="R9" s="17">
        <f>M9/$X$9</f>
        <v/>
      </c>
      <c r="S9" s="17">
        <f>MAX(N9:R9)</f>
        <v/>
      </c>
      <c r="U9" s="5" t="inlineStr">
        <is>
          <t>R</t>
        </is>
      </c>
      <c r="V9" s="31">
        <f>MEDIAN(H5:H88)</f>
        <v/>
      </c>
      <c r="W9" s="31">
        <f>MEDIAN(M5:M88)</f>
        <v/>
      </c>
      <c r="X9" s="37">
        <f>MAX(cfg_if_mad_scale*W9,0.000000001)</f>
        <v/>
      </c>
    </row>
    <row r="10">
      <c r="A10" s="5" t="n">
        <v>6</v>
      </c>
      <c r="B10" s="5" t="n">
        <v>0</v>
      </c>
      <c r="C10" s="40">
        <f>Raw_Data_IF!B5</f>
        <v/>
      </c>
      <c r="D10" s="18">
        <f>Raw_Data_IF!I5</f>
        <v/>
      </c>
      <c r="E10" s="17">
        <f>Raw_Data_IF!O5</f>
        <v/>
      </c>
      <c r="F10" s="17">
        <f>Raw_Data_IF!I5-MEDIAN(Raw_Data_IF!D5:I5)</f>
        <v/>
      </c>
      <c r="G10" s="17">
        <f>Raw_Data_IF!O5-MEDIAN(Raw_Data_IF!J5:O5)</f>
        <v/>
      </c>
      <c r="H10" s="15">
        <f>Raw_Data_IF!I5/MAX(Raw_Data_IF!O5,cfg_if_i_floor)</f>
        <v/>
      </c>
      <c r="I10" s="17">
        <f>ABS(D10-$V$5)</f>
        <v/>
      </c>
      <c r="J10" s="17">
        <f>ABS(E10-$V$6)</f>
        <v/>
      </c>
      <c r="K10" s="17">
        <f>ABS(F10-$V$7)</f>
        <v/>
      </c>
      <c r="L10" s="17">
        <f>ABS(G10-$V$8)</f>
        <v/>
      </c>
      <c r="M10" s="17">
        <f>ABS(H10-$V$9)</f>
        <v/>
      </c>
      <c r="N10" s="17">
        <f>I10/$X$5</f>
        <v/>
      </c>
      <c r="O10" s="17">
        <f>J10/$X$6</f>
        <v/>
      </c>
      <c r="P10" s="17">
        <f>K10/$X$7</f>
        <v/>
      </c>
      <c r="Q10" s="17">
        <f>L10/$X$8</f>
        <v/>
      </c>
      <c r="R10" s="17">
        <f>M10/$X$9</f>
        <v/>
      </c>
      <c r="S10" s="17">
        <f>MAX(N10:R10)</f>
        <v/>
      </c>
    </row>
    <row r="11">
      <c r="A11" s="5" t="n">
        <v>1</v>
      </c>
      <c r="B11" s="5" t="n">
        <v>1</v>
      </c>
      <c r="C11" s="40">
        <f>Raw_Data_IF!B6</f>
        <v/>
      </c>
      <c r="D11" s="18">
        <f>Raw_Data_IF!D6</f>
        <v/>
      </c>
      <c r="E11" s="17">
        <f>Raw_Data_IF!J6</f>
        <v/>
      </c>
      <c r="F11" s="17">
        <f>Raw_Data_IF!D6-MEDIAN(Raw_Data_IF!D6:I6)</f>
        <v/>
      </c>
      <c r="G11" s="17">
        <f>Raw_Data_IF!J6-MEDIAN(Raw_Data_IF!J6:O6)</f>
        <v/>
      </c>
      <c r="H11" s="15">
        <f>Raw_Data_IF!D6/MAX(Raw_Data_IF!J6,cfg_if_i_floor)</f>
        <v/>
      </c>
      <c r="I11" s="17">
        <f>ABS(D11-$V$5)</f>
        <v/>
      </c>
      <c r="J11" s="17">
        <f>ABS(E11-$V$6)</f>
        <v/>
      </c>
      <c r="K11" s="17">
        <f>ABS(F11-$V$7)</f>
        <v/>
      </c>
      <c r="L11" s="17">
        <f>ABS(G11-$V$8)</f>
        <v/>
      </c>
      <c r="M11" s="17">
        <f>ABS(H11-$V$9)</f>
        <v/>
      </c>
      <c r="N11" s="17">
        <f>I11/$X$5</f>
        <v/>
      </c>
      <c r="O11" s="17">
        <f>J11/$X$6</f>
        <v/>
      </c>
      <c r="P11" s="17">
        <f>K11/$X$7</f>
        <v/>
      </c>
      <c r="Q11" s="17">
        <f>L11/$X$8</f>
        <v/>
      </c>
      <c r="R11" s="17">
        <f>M11/$X$9</f>
        <v/>
      </c>
      <c r="S11" s="17">
        <f>MAX(N11:R11)</f>
        <v/>
      </c>
    </row>
    <row r="12">
      <c r="A12" s="5" t="n">
        <v>2</v>
      </c>
      <c r="B12" s="5" t="n">
        <v>1</v>
      </c>
      <c r="C12" s="40">
        <f>Raw_Data_IF!B6</f>
        <v/>
      </c>
      <c r="D12" s="18">
        <f>Raw_Data_IF!E6</f>
        <v/>
      </c>
      <c r="E12" s="17">
        <f>Raw_Data_IF!K6</f>
        <v/>
      </c>
      <c r="F12" s="17">
        <f>Raw_Data_IF!E6-MEDIAN(Raw_Data_IF!D6:I6)</f>
        <v/>
      </c>
      <c r="G12" s="17">
        <f>Raw_Data_IF!K6-MEDIAN(Raw_Data_IF!J6:O6)</f>
        <v/>
      </c>
      <c r="H12" s="15">
        <f>Raw_Data_IF!E6/MAX(Raw_Data_IF!K6,cfg_if_i_floor)</f>
        <v/>
      </c>
      <c r="I12" s="17">
        <f>ABS(D12-$V$5)</f>
        <v/>
      </c>
      <c r="J12" s="17">
        <f>ABS(E12-$V$6)</f>
        <v/>
      </c>
      <c r="K12" s="17">
        <f>ABS(F12-$V$7)</f>
        <v/>
      </c>
      <c r="L12" s="17">
        <f>ABS(G12-$V$8)</f>
        <v/>
      </c>
      <c r="M12" s="17">
        <f>ABS(H12-$V$9)</f>
        <v/>
      </c>
      <c r="N12" s="17">
        <f>I12/$X$5</f>
        <v/>
      </c>
      <c r="O12" s="17">
        <f>J12/$X$6</f>
        <v/>
      </c>
      <c r="P12" s="17">
        <f>K12/$X$7</f>
        <v/>
      </c>
      <c r="Q12" s="17">
        <f>L12/$X$8</f>
        <v/>
      </c>
      <c r="R12" s="17">
        <f>M12/$X$9</f>
        <v/>
      </c>
      <c r="S12" s="17">
        <f>MAX(N12:R12)</f>
        <v/>
      </c>
    </row>
    <row r="13">
      <c r="A13" s="5" t="n">
        <v>3</v>
      </c>
      <c r="B13" s="5" t="n">
        <v>1</v>
      </c>
      <c r="C13" s="40">
        <f>Raw_Data_IF!B6</f>
        <v/>
      </c>
      <c r="D13" s="18">
        <f>Raw_Data_IF!F6</f>
        <v/>
      </c>
      <c r="E13" s="17">
        <f>Raw_Data_IF!L6</f>
        <v/>
      </c>
      <c r="F13" s="17">
        <f>Raw_Data_IF!F6-MEDIAN(Raw_Data_IF!D6:I6)</f>
        <v/>
      </c>
      <c r="G13" s="17">
        <f>Raw_Data_IF!L6-MEDIAN(Raw_Data_IF!J6:O6)</f>
        <v/>
      </c>
      <c r="H13" s="15">
        <f>Raw_Data_IF!F6/MAX(Raw_Data_IF!L6,cfg_if_i_floor)</f>
        <v/>
      </c>
      <c r="I13" s="17">
        <f>ABS(D13-$V$5)</f>
        <v/>
      </c>
      <c r="J13" s="17">
        <f>ABS(E13-$V$6)</f>
        <v/>
      </c>
      <c r="K13" s="17">
        <f>ABS(F13-$V$7)</f>
        <v/>
      </c>
      <c r="L13" s="17">
        <f>ABS(G13-$V$8)</f>
        <v/>
      </c>
      <c r="M13" s="17">
        <f>ABS(H13-$V$9)</f>
        <v/>
      </c>
      <c r="N13" s="17">
        <f>I13/$X$5</f>
        <v/>
      </c>
      <c r="O13" s="17">
        <f>J13/$X$6</f>
        <v/>
      </c>
      <c r="P13" s="17">
        <f>K13/$X$7</f>
        <v/>
      </c>
      <c r="Q13" s="17">
        <f>L13/$X$8</f>
        <v/>
      </c>
      <c r="R13" s="17">
        <f>M13/$X$9</f>
        <v/>
      </c>
      <c r="S13" s="17">
        <f>MAX(N13:R13)</f>
        <v/>
      </c>
    </row>
    <row r="14">
      <c r="A14" s="5" t="n">
        <v>4</v>
      </c>
      <c r="B14" s="5" t="n">
        <v>1</v>
      </c>
      <c r="C14" s="40">
        <f>Raw_Data_IF!B6</f>
        <v/>
      </c>
      <c r="D14" s="18">
        <f>Raw_Data_IF!G6</f>
        <v/>
      </c>
      <c r="E14" s="17">
        <f>Raw_Data_IF!M6</f>
        <v/>
      </c>
      <c r="F14" s="17">
        <f>Raw_Data_IF!G6-MEDIAN(Raw_Data_IF!D6:I6)</f>
        <v/>
      </c>
      <c r="G14" s="17">
        <f>Raw_Data_IF!M6-MEDIAN(Raw_Data_IF!J6:O6)</f>
        <v/>
      </c>
      <c r="H14" s="15">
        <f>Raw_Data_IF!G6/MAX(Raw_Data_IF!M6,cfg_if_i_floor)</f>
        <v/>
      </c>
      <c r="I14" s="17">
        <f>ABS(D14-$V$5)</f>
        <v/>
      </c>
      <c r="J14" s="17">
        <f>ABS(E14-$V$6)</f>
        <v/>
      </c>
      <c r="K14" s="17">
        <f>ABS(F14-$V$7)</f>
        <v/>
      </c>
      <c r="L14" s="17">
        <f>ABS(G14-$V$8)</f>
        <v/>
      </c>
      <c r="M14" s="17">
        <f>ABS(H14-$V$9)</f>
        <v/>
      </c>
      <c r="N14" s="17">
        <f>I14/$X$5</f>
        <v/>
      </c>
      <c r="O14" s="17">
        <f>J14/$X$6</f>
        <v/>
      </c>
      <c r="P14" s="17">
        <f>K14/$X$7</f>
        <v/>
      </c>
      <c r="Q14" s="17">
        <f>L14/$X$8</f>
        <v/>
      </c>
      <c r="R14" s="17">
        <f>M14/$X$9</f>
        <v/>
      </c>
      <c r="S14" s="17">
        <f>MAX(N14:R14)</f>
        <v/>
      </c>
    </row>
    <row r="15">
      <c r="A15" s="5" t="n">
        <v>5</v>
      </c>
      <c r="B15" s="5" t="n">
        <v>1</v>
      </c>
      <c r="C15" s="40">
        <f>Raw_Data_IF!B6</f>
        <v/>
      </c>
      <c r="D15" s="18">
        <f>Raw_Data_IF!H6</f>
        <v/>
      </c>
      <c r="E15" s="17">
        <f>Raw_Data_IF!N6</f>
        <v/>
      </c>
      <c r="F15" s="17">
        <f>Raw_Data_IF!H6-MEDIAN(Raw_Data_IF!D6:I6)</f>
        <v/>
      </c>
      <c r="G15" s="17">
        <f>Raw_Data_IF!N6-MEDIAN(Raw_Data_IF!J6:O6)</f>
        <v/>
      </c>
      <c r="H15" s="15">
        <f>Raw_Data_IF!H6/MAX(Raw_Data_IF!N6,cfg_if_i_floor)</f>
        <v/>
      </c>
      <c r="I15" s="17">
        <f>ABS(D15-$V$5)</f>
        <v/>
      </c>
      <c r="J15" s="17">
        <f>ABS(E15-$V$6)</f>
        <v/>
      </c>
      <c r="K15" s="17">
        <f>ABS(F15-$V$7)</f>
        <v/>
      </c>
      <c r="L15" s="17">
        <f>ABS(G15-$V$8)</f>
        <v/>
      </c>
      <c r="M15" s="17">
        <f>ABS(H15-$V$9)</f>
        <v/>
      </c>
      <c r="N15" s="17">
        <f>I15/$X$5</f>
        <v/>
      </c>
      <c r="O15" s="17">
        <f>J15/$X$6</f>
        <v/>
      </c>
      <c r="P15" s="17">
        <f>K15/$X$7</f>
        <v/>
      </c>
      <c r="Q15" s="17">
        <f>L15/$X$8</f>
        <v/>
      </c>
      <c r="R15" s="17">
        <f>M15/$X$9</f>
        <v/>
      </c>
      <c r="S15" s="17">
        <f>MAX(N15:R15)</f>
        <v/>
      </c>
    </row>
    <row r="16">
      <c r="A16" s="5" t="n">
        <v>6</v>
      </c>
      <c r="B16" s="5" t="n">
        <v>1</v>
      </c>
      <c r="C16" s="40">
        <f>Raw_Data_IF!B6</f>
        <v/>
      </c>
      <c r="D16" s="18">
        <f>Raw_Data_IF!I6</f>
        <v/>
      </c>
      <c r="E16" s="17">
        <f>Raw_Data_IF!O6</f>
        <v/>
      </c>
      <c r="F16" s="17">
        <f>Raw_Data_IF!I6-MEDIAN(Raw_Data_IF!D6:I6)</f>
        <v/>
      </c>
      <c r="G16" s="17">
        <f>Raw_Data_IF!O6-MEDIAN(Raw_Data_IF!J6:O6)</f>
        <v/>
      </c>
      <c r="H16" s="15">
        <f>Raw_Data_IF!I6/MAX(Raw_Data_IF!O6,cfg_if_i_floor)</f>
        <v/>
      </c>
      <c r="I16" s="17">
        <f>ABS(D16-$V$5)</f>
        <v/>
      </c>
      <c r="J16" s="17">
        <f>ABS(E16-$V$6)</f>
        <v/>
      </c>
      <c r="K16" s="17">
        <f>ABS(F16-$V$7)</f>
        <v/>
      </c>
      <c r="L16" s="17">
        <f>ABS(G16-$V$8)</f>
        <v/>
      </c>
      <c r="M16" s="17">
        <f>ABS(H16-$V$9)</f>
        <v/>
      </c>
      <c r="N16" s="17">
        <f>I16/$X$5</f>
        <v/>
      </c>
      <c r="O16" s="17">
        <f>J16/$X$6</f>
        <v/>
      </c>
      <c r="P16" s="17">
        <f>K16/$X$7</f>
        <v/>
      </c>
      <c r="Q16" s="17">
        <f>L16/$X$8</f>
        <v/>
      </c>
      <c r="R16" s="17">
        <f>M16/$X$9</f>
        <v/>
      </c>
      <c r="S16" s="17">
        <f>MAX(N16:R16)</f>
        <v/>
      </c>
    </row>
    <row r="17">
      <c r="A17" s="5" t="n">
        <v>1</v>
      </c>
      <c r="B17" s="5" t="n">
        <v>2</v>
      </c>
      <c r="C17" s="40">
        <f>Raw_Data_IF!B7</f>
        <v/>
      </c>
      <c r="D17" s="18">
        <f>Raw_Data_IF!D7</f>
        <v/>
      </c>
      <c r="E17" s="17">
        <f>Raw_Data_IF!J7</f>
        <v/>
      </c>
      <c r="F17" s="17">
        <f>Raw_Data_IF!D7-MEDIAN(Raw_Data_IF!D7:I7)</f>
        <v/>
      </c>
      <c r="G17" s="17">
        <f>Raw_Data_IF!J7-MEDIAN(Raw_Data_IF!J7:O7)</f>
        <v/>
      </c>
      <c r="H17" s="15">
        <f>Raw_Data_IF!D7/MAX(Raw_Data_IF!J7,cfg_if_i_floor)</f>
        <v/>
      </c>
      <c r="I17" s="17">
        <f>ABS(D17-$V$5)</f>
        <v/>
      </c>
      <c r="J17" s="17">
        <f>ABS(E17-$V$6)</f>
        <v/>
      </c>
      <c r="K17" s="17">
        <f>ABS(F17-$V$7)</f>
        <v/>
      </c>
      <c r="L17" s="17">
        <f>ABS(G17-$V$8)</f>
        <v/>
      </c>
      <c r="M17" s="17">
        <f>ABS(H17-$V$9)</f>
        <v/>
      </c>
      <c r="N17" s="17">
        <f>I17/$X$5</f>
        <v/>
      </c>
      <c r="O17" s="17">
        <f>J17/$X$6</f>
        <v/>
      </c>
      <c r="P17" s="17">
        <f>K17/$X$7</f>
        <v/>
      </c>
      <c r="Q17" s="17">
        <f>L17/$X$8</f>
        <v/>
      </c>
      <c r="R17" s="17">
        <f>M17/$X$9</f>
        <v/>
      </c>
      <c r="S17" s="17">
        <f>MAX(N17:R17)</f>
        <v/>
      </c>
    </row>
    <row r="18">
      <c r="A18" s="5" t="n">
        <v>2</v>
      </c>
      <c r="B18" s="5" t="n">
        <v>2</v>
      </c>
      <c r="C18" s="40">
        <f>Raw_Data_IF!B7</f>
        <v/>
      </c>
      <c r="D18" s="18">
        <f>Raw_Data_IF!E7</f>
        <v/>
      </c>
      <c r="E18" s="17">
        <f>Raw_Data_IF!K7</f>
        <v/>
      </c>
      <c r="F18" s="17">
        <f>Raw_Data_IF!E7-MEDIAN(Raw_Data_IF!D7:I7)</f>
        <v/>
      </c>
      <c r="G18" s="17">
        <f>Raw_Data_IF!K7-MEDIAN(Raw_Data_IF!J7:O7)</f>
        <v/>
      </c>
      <c r="H18" s="15">
        <f>Raw_Data_IF!E7/MAX(Raw_Data_IF!K7,cfg_if_i_floor)</f>
        <v/>
      </c>
      <c r="I18" s="17">
        <f>ABS(D18-$V$5)</f>
        <v/>
      </c>
      <c r="J18" s="17">
        <f>ABS(E18-$V$6)</f>
        <v/>
      </c>
      <c r="K18" s="17">
        <f>ABS(F18-$V$7)</f>
        <v/>
      </c>
      <c r="L18" s="17">
        <f>ABS(G18-$V$8)</f>
        <v/>
      </c>
      <c r="M18" s="17">
        <f>ABS(H18-$V$9)</f>
        <v/>
      </c>
      <c r="N18" s="17">
        <f>I18/$X$5</f>
        <v/>
      </c>
      <c r="O18" s="17">
        <f>J18/$X$6</f>
        <v/>
      </c>
      <c r="P18" s="17">
        <f>K18/$X$7</f>
        <v/>
      </c>
      <c r="Q18" s="17">
        <f>L18/$X$8</f>
        <v/>
      </c>
      <c r="R18" s="17">
        <f>M18/$X$9</f>
        <v/>
      </c>
      <c r="S18" s="17">
        <f>MAX(N18:R18)</f>
        <v/>
      </c>
    </row>
    <row r="19">
      <c r="A19" s="5" t="n">
        <v>3</v>
      </c>
      <c r="B19" s="5" t="n">
        <v>2</v>
      </c>
      <c r="C19" s="40">
        <f>Raw_Data_IF!B7</f>
        <v/>
      </c>
      <c r="D19" s="18">
        <f>Raw_Data_IF!F7</f>
        <v/>
      </c>
      <c r="E19" s="17">
        <f>Raw_Data_IF!L7</f>
        <v/>
      </c>
      <c r="F19" s="17">
        <f>Raw_Data_IF!F7-MEDIAN(Raw_Data_IF!D7:I7)</f>
        <v/>
      </c>
      <c r="G19" s="17">
        <f>Raw_Data_IF!L7-MEDIAN(Raw_Data_IF!J7:O7)</f>
        <v/>
      </c>
      <c r="H19" s="15">
        <f>Raw_Data_IF!F7/MAX(Raw_Data_IF!L7,cfg_if_i_floor)</f>
        <v/>
      </c>
      <c r="I19" s="17">
        <f>ABS(D19-$V$5)</f>
        <v/>
      </c>
      <c r="J19" s="17">
        <f>ABS(E19-$V$6)</f>
        <v/>
      </c>
      <c r="K19" s="17">
        <f>ABS(F19-$V$7)</f>
        <v/>
      </c>
      <c r="L19" s="17">
        <f>ABS(G19-$V$8)</f>
        <v/>
      </c>
      <c r="M19" s="17">
        <f>ABS(H19-$V$9)</f>
        <v/>
      </c>
      <c r="N19" s="17">
        <f>I19/$X$5</f>
        <v/>
      </c>
      <c r="O19" s="17">
        <f>J19/$X$6</f>
        <v/>
      </c>
      <c r="P19" s="17">
        <f>K19/$X$7</f>
        <v/>
      </c>
      <c r="Q19" s="17">
        <f>L19/$X$8</f>
        <v/>
      </c>
      <c r="R19" s="17">
        <f>M19/$X$9</f>
        <v/>
      </c>
      <c r="S19" s="17">
        <f>MAX(N19:R19)</f>
        <v/>
      </c>
    </row>
    <row r="20">
      <c r="A20" s="5" t="n">
        <v>4</v>
      </c>
      <c r="B20" s="5" t="n">
        <v>2</v>
      </c>
      <c r="C20" s="40">
        <f>Raw_Data_IF!B7</f>
        <v/>
      </c>
      <c r="D20" s="18">
        <f>Raw_Data_IF!G7</f>
        <v/>
      </c>
      <c r="E20" s="17">
        <f>Raw_Data_IF!M7</f>
        <v/>
      </c>
      <c r="F20" s="17">
        <f>Raw_Data_IF!G7-MEDIAN(Raw_Data_IF!D7:I7)</f>
        <v/>
      </c>
      <c r="G20" s="17">
        <f>Raw_Data_IF!M7-MEDIAN(Raw_Data_IF!J7:O7)</f>
        <v/>
      </c>
      <c r="H20" s="15">
        <f>Raw_Data_IF!G7/MAX(Raw_Data_IF!M7,cfg_if_i_floor)</f>
        <v/>
      </c>
      <c r="I20" s="17">
        <f>ABS(D20-$V$5)</f>
        <v/>
      </c>
      <c r="J20" s="17">
        <f>ABS(E20-$V$6)</f>
        <v/>
      </c>
      <c r="K20" s="17">
        <f>ABS(F20-$V$7)</f>
        <v/>
      </c>
      <c r="L20" s="17">
        <f>ABS(G20-$V$8)</f>
        <v/>
      </c>
      <c r="M20" s="17">
        <f>ABS(H20-$V$9)</f>
        <v/>
      </c>
      <c r="N20" s="17">
        <f>I20/$X$5</f>
        <v/>
      </c>
      <c r="O20" s="17">
        <f>J20/$X$6</f>
        <v/>
      </c>
      <c r="P20" s="17">
        <f>K20/$X$7</f>
        <v/>
      </c>
      <c r="Q20" s="17">
        <f>L20/$X$8</f>
        <v/>
      </c>
      <c r="R20" s="17">
        <f>M20/$X$9</f>
        <v/>
      </c>
      <c r="S20" s="17">
        <f>MAX(N20:R20)</f>
        <v/>
      </c>
    </row>
    <row r="21">
      <c r="A21" s="5" t="n">
        <v>5</v>
      </c>
      <c r="B21" s="5" t="n">
        <v>2</v>
      </c>
      <c r="C21" s="40">
        <f>Raw_Data_IF!B7</f>
        <v/>
      </c>
      <c r="D21" s="18">
        <f>Raw_Data_IF!H7</f>
        <v/>
      </c>
      <c r="E21" s="17">
        <f>Raw_Data_IF!N7</f>
        <v/>
      </c>
      <c r="F21" s="17">
        <f>Raw_Data_IF!H7-MEDIAN(Raw_Data_IF!D7:I7)</f>
        <v/>
      </c>
      <c r="G21" s="17">
        <f>Raw_Data_IF!N7-MEDIAN(Raw_Data_IF!J7:O7)</f>
        <v/>
      </c>
      <c r="H21" s="15">
        <f>Raw_Data_IF!H7/MAX(Raw_Data_IF!N7,cfg_if_i_floor)</f>
        <v/>
      </c>
      <c r="I21" s="17">
        <f>ABS(D21-$V$5)</f>
        <v/>
      </c>
      <c r="J21" s="17">
        <f>ABS(E21-$V$6)</f>
        <v/>
      </c>
      <c r="K21" s="17">
        <f>ABS(F21-$V$7)</f>
        <v/>
      </c>
      <c r="L21" s="17">
        <f>ABS(G21-$V$8)</f>
        <v/>
      </c>
      <c r="M21" s="17">
        <f>ABS(H21-$V$9)</f>
        <v/>
      </c>
      <c r="N21" s="17">
        <f>I21/$X$5</f>
        <v/>
      </c>
      <c r="O21" s="17">
        <f>J21/$X$6</f>
        <v/>
      </c>
      <c r="P21" s="17">
        <f>K21/$X$7</f>
        <v/>
      </c>
      <c r="Q21" s="17">
        <f>L21/$X$8</f>
        <v/>
      </c>
      <c r="R21" s="17">
        <f>M21/$X$9</f>
        <v/>
      </c>
      <c r="S21" s="17">
        <f>MAX(N21:R21)</f>
        <v/>
      </c>
    </row>
    <row r="22">
      <c r="A22" s="5" t="n">
        <v>6</v>
      </c>
      <c r="B22" s="5" t="n">
        <v>2</v>
      </c>
      <c r="C22" s="40">
        <f>Raw_Data_IF!B7</f>
        <v/>
      </c>
      <c r="D22" s="18">
        <f>Raw_Data_IF!I7</f>
        <v/>
      </c>
      <c r="E22" s="17">
        <f>Raw_Data_IF!O7</f>
        <v/>
      </c>
      <c r="F22" s="17">
        <f>Raw_Data_IF!I7-MEDIAN(Raw_Data_IF!D7:I7)</f>
        <v/>
      </c>
      <c r="G22" s="17">
        <f>Raw_Data_IF!O7-MEDIAN(Raw_Data_IF!J7:O7)</f>
        <v/>
      </c>
      <c r="H22" s="15">
        <f>Raw_Data_IF!I7/MAX(Raw_Data_IF!O7,cfg_if_i_floor)</f>
        <v/>
      </c>
      <c r="I22" s="17">
        <f>ABS(D22-$V$5)</f>
        <v/>
      </c>
      <c r="J22" s="17">
        <f>ABS(E22-$V$6)</f>
        <v/>
      </c>
      <c r="K22" s="17">
        <f>ABS(F22-$V$7)</f>
        <v/>
      </c>
      <c r="L22" s="17">
        <f>ABS(G22-$V$8)</f>
        <v/>
      </c>
      <c r="M22" s="17">
        <f>ABS(H22-$V$9)</f>
        <v/>
      </c>
      <c r="N22" s="17">
        <f>I22/$X$5</f>
        <v/>
      </c>
      <c r="O22" s="17">
        <f>J22/$X$6</f>
        <v/>
      </c>
      <c r="P22" s="17">
        <f>K22/$X$7</f>
        <v/>
      </c>
      <c r="Q22" s="17">
        <f>L22/$X$8</f>
        <v/>
      </c>
      <c r="R22" s="17">
        <f>M22/$X$9</f>
        <v/>
      </c>
      <c r="S22" s="17">
        <f>MAX(N22:R22)</f>
        <v/>
      </c>
    </row>
    <row r="23">
      <c r="A23" s="5" t="n">
        <v>1</v>
      </c>
      <c r="B23" s="5" t="n">
        <v>3</v>
      </c>
      <c r="C23" s="40">
        <f>Raw_Data_IF!B8</f>
        <v/>
      </c>
      <c r="D23" s="18">
        <f>Raw_Data_IF!D8</f>
        <v/>
      </c>
      <c r="E23" s="17">
        <f>Raw_Data_IF!J8</f>
        <v/>
      </c>
      <c r="F23" s="17">
        <f>Raw_Data_IF!D8-MEDIAN(Raw_Data_IF!D8:I8)</f>
        <v/>
      </c>
      <c r="G23" s="17">
        <f>Raw_Data_IF!J8-MEDIAN(Raw_Data_IF!J8:O8)</f>
        <v/>
      </c>
      <c r="H23" s="15">
        <f>Raw_Data_IF!D8/MAX(Raw_Data_IF!J8,cfg_if_i_floor)</f>
        <v/>
      </c>
      <c r="I23" s="17">
        <f>ABS(D23-$V$5)</f>
        <v/>
      </c>
      <c r="J23" s="17">
        <f>ABS(E23-$V$6)</f>
        <v/>
      </c>
      <c r="K23" s="17">
        <f>ABS(F23-$V$7)</f>
        <v/>
      </c>
      <c r="L23" s="17">
        <f>ABS(G23-$V$8)</f>
        <v/>
      </c>
      <c r="M23" s="17">
        <f>ABS(H23-$V$9)</f>
        <v/>
      </c>
      <c r="N23" s="17">
        <f>I23/$X$5</f>
        <v/>
      </c>
      <c r="O23" s="17">
        <f>J23/$X$6</f>
        <v/>
      </c>
      <c r="P23" s="17">
        <f>K23/$X$7</f>
        <v/>
      </c>
      <c r="Q23" s="17">
        <f>L23/$X$8</f>
        <v/>
      </c>
      <c r="R23" s="17">
        <f>M23/$X$9</f>
        <v/>
      </c>
      <c r="S23" s="17">
        <f>MAX(N23:R23)</f>
        <v/>
      </c>
    </row>
    <row r="24">
      <c r="A24" s="5" t="n">
        <v>2</v>
      </c>
      <c r="B24" s="5" t="n">
        <v>3</v>
      </c>
      <c r="C24" s="40">
        <f>Raw_Data_IF!B8</f>
        <v/>
      </c>
      <c r="D24" s="18">
        <f>Raw_Data_IF!E8</f>
        <v/>
      </c>
      <c r="E24" s="17">
        <f>Raw_Data_IF!K8</f>
        <v/>
      </c>
      <c r="F24" s="17">
        <f>Raw_Data_IF!E8-MEDIAN(Raw_Data_IF!D8:I8)</f>
        <v/>
      </c>
      <c r="G24" s="17">
        <f>Raw_Data_IF!K8-MEDIAN(Raw_Data_IF!J8:O8)</f>
        <v/>
      </c>
      <c r="H24" s="15">
        <f>Raw_Data_IF!E8/MAX(Raw_Data_IF!K8,cfg_if_i_floor)</f>
        <v/>
      </c>
      <c r="I24" s="17">
        <f>ABS(D24-$V$5)</f>
        <v/>
      </c>
      <c r="J24" s="17">
        <f>ABS(E24-$V$6)</f>
        <v/>
      </c>
      <c r="K24" s="17">
        <f>ABS(F24-$V$7)</f>
        <v/>
      </c>
      <c r="L24" s="17">
        <f>ABS(G24-$V$8)</f>
        <v/>
      </c>
      <c r="M24" s="17">
        <f>ABS(H24-$V$9)</f>
        <v/>
      </c>
      <c r="N24" s="17">
        <f>I24/$X$5</f>
        <v/>
      </c>
      <c r="O24" s="17">
        <f>J24/$X$6</f>
        <v/>
      </c>
      <c r="P24" s="17">
        <f>K24/$X$7</f>
        <v/>
      </c>
      <c r="Q24" s="17">
        <f>L24/$X$8</f>
        <v/>
      </c>
      <c r="R24" s="17">
        <f>M24/$X$9</f>
        <v/>
      </c>
      <c r="S24" s="17">
        <f>MAX(N24:R24)</f>
        <v/>
      </c>
    </row>
    <row r="25">
      <c r="A25" s="5" t="n">
        <v>3</v>
      </c>
      <c r="B25" s="5" t="n">
        <v>3</v>
      </c>
      <c r="C25" s="40">
        <f>Raw_Data_IF!B8</f>
        <v/>
      </c>
      <c r="D25" s="18">
        <f>Raw_Data_IF!F8</f>
        <v/>
      </c>
      <c r="E25" s="17">
        <f>Raw_Data_IF!L8</f>
        <v/>
      </c>
      <c r="F25" s="17">
        <f>Raw_Data_IF!F8-MEDIAN(Raw_Data_IF!D8:I8)</f>
        <v/>
      </c>
      <c r="G25" s="17">
        <f>Raw_Data_IF!L8-MEDIAN(Raw_Data_IF!J8:O8)</f>
        <v/>
      </c>
      <c r="H25" s="15">
        <f>Raw_Data_IF!F8/MAX(Raw_Data_IF!L8,cfg_if_i_floor)</f>
        <v/>
      </c>
      <c r="I25" s="17">
        <f>ABS(D25-$V$5)</f>
        <v/>
      </c>
      <c r="J25" s="17">
        <f>ABS(E25-$V$6)</f>
        <v/>
      </c>
      <c r="K25" s="17">
        <f>ABS(F25-$V$7)</f>
        <v/>
      </c>
      <c r="L25" s="17">
        <f>ABS(G25-$V$8)</f>
        <v/>
      </c>
      <c r="M25" s="17">
        <f>ABS(H25-$V$9)</f>
        <v/>
      </c>
      <c r="N25" s="17">
        <f>I25/$X$5</f>
        <v/>
      </c>
      <c r="O25" s="17">
        <f>J25/$X$6</f>
        <v/>
      </c>
      <c r="P25" s="17">
        <f>K25/$X$7</f>
        <v/>
      </c>
      <c r="Q25" s="17">
        <f>L25/$X$8</f>
        <v/>
      </c>
      <c r="R25" s="17">
        <f>M25/$X$9</f>
        <v/>
      </c>
      <c r="S25" s="17">
        <f>MAX(N25:R25)</f>
        <v/>
      </c>
    </row>
    <row r="26">
      <c r="A26" s="5" t="n">
        <v>4</v>
      </c>
      <c r="B26" s="5" t="n">
        <v>3</v>
      </c>
      <c r="C26" s="40">
        <f>Raw_Data_IF!B8</f>
        <v/>
      </c>
      <c r="D26" s="18">
        <f>Raw_Data_IF!G8</f>
        <v/>
      </c>
      <c r="E26" s="17">
        <f>Raw_Data_IF!M8</f>
        <v/>
      </c>
      <c r="F26" s="17">
        <f>Raw_Data_IF!G8-MEDIAN(Raw_Data_IF!D8:I8)</f>
        <v/>
      </c>
      <c r="G26" s="17">
        <f>Raw_Data_IF!M8-MEDIAN(Raw_Data_IF!J8:O8)</f>
        <v/>
      </c>
      <c r="H26" s="15">
        <f>Raw_Data_IF!G8/MAX(Raw_Data_IF!M8,cfg_if_i_floor)</f>
        <v/>
      </c>
      <c r="I26" s="17">
        <f>ABS(D26-$V$5)</f>
        <v/>
      </c>
      <c r="J26" s="17">
        <f>ABS(E26-$V$6)</f>
        <v/>
      </c>
      <c r="K26" s="17">
        <f>ABS(F26-$V$7)</f>
        <v/>
      </c>
      <c r="L26" s="17">
        <f>ABS(G26-$V$8)</f>
        <v/>
      </c>
      <c r="M26" s="17">
        <f>ABS(H26-$V$9)</f>
        <v/>
      </c>
      <c r="N26" s="17">
        <f>I26/$X$5</f>
        <v/>
      </c>
      <c r="O26" s="17">
        <f>J26/$X$6</f>
        <v/>
      </c>
      <c r="P26" s="17">
        <f>K26/$X$7</f>
        <v/>
      </c>
      <c r="Q26" s="17">
        <f>L26/$X$8</f>
        <v/>
      </c>
      <c r="R26" s="17">
        <f>M26/$X$9</f>
        <v/>
      </c>
      <c r="S26" s="17">
        <f>MAX(N26:R26)</f>
        <v/>
      </c>
    </row>
    <row r="27">
      <c r="A27" s="5" t="n">
        <v>5</v>
      </c>
      <c r="B27" s="5" t="n">
        <v>3</v>
      </c>
      <c r="C27" s="40">
        <f>Raw_Data_IF!B8</f>
        <v/>
      </c>
      <c r="D27" s="18">
        <f>Raw_Data_IF!H8</f>
        <v/>
      </c>
      <c r="E27" s="17">
        <f>Raw_Data_IF!N8</f>
        <v/>
      </c>
      <c r="F27" s="17">
        <f>Raw_Data_IF!H8-MEDIAN(Raw_Data_IF!D8:I8)</f>
        <v/>
      </c>
      <c r="G27" s="17">
        <f>Raw_Data_IF!N8-MEDIAN(Raw_Data_IF!J8:O8)</f>
        <v/>
      </c>
      <c r="H27" s="15">
        <f>Raw_Data_IF!H8/MAX(Raw_Data_IF!N8,cfg_if_i_floor)</f>
        <v/>
      </c>
      <c r="I27" s="17">
        <f>ABS(D27-$V$5)</f>
        <v/>
      </c>
      <c r="J27" s="17">
        <f>ABS(E27-$V$6)</f>
        <v/>
      </c>
      <c r="K27" s="17">
        <f>ABS(F27-$V$7)</f>
        <v/>
      </c>
      <c r="L27" s="17">
        <f>ABS(G27-$V$8)</f>
        <v/>
      </c>
      <c r="M27" s="17">
        <f>ABS(H27-$V$9)</f>
        <v/>
      </c>
      <c r="N27" s="17">
        <f>I27/$X$5</f>
        <v/>
      </c>
      <c r="O27" s="17">
        <f>J27/$X$6</f>
        <v/>
      </c>
      <c r="P27" s="17">
        <f>K27/$X$7</f>
        <v/>
      </c>
      <c r="Q27" s="17">
        <f>L27/$X$8</f>
        <v/>
      </c>
      <c r="R27" s="17">
        <f>M27/$X$9</f>
        <v/>
      </c>
      <c r="S27" s="17">
        <f>MAX(N27:R27)</f>
        <v/>
      </c>
    </row>
    <row r="28">
      <c r="A28" s="5" t="n">
        <v>6</v>
      </c>
      <c r="B28" s="5" t="n">
        <v>3</v>
      </c>
      <c r="C28" s="40">
        <f>Raw_Data_IF!B8</f>
        <v/>
      </c>
      <c r="D28" s="18">
        <f>Raw_Data_IF!I8</f>
        <v/>
      </c>
      <c r="E28" s="17">
        <f>Raw_Data_IF!O8</f>
        <v/>
      </c>
      <c r="F28" s="17">
        <f>Raw_Data_IF!I8-MEDIAN(Raw_Data_IF!D8:I8)</f>
        <v/>
      </c>
      <c r="G28" s="17">
        <f>Raw_Data_IF!O8-MEDIAN(Raw_Data_IF!J8:O8)</f>
        <v/>
      </c>
      <c r="H28" s="15">
        <f>Raw_Data_IF!I8/MAX(Raw_Data_IF!O8,cfg_if_i_floor)</f>
        <v/>
      </c>
      <c r="I28" s="17">
        <f>ABS(D28-$V$5)</f>
        <v/>
      </c>
      <c r="J28" s="17">
        <f>ABS(E28-$V$6)</f>
        <v/>
      </c>
      <c r="K28" s="17">
        <f>ABS(F28-$V$7)</f>
        <v/>
      </c>
      <c r="L28" s="17">
        <f>ABS(G28-$V$8)</f>
        <v/>
      </c>
      <c r="M28" s="17">
        <f>ABS(H28-$V$9)</f>
        <v/>
      </c>
      <c r="N28" s="17">
        <f>I28/$X$5</f>
        <v/>
      </c>
      <c r="O28" s="17">
        <f>J28/$X$6</f>
        <v/>
      </c>
      <c r="P28" s="17">
        <f>K28/$X$7</f>
        <v/>
      </c>
      <c r="Q28" s="17">
        <f>L28/$X$8</f>
        <v/>
      </c>
      <c r="R28" s="17">
        <f>M28/$X$9</f>
        <v/>
      </c>
      <c r="S28" s="17">
        <f>MAX(N28:R28)</f>
        <v/>
      </c>
    </row>
    <row r="29">
      <c r="A29" s="5" t="n">
        <v>1</v>
      </c>
      <c r="B29" s="5" t="n">
        <v>4</v>
      </c>
      <c r="C29" s="40">
        <f>Raw_Data_IF!B9</f>
        <v/>
      </c>
      <c r="D29" s="18">
        <f>Raw_Data_IF!D9</f>
        <v/>
      </c>
      <c r="E29" s="17">
        <f>Raw_Data_IF!J9</f>
        <v/>
      </c>
      <c r="F29" s="17">
        <f>Raw_Data_IF!D9-MEDIAN(Raw_Data_IF!D9:I9)</f>
        <v/>
      </c>
      <c r="G29" s="17">
        <f>Raw_Data_IF!J9-MEDIAN(Raw_Data_IF!J9:O9)</f>
        <v/>
      </c>
      <c r="H29" s="15">
        <f>Raw_Data_IF!D9/MAX(Raw_Data_IF!J9,cfg_if_i_floor)</f>
        <v/>
      </c>
      <c r="I29" s="17">
        <f>ABS(D29-$V$5)</f>
        <v/>
      </c>
      <c r="J29" s="17">
        <f>ABS(E29-$V$6)</f>
        <v/>
      </c>
      <c r="K29" s="17">
        <f>ABS(F29-$V$7)</f>
        <v/>
      </c>
      <c r="L29" s="17">
        <f>ABS(G29-$V$8)</f>
        <v/>
      </c>
      <c r="M29" s="17">
        <f>ABS(H29-$V$9)</f>
        <v/>
      </c>
      <c r="N29" s="17">
        <f>I29/$X$5</f>
        <v/>
      </c>
      <c r="O29" s="17">
        <f>J29/$X$6</f>
        <v/>
      </c>
      <c r="P29" s="17">
        <f>K29/$X$7</f>
        <v/>
      </c>
      <c r="Q29" s="17">
        <f>L29/$X$8</f>
        <v/>
      </c>
      <c r="R29" s="17">
        <f>M29/$X$9</f>
        <v/>
      </c>
      <c r="S29" s="17">
        <f>MAX(N29:R29)</f>
        <v/>
      </c>
    </row>
    <row r="30">
      <c r="A30" s="5" t="n">
        <v>2</v>
      </c>
      <c r="B30" s="5" t="n">
        <v>4</v>
      </c>
      <c r="C30" s="40">
        <f>Raw_Data_IF!B9</f>
        <v/>
      </c>
      <c r="D30" s="18">
        <f>Raw_Data_IF!E9</f>
        <v/>
      </c>
      <c r="E30" s="17">
        <f>Raw_Data_IF!K9</f>
        <v/>
      </c>
      <c r="F30" s="17">
        <f>Raw_Data_IF!E9-MEDIAN(Raw_Data_IF!D9:I9)</f>
        <v/>
      </c>
      <c r="G30" s="17">
        <f>Raw_Data_IF!K9-MEDIAN(Raw_Data_IF!J9:O9)</f>
        <v/>
      </c>
      <c r="H30" s="15">
        <f>Raw_Data_IF!E9/MAX(Raw_Data_IF!K9,cfg_if_i_floor)</f>
        <v/>
      </c>
      <c r="I30" s="17">
        <f>ABS(D30-$V$5)</f>
        <v/>
      </c>
      <c r="J30" s="17">
        <f>ABS(E30-$V$6)</f>
        <v/>
      </c>
      <c r="K30" s="17">
        <f>ABS(F30-$V$7)</f>
        <v/>
      </c>
      <c r="L30" s="17">
        <f>ABS(G30-$V$8)</f>
        <v/>
      </c>
      <c r="M30" s="17">
        <f>ABS(H30-$V$9)</f>
        <v/>
      </c>
      <c r="N30" s="17">
        <f>I30/$X$5</f>
        <v/>
      </c>
      <c r="O30" s="17">
        <f>J30/$X$6</f>
        <v/>
      </c>
      <c r="P30" s="17">
        <f>K30/$X$7</f>
        <v/>
      </c>
      <c r="Q30" s="17">
        <f>L30/$X$8</f>
        <v/>
      </c>
      <c r="R30" s="17">
        <f>M30/$X$9</f>
        <v/>
      </c>
      <c r="S30" s="17">
        <f>MAX(N30:R30)</f>
        <v/>
      </c>
    </row>
    <row r="31">
      <c r="A31" s="5" t="n">
        <v>3</v>
      </c>
      <c r="B31" s="5" t="n">
        <v>4</v>
      </c>
      <c r="C31" s="40">
        <f>Raw_Data_IF!B9</f>
        <v/>
      </c>
      <c r="D31" s="18">
        <f>Raw_Data_IF!F9</f>
        <v/>
      </c>
      <c r="E31" s="17">
        <f>Raw_Data_IF!L9</f>
        <v/>
      </c>
      <c r="F31" s="17">
        <f>Raw_Data_IF!F9-MEDIAN(Raw_Data_IF!D9:I9)</f>
        <v/>
      </c>
      <c r="G31" s="17">
        <f>Raw_Data_IF!L9-MEDIAN(Raw_Data_IF!J9:O9)</f>
        <v/>
      </c>
      <c r="H31" s="15">
        <f>Raw_Data_IF!F9/MAX(Raw_Data_IF!L9,cfg_if_i_floor)</f>
        <v/>
      </c>
      <c r="I31" s="17">
        <f>ABS(D31-$V$5)</f>
        <v/>
      </c>
      <c r="J31" s="17">
        <f>ABS(E31-$V$6)</f>
        <v/>
      </c>
      <c r="K31" s="17">
        <f>ABS(F31-$V$7)</f>
        <v/>
      </c>
      <c r="L31" s="17">
        <f>ABS(G31-$V$8)</f>
        <v/>
      </c>
      <c r="M31" s="17">
        <f>ABS(H31-$V$9)</f>
        <v/>
      </c>
      <c r="N31" s="17">
        <f>I31/$X$5</f>
        <v/>
      </c>
      <c r="O31" s="17">
        <f>J31/$X$6</f>
        <v/>
      </c>
      <c r="P31" s="17">
        <f>K31/$X$7</f>
        <v/>
      </c>
      <c r="Q31" s="17">
        <f>L31/$X$8</f>
        <v/>
      </c>
      <c r="R31" s="17">
        <f>M31/$X$9</f>
        <v/>
      </c>
      <c r="S31" s="17">
        <f>MAX(N31:R31)</f>
        <v/>
      </c>
    </row>
    <row r="32">
      <c r="A32" s="5" t="n">
        <v>4</v>
      </c>
      <c r="B32" s="5" t="n">
        <v>4</v>
      </c>
      <c r="C32" s="40">
        <f>Raw_Data_IF!B9</f>
        <v/>
      </c>
      <c r="D32" s="18">
        <f>Raw_Data_IF!G9</f>
        <v/>
      </c>
      <c r="E32" s="17">
        <f>Raw_Data_IF!M9</f>
        <v/>
      </c>
      <c r="F32" s="17">
        <f>Raw_Data_IF!G9-MEDIAN(Raw_Data_IF!D9:I9)</f>
        <v/>
      </c>
      <c r="G32" s="17">
        <f>Raw_Data_IF!M9-MEDIAN(Raw_Data_IF!J9:O9)</f>
        <v/>
      </c>
      <c r="H32" s="15">
        <f>Raw_Data_IF!G9/MAX(Raw_Data_IF!M9,cfg_if_i_floor)</f>
        <v/>
      </c>
      <c r="I32" s="17">
        <f>ABS(D32-$V$5)</f>
        <v/>
      </c>
      <c r="J32" s="17">
        <f>ABS(E32-$V$6)</f>
        <v/>
      </c>
      <c r="K32" s="17">
        <f>ABS(F32-$V$7)</f>
        <v/>
      </c>
      <c r="L32" s="17">
        <f>ABS(G32-$V$8)</f>
        <v/>
      </c>
      <c r="M32" s="17">
        <f>ABS(H32-$V$9)</f>
        <v/>
      </c>
      <c r="N32" s="17">
        <f>I32/$X$5</f>
        <v/>
      </c>
      <c r="O32" s="17">
        <f>J32/$X$6</f>
        <v/>
      </c>
      <c r="P32" s="17">
        <f>K32/$X$7</f>
        <v/>
      </c>
      <c r="Q32" s="17">
        <f>L32/$X$8</f>
        <v/>
      </c>
      <c r="R32" s="17">
        <f>M32/$X$9</f>
        <v/>
      </c>
      <c r="S32" s="17">
        <f>MAX(N32:R32)</f>
        <v/>
      </c>
    </row>
    <row r="33">
      <c r="A33" s="5" t="n">
        <v>5</v>
      </c>
      <c r="B33" s="5" t="n">
        <v>4</v>
      </c>
      <c r="C33" s="40">
        <f>Raw_Data_IF!B9</f>
        <v/>
      </c>
      <c r="D33" s="18">
        <f>Raw_Data_IF!H9</f>
        <v/>
      </c>
      <c r="E33" s="17">
        <f>Raw_Data_IF!N9</f>
        <v/>
      </c>
      <c r="F33" s="17">
        <f>Raw_Data_IF!H9-MEDIAN(Raw_Data_IF!D9:I9)</f>
        <v/>
      </c>
      <c r="G33" s="17">
        <f>Raw_Data_IF!N9-MEDIAN(Raw_Data_IF!J9:O9)</f>
        <v/>
      </c>
      <c r="H33" s="15">
        <f>Raw_Data_IF!H9/MAX(Raw_Data_IF!N9,cfg_if_i_floor)</f>
        <v/>
      </c>
      <c r="I33" s="17">
        <f>ABS(D33-$V$5)</f>
        <v/>
      </c>
      <c r="J33" s="17">
        <f>ABS(E33-$V$6)</f>
        <v/>
      </c>
      <c r="K33" s="17">
        <f>ABS(F33-$V$7)</f>
        <v/>
      </c>
      <c r="L33" s="17">
        <f>ABS(G33-$V$8)</f>
        <v/>
      </c>
      <c r="M33" s="17">
        <f>ABS(H33-$V$9)</f>
        <v/>
      </c>
      <c r="N33" s="17">
        <f>I33/$X$5</f>
        <v/>
      </c>
      <c r="O33" s="17">
        <f>J33/$X$6</f>
        <v/>
      </c>
      <c r="P33" s="17">
        <f>K33/$X$7</f>
        <v/>
      </c>
      <c r="Q33" s="17">
        <f>L33/$X$8</f>
        <v/>
      </c>
      <c r="R33" s="17">
        <f>M33/$X$9</f>
        <v/>
      </c>
      <c r="S33" s="17">
        <f>MAX(N33:R33)</f>
        <v/>
      </c>
    </row>
    <row r="34">
      <c r="A34" s="5" t="n">
        <v>6</v>
      </c>
      <c r="B34" s="5" t="n">
        <v>4</v>
      </c>
      <c r="C34" s="40">
        <f>Raw_Data_IF!B9</f>
        <v/>
      </c>
      <c r="D34" s="18">
        <f>Raw_Data_IF!I9</f>
        <v/>
      </c>
      <c r="E34" s="17">
        <f>Raw_Data_IF!O9</f>
        <v/>
      </c>
      <c r="F34" s="17">
        <f>Raw_Data_IF!I9-MEDIAN(Raw_Data_IF!D9:I9)</f>
        <v/>
      </c>
      <c r="G34" s="17">
        <f>Raw_Data_IF!O9-MEDIAN(Raw_Data_IF!J9:O9)</f>
        <v/>
      </c>
      <c r="H34" s="15">
        <f>Raw_Data_IF!I9/MAX(Raw_Data_IF!O9,cfg_if_i_floor)</f>
        <v/>
      </c>
      <c r="I34" s="17">
        <f>ABS(D34-$V$5)</f>
        <v/>
      </c>
      <c r="J34" s="17">
        <f>ABS(E34-$V$6)</f>
        <v/>
      </c>
      <c r="K34" s="17">
        <f>ABS(F34-$V$7)</f>
        <v/>
      </c>
      <c r="L34" s="17">
        <f>ABS(G34-$V$8)</f>
        <v/>
      </c>
      <c r="M34" s="17">
        <f>ABS(H34-$V$9)</f>
        <v/>
      </c>
      <c r="N34" s="17">
        <f>I34/$X$5</f>
        <v/>
      </c>
      <c r="O34" s="17">
        <f>J34/$X$6</f>
        <v/>
      </c>
      <c r="P34" s="17">
        <f>K34/$X$7</f>
        <v/>
      </c>
      <c r="Q34" s="17">
        <f>L34/$X$8</f>
        <v/>
      </c>
      <c r="R34" s="17">
        <f>M34/$X$9</f>
        <v/>
      </c>
      <c r="S34" s="17">
        <f>MAX(N34:R34)</f>
        <v/>
      </c>
    </row>
    <row r="35">
      <c r="A35" s="5" t="n">
        <v>1</v>
      </c>
      <c r="B35" s="5" t="n">
        <v>5</v>
      </c>
      <c r="C35" s="40">
        <f>Raw_Data_IF!B10</f>
        <v/>
      </c>
      <c r="D35" s="18">
        <f>Raw_Data_IF!D10</f>
        <v/>
      </c>
      <c r="E35" s="17">
        <f>Raw_Data_IF!J10</f>
        <v/>
      </c>
      <c r="F35" s="17">
        <f>Raw_Data_IF!D10-MEDIAN(Raw_Data_IF!D10:I10)</f>
        <v/>
      </c>
      <c r="G35" s="17">
        <f>Raw_Data_IF!J10-MEDIAN(Raw_Data_IF!J10:O10)</f>
        <v/>
      </c>
      <c r="H35" s="15">
        <f>Raw_Data_IF!D10/MAX(Raw_Data_IF!J10,cfg_if_i_floor)</f>
        <v/>
      </c>
      <c r="I35" s="17">
        <f>ABS(D35-$V$5)</f>
        <v/>
      </c>
      <c r="J35" s="17">
        <f>ABS(E35-$V$6)</f>
        <v/>
      </c>
      <c r="K35" s="17">
        <f>ABS(F35-$V$7)</f>
        <v/>
      </c>
      <c r="L35" s="17">
        <f>ABS(G35-$V$8)</f>
        <v/>
      </c>
      <c r="M35" s="17">
        <f>ABS(H35-$V$9)</f>
        <v/>
      </c>
      <c r="N35" s="17">
        <f>I35/$X$5</f>
        <v/>
      </c>
      <c r="O35" s="17">
        <f>J35/$X$6</f>
        <v/>
      </c>
      <c r="P35" s="17">
        <f>K35/$X$7</f>
        <v/>
      </c>
      <c r="Q35" s="17">
        <f>L35/$X$8</f>
        <v/>
      </c>
      <c r="R35" s="17">
        <f>M35/$X$9</f>
        <v/>
      </c>
      <c r="S35" s="17">
        <f>MAX(N35:R35)</f>
        <v/>
      </c>
    </row>
    <row r="36">
      <c r="A36" s="5" t="n">
        <v>2</v>
      </c>
      <c r="B36" s="5" t="n">
        <v>5</v>
      </c>
      <c r="C36" s="40">
        <f>Raw_Data_IF!B10</f>
        <v/>
      </c>
      <c r="D36" s="18">
        <f>Raw_Data_IF!E10</f>
        <v/>
      </c>
      <c r="E36" s="17">
        <f>Raw_Data_IF!K10</f>
        <v/>
      </c>
      <c r="F36" s="17">
        <f>Raw_Data_IF!E10-MEDIAN(Raw_Data_IF!D10:I10)</f>
        <v/>
      </c>
      <c r="G36" s="17">
        <f>Raw_Data_IF!K10-MEDIAN(Raw_Data_IF!J10:O10)</f>
        <v/>
      </c>
      <c r="H36" s="15">
        <f>Raw_Data_IF!E10/MAX(Raw_Data_IF!K10,cfg_if_i_floor)</f>
        <v/>
      </c>
      <c r="I36" s="17">
        <f>ABS(D36-$V$5)</f>
        <v/>
      </c>
      <c r="J36" s="17">
        <f>ABS(E36-$V$6)</f>
        <v/>
      </c>
      <c r="K36" s="17">
        <f>ABS(F36-$V$7)</f>
        <v/>
      </c>
      <c r="L36" s="17">
        <f>ABS(G36-$V$8)</f>
        <v/>
      </c>
      <c r="M36" s="17">
        <f>ABS(H36-$V$9)</f>
        <v/>
      </c>
      <c r="N36" s="17">
        <f>I36/$X$5</f>
        <v/>
      </c>
      <c r="O36" s="17">
        <f>J36/$X$6</f>
        <v/>
      </c>
      <c r="P36" s="17">
        <f>K36/$X$7</f>
        <v/>
      </c>
      <c r="Q36" s="17">
        <f>L36/$X$8</f>
        <v/>
      </c>
      <c r="R36" s="17">
        <f>M36/$X$9</f>
        <v/>
      </c>
      <c r="S36" s="17">
        <f>MAX(N36:R36)</f>
        <v/>
      </c>
    </row>
    <row r="37">
      <c r="A37" s="5" t="n">
        <v>3</v>
      </c>
      <c r="B37" s="5" t="n">
        <v>5</v>
      </c>
      <c r="C37" s="40">
        <f>Raw_Data_IF!B10</f>
        <v/>
      </c>
      <c r="D37" s="18">
        <f>Raw_Data_IF!F10</f>
        <v/>
      </c>
      <c r="E37" s="17">
        <f>Raw_Data_IF!L10</f>
        <v/>
      </c>
      <c r="F37" s="17">
        <f>Raw_Data_IF!F10-MEDIAN(Raw_Data_IF!D10:I10)</f>
        <v/>
      </c>
      <c r="G37" s="17">
        <f>Raw_Data_IF!L10-MEDIAN(Raw_Data_IF!J10:O10)</f>
        <v/>
      </c>
      <c r="H37" s="15">
        <f>Raw_Data_IF!F10/MAX(Raw_Data_IF!L10,cfg_if_i_floor)</f>
        <v/>
      </c>
      <c r="I37" s="17">
        <f>ABS(D37-$V$5)</f>
        <v/>
      </c>
      <c r="J37" s="17">
        <f>ABS(E37-$V$6)</f>
        <v/>
      </c>
      <c r="K37" s="17">
        <f>ABS(F37-$V$7)</f>
        <v/>
      </c>
      <c r="L37" s="17">
        <f>ABS(G37-$V$8)</f>
        <v/>
      </c>
      <c r="M37" s="17">
        <f>ABS(H37-$V$9)</f>
        <v/>
      </c>
      <c r="N37" s="17">
        <f>I37/$X$5</f>
        <v/>
      </c>
      <c r="O37" s="17">
        <f>J37/$X$6</f>
        <v/>
      </c>
      <c r="P37" s="17">
        <f>K37/$X$7</f>
        <v/>
      </c>
      <c r="Q37" s="17">
        <f>L37/$X$8</f>
        <v/>
      </c>
      <c r="R37" s="17">
        <f>M37/$X$9</f>
        <v/>
      </c>
      <c r="S37" s="17">
        <f>MAX(N37:R37)</f>
        <v/>
      </c>
    </row>
    <row r="38">
      <c r="A38" s="5" t="n">
        <v>4</v>
      </c>
      <c r="B38" s="5" t="n">
        <v>5</v>
      </c>
      <c r="C38" s="40">
        <f>Raw_Data_IF!B10</f>
        <v/>
      </c>
      <c r="D38" s="18">
        <f>Raw_Data_IF!G10</f>
        <v/>
      </c>
      <c r="E38" s="17">
        <f>Raw_Data_IF!M10</f>
        <v/>
      </c>
      <c r="F38" s="17">
        <f>Raw_Data_IF!G10-MEDIAN(Raw_Data_IF!D10:I10)</f>
        <v/>
      </c>
      <c r="G38" s="17">
        <f>Raw_Data_IF!M10-MEDIAN(Raw_Data_IF!J10:O10)</f>
        <v/>
      </c>
      <c r="H38" s="15">
        <f>Raw_Data_IF!G10/MAX(Raw_Data_IF!M10,cfg_if_i_floor)</f>
        <v/>
      </c>
      <c r="I38" s="17">
        <f>ABS(D38-$V$5)</f>
        <v/>
      </c>
      <c r="J38" s="17">
        <f>ABS(E38-$V$6)</f>
        <v/>
      </c>
      <c r="K38" s="17">
        <f>ABS(F38-$V$7)</f>
        <v/>
      </c>
      <c r="L38" s="17">
        <f>ABS(G38-$V$8)</f>
        <v/>
      </c>
      <c r="M38" s="17">
        <f>ABS(H38-$V$9)</f>
        <v/>
      </c>
      <c r="N38" s="17">
        <f>I38/$X$5</f>
        <v/>
      </c>
      <c r="O38" s="17">
        <f>J38/$X$6</f>
        <v/>
      </c>
      <c r="P38" s="17">
        <f>K38/$X$7</f>
        <v/>
      </c>
      <c r="Q38" s="17">
        <f>L38/$X$8</f>
        <v/>
      </c>
      <c r="R38" s="17">
        <f>M38/$X$9</f>
        <v/>
      </c>
      <c r="S38" s="17">
        <f>MAX(N38:R38)</f>
        <v/>
      </c>
    </row>
    <row r="39">
      <c r="A39" s="5" t="n">
        <v>5</v>
      </c>
      <c r="B39" s="5" t="n">
        <v>5</v>
      </c>
      <c r="C39" s="40">
        <f>Raw_Data_IF!B10</f>
        <v/>
      </c>
      <c r="D39" s="18">
        <f>Raw_Data_IF!H10</f>
        <v/>
      </c>
      <c r="E39" s="17">
        <f>Raw_Data_IF!N10</f>
        <v/>
      </c>
      <c r="F39" s="17">
        <f>Raw_Data_IF!H10-MEDIAN(Raw_Data_IF!D10:I10)</f>
        <v/>
      </c>
      <c r="G39" s="17">
        <f>Raw_Data_IF!N10-MEDIAN(Raw_Data_IF!J10:O10)</f>
        <v/>
      </c>
      <c r="H39" s="15">
        <f>Raw_Data_IF!H10/MAX(Raw_Data_IF!N10,cfg_if_i_floor)</f>
        <v/>
      </c>
      <c r="I39" s="17">
        <f>ABS(D39-$V$5)</f>
        <v/>
      </c>
      <c r="J39" s="17">
        <f>ABS(E39-$V$6)</f>
        <v/>
      </c>
      <c r="K39" s="17">
        <f>ABS(F39-$V$7)</f>
        <v/>
      </c>
      <c r="L39" s="17">
        <f>ABS(G39-$V$8)</f>
        <v/>
      </c>
      <c r="M39" s="17">
        <f>ABS(H39-$V$9)</f>
        <v/>
      </c>
      <c r="N39" s="17">
        <f>I39/$X$5</f>
        <v/>
      </c>
      <c r="O39" s="17">
        <f>J39/$X$6</f>
        <v/>
      </c>
      <c r="P39" s="17">
        <f>K39/$X$7</f>
        <v/>
      </c>
      <c r="Q39" s="17">
        <f>L39/$X$8</f>
        <v/>
      </c>
      <c r="R39" s="17">
        <f>M39/$X$9</f>
        <v/>
      </c>
      <c r="S39" s="17">
        <f>MAX(N39:R39)</f>
        <v/>
      </c>
    </row>
    <row r="40">
      <c r="A40" s="5" t="n">
        <v>6</v>
      </c>
      <c r="B40" s="5" t="n">
        <v>5</v>
      </c>
      <c r="C40" s="40">
        <f>Raw_Data_IF!B10</f>
        <v/>
      </c>
      <c r="D40" s="18">
        <f>Raw_Data_IF!I10</f>
        <v/>
      </c>
      <c r="E40" s="17">
        <f>Raw_Data_IF!O10</f>
        <v/>
      </c>
      <c r="F40" s="17">
        <f>Raw_Data_IF!I10-MEDIAN(Raw_Data_IF!D10:I10)</f>
        <v/>
      </c>
      <c r="G40" s="17">
        <f>Raw_Data_IF!O10-MEDIAN(Raw_Data_IF!J10:O10)</f>
        <v/>
      </c>
      <c r="H40" s="15">
        <f>Raw_Data_IF!I10/MAX(Raw_Data_IF!O10,cfg_if_i_floor)</f>
        <v/>
      </c>
      <c r="I40" s="17">
        <f>ABS(D40-$V$5)</f>
        <v/>
      </c>
      <c r="J40" s="17">
        <f>ABS(E40-$V$6)</f>
        <v/>
      </c>
      <c r="K40" s="17">
        <f>ABS(F40-$V$7)</f>
        <v/>
      </c>
      <c r="L40" s="17">
        <f>ABS(G40-$V$8)</f>
        <v/>
      </c>
      <c r="M40" s="17">
        <f>ABS(H40-$V$9)</f>
        <v/>
      </c>
      <c r="N40" s="17">
        <f>I40/$X$5</f>
        <v/>
      </c>
      <c r="O40" s="17">
        <f>J40/$X$6</f>
        <v/>
      </c>
      <c r="P40" s="17">
        <f>K40/$X$7</f>
        <v/>
      </c>
      <c r="Q40" s="17">
        <f>L40/$X$8</f>
        <v/>
      </c>
      <c r="R40" s="17">
        <f>M40/$X$9</f>
        <v/>
      </c>
      <c r="S40" s="17">
        <f>MAX(N40:R40)</f>
        <v/>
      </c>
    </row>
    <row r="41">
      <c r="A41" s="5" t="n">
        <v>1</v>
      </c>
      <c r="B41" s="5" t="n">
        <v>6</v>
      </c>
      <c r="C41" s="40">
        <f>Raw_Data_IF!B11</f>
        <v/>
      </c>
      <c r="D41" s="18">
        <f>Raw_Data_IF!D11</f>
        <v/>
      </c>
      <c r="E41" s="17">
        <f>Raw_Data_IF!J11</f>
        <v/>
      </c>
      <c r="F41" s="17">
        <f>Raw_Data_IF!D11-MEDIAN(Raw_Data_IF!D11:I11)</f>
        <v/>
      </c>
      <c r="G41" s="17">
        <f>Raw_Data_IF!J11-MEDIAN(Raw_Data_IF!J11:O11)</f>
        <v/>
      </c>
      <c r="H41" s="15">
        <f>Raw_Data_IF!D11/MAX(Raw_Data_IF!J11,cfg_if_i_floor)</f>
        <v/>
      </c>
      <c r="I41" s="17">
        <f>ABS(D41-$V$5)</f>
        <v/>
      </c>
      <c r="J41" s="17">
        <f>ABS(E41-$V$6)</f>
        <v/>
      </c>
      <c r="K41" s="17">
        <f>ABS(F41-$V$7)</f>
        <v/>
      </c>
      <c r="L41" s="17">
        <f>ABS(G41-$V$8)</f>
        <v/>
      </c>
      <c r="M41" s="17">
        <f>ABS(H41-$V$9)</f>
        <v/>
      </c>
      <c r="N41" s="17">
        <f>I41/$X$5</f>
        <v/>
      </c>
      <c r="O41" s="17">
        <f>J41/$X$6</f>
        <v/>
      </c>
      <c r="P41" s="17">
        <f>K41/$X$7</f>
        <v/>
      </c>
      <c r="Q41" s="17">
        <f>L41/$X$8</f>
        <v/>
      </c>
      <c r="R41" s="17">
        <f>M41/$X$9</f>
        <v/>
      </c>
      <c r="S41" s="17">
        <f>MAX(N41:R41)</f>
        <v/>
      </c>
    </row>
    <row r="42">
      <c r="A42" s="5" t="n">
        <v>2</v>
      </c>
      <c r="B42" s="5" t="n">
        <v>6</v>
      </c>
      <c r="C42" s="40">
        <f>Raw_Data_IF!B11</f>
        <v/>
      </c>
      <c r="D42" s="18">
        <f>Raw_Data_IF!E11</f>
        <v/>
      </c>
      <c r="E42" s="17">
        <f>Raw_Data_IF!K11</f>
        <v/>
      </c>
      <c r="F42" s="17">
        <f>Raw_Data_IF!E11-MEDIAN(Raw_Data_IF!D11:I11)</f>
        <v/>
      </c>
      <c r="G42" s="17">
        <f>Raw_Data_IF!K11-MEDIAN(Raw_Data_IF!J11:O11)</f>
        <v/>
      </c>
      <c r="H42" s="15">
        <f>Raw_Data_IF!E11/MAX(Raw_Data_IF!K11,cfg_if_i_floor)</f>
        <v/>
      </c>
      <c r="I42" s="17">
        <f>ABS(D42-$V$5)</f>
        <v/>
      </c>
      <c r="J42" s="17">
        <f>ABS(E42-$V$6)</f>
        <v/>
      </c>
      <c r="K42" s="17">
        <f>ABS(F42-$V$7)</f>
        <v/>
      </c>
      <c r="L42" s="17">
        <f>ABS(G42-$V$8)</f>
        <v/>
      </c>
      <c r="M42" s="17">
        <f>ABS(H42-$V$9)</f>
        <v/>
      </c>
      <c r="N42" s="17">
        <f>I42/$X$5</f>
        <v/>
      </c>
      <c r="O42" s="17">
        <f>J42/$X$6</f>
        <v/>
      </c>
      <c r="P42" s="17">
        <f>K42/$X$7</f>
        <v/>
      </c>
      <c r="Q42" s="17">
        <f>L42/$X$8</f>
        <v/>
      </c>
      <c r="R42" s="17">
        <f>M42/$X$9</f>
        <v/>
      </c>
      <c r="S42" s="17">
        <f>MAX(N42:R42)</f>
        <v/>
      </c>
    </row>
    <row r="43">
      <c r="A43" s="5" t="n">
        <v>3</v>
      </c>
      <c r="B43" s="5" t="n">
        <v>6</v>
      </c>
      <c r="C43" s="40">
        <f>Raw_Data_IF!B11</f>
        <v/>
      </c>
      <c r="D43" s="18">
        <f>Raw_Data_IF!F11</f>
        <v/>
      </c>
      <c r="E43" s="17">
        <f>Raw_Data_IF!L11</f>
        <v/>
      </c>
      <c r="F43" s="17">
        <f>Raw_Data_IF!F11-MEDIAN(Raw_Data_IF!D11:I11)</f>
        <v/>
      </c>
      <c r="G43" s="17">
        <f>Raw_Data_IF!L11-MEDIAN(Raw_Data_IF!J11:O11)</f>
        <v/>
      </c>
      <c r="H43" s="15">
        <f>Raw_Data_IF!F11/MAX(Raw_Data_IF!L11,cfg_if_i_floor)</f>
        <v/>
      </c>
      <c r="I43" s="17">
        <f>ABS(D43-$V$5)</f>
        <v/>
      </c>
      <c r="J43" s="17">
        <f>ABS(E43-$V$6)</f>
        <v/>
      </c>
      <c r="K43" s="17">
        <f>ABS(F43-$V$7)</f>
        <v/>
      </c>
      <c r="L43" s="17">
        <f>ABS(G43-$V$8)</f>
        <v/>
      </c>
      <c r="M43" s="17">
        <f>ABS(H43-$V$9)</f>
        <v/>
      </c>
      <c r="N43" s="17">
        <f>I43/$X$5</f>
        <v/>
      </c>
      <c r="O43" s="17">
        <f>J43/$X$6</f>
        <v/>
      </c>
      <c r="P43" s="17">
        <f>K43/$X$7</f>
        <v/>
      </c>
      <c r="Q43" s="17">
        <f>L43/$X$8</f>
        <v/>
      </c>
      <c r="R43" s="17">
        <f>M43/$X$9</f>
        <v/>
      </c>
      <c r="S43" s="17">
        <f>MAX(N43:R43)</f>
        <v/>
      </c>
    </row>
    <row r="44">
      <c r="A44" s="5" t="n">
        <v>4</v>
      </c>
      <c r="B44" s="5" t="n">
        <v>6</v>
      </c>
      <c r="C44" s="40">
        <f>Raw_Data_IF!B11</f>
        <v/>
      </c>
      <c r="D44" s="18">
        <f>Raw_Data_IF!G11</f>
        <v/>
      </c>
      <c r="E44" s="17">
        <f>Raw_Data_IF!M11</f>
        <v/>
      </c>
      <c r="F44" s="17">
        <f>Raw_Data_IF!G11-MEDIAN(Raw_Data_IF!D11:I11)</f>
        <v/>
      </c>
      <c r="G44" s="17">
        <f>Raw_Data_IF!M11-MEDIAN(Raw_Data_IF!J11:O11)</f>
        <v/>
      </c>
      <c r="H44" s="15">
        <f>Raw_Data_IF!G11/MAX(Raw_Data_IF!M11,cfg_if_i_floor)</f>
        <v/>
      </c>
      <c r="I44" s="17">
        <f>ABS(D44-$V$5)</f>
        <v/>
      </c>
      <c r="J44" s="17">
        <f>ABS(E44-$V$6)</f>
        <v/>
      </c>
      <c r="K44" s="17">
        <f>ABS(F44-$V$7)</f>
        <v/>
      </c>
      <c r="L44" s="17">
        <f>ABS(G44-$V$8)</f>
        <v/>
      </c>
      <c r="M44" s="17">
        <f>ABS(H44-$V$9)</f>
        <v/>
      </c>
      <c r="N44" s="17">
        <f>I44/$X$5</f>
        <v/>
      </c>
      <c r="O44" s="17">
        <f>J44/$X$6</f>
        <v/>
      </c>
      <c r="P44" s="17">
        <f>K44/$X$7</f>
        <v/>
      </c>
      <c r="Q44" s="17">
        <f>L44/$X$8</f>
        <v/>
      </c>
      <c r="R44" s="17">
        <f>M44/$X$9</f>
        <v/>
      </c>
      <c r="S44" s="17">
        <f>MAX(N44:R44)</f>
        <v/>
      </c>
    </row>
    <row r="45">
      <c r="A45" s="5" t="n">
        <v>5</v>
      </c>
      <c r="B45" s="5" t="n">
        <v>6</v>
      </c>
      <c r="C45" s="40">
        <f>Raw_Data_IF!B11</f>
        <v/>
      </c>
      <c r="D45" s="18">
        <f>Raw_Data_IF!H11</f>
        <v/>
      </c>
      <c r="E45" s="17">
        <f>Raw_Data_IF!N11</f>
        <v/>
      </c>
      <c r="F45" s="17">
        <f>Raw_Data_IF!H11-MEDIAN(Raw_Data_IF!D11:I11)</f>
        <v/>
      </c>
      <c r="G45" s="17">
        <f>Raw_Data_IF!N11-MEDIAN(Raw_Data_IF!J11:O11)</f>
        <v/>
      </c>
      <c r="H45" s="15">
        <f>Raw_Data_IF!H11/MAX(Raw_Data_IF!N11,cfg_if_i_floor)</f>
        <v/>
      </c>
      <c r="I45" s="17">
        <f>ABS(D45-$V$5)</f>
        <v/>
      </c>
      <c r="J45" s="17">
        <f>ABS(E45-$V$6)</f>
        <v/>
      </c>
      <c r="K45" s="17">
        <f>ABS(F45-$V$7)</f>
        <v/>
      </c>
      <c r="L45" s="17">
        <f>ABS(G45-$V$8)</f>
        <v/>
      </c>
      <c r="M45" s="17">
        <f>ABS(H45-$V$9)</f>
        <v/>
      </c>
      <c r="N45" s="17">
        <f>I45/$X$5</f>
        <v/>
      </c>
      <c r="O45" s="17">
        <f>J45/$X$6</f>
        <v/>
      </c>
      <c r="P45" s="17">
        <f>K45/$X$7</f>
        <v/>
      </c>
      <c r="Q45" s="17">
        <f>L45/$X$8</f>
        <v/>
      </c>
      <c r="R45" s="17">
        <f>M45/$X$9</f>
        <v/>
      </c>
      <c r="S45" s="17">
        <f>MAX(N45:R45)</f>
        <v/>
      </c>
    </row>
    <row r="46">
      <c r="A46" s="5" t="n">
        <v>6</v>
      </c>
      <c r="B46" s="5" t="n">
        <v>6</v>
      </c>
      <c r="C46" s="40">
        <f>Raw_Data_IF!B11</f>
        <v/>
      </c>
      <c r="D46" s="18">
        <f>Raw_Data_IF!I11</f>
        <v/>
      </c>
      <c r="E46" s="17">
        <f>Raw_Data_IF!O11</f>
        <v/>
      </c>
      <c r="F46" s="17">
        <f>Raw_Data_IF!I11-MEDIAN(Raw_Data_IF!D11:I11)</f>
        <v/>
      </c>
      <c r="G46" s="17">
        <f>Raw_Data_IF!O11-MEDIAN(Raw_Data_IF!J11:O11)</f>
        <v/>
      </c>
      <c r="H46" s="15">
        <f>Raw_Data_IF!I11/MAX(Raw_Data_IF!O11,cfg_if_i_floor)</f>
        <v/>
      </c>
      <c r="I46" s="17">
        <f>ABS(D46-$V$5)</f>
        <v/>
      </c>
      <c r="J46" s="17">
        <f>ABS(E46-$V$6)</f>
        <v/>
      </c>
      <c r="K46" s="17">
        <f>ABS(F46-$V$7)</f>
        <v/>
      </c>
      <c r="L46" s="17">
        <f>ABS(G46-$V$8)</f>
        <v/>
      </c>
      <c r="M46" s="17">
        <f>ABS(H46-$V$9)</f>
        <v/>
      </c>
      <c r="N46" s="17">
        <f>I46/$X$5</f>
        <v/>
      </c>
      <c r="O46" s="17">
        <f>J46/$X$6</f>
        <v/>
      </c>
      <c r="P46" s="17">
        <f>K46/$X$7</f>
        <v/>
      </c>
      <c r="Q46" s="17">
        <f>L46/$X$8</f>
        <v/>
      </c>
      <c r="R46" s="17">
        <f>M46/$X$9</f>
        <v/>
      </c>
      <c r="S46" s="17">
        <f>MAX(N46:R46)</f>
        <v/>
      </c>
    </row>
    <row r="47">
      <c r="A47" s="5" t="n">
        <v>1</v>
      </c>
      <c r="B47" s="5" t="n">
        <v>7</v>
      </c>
      <c r="C47" s="40">
        <f>Raw_Data_IF!B12</f>
        <v/>
      </c>
      <c r="D47" s="18">
        <f>Raw_Data_IF!D12</f>
        <v/>
      </c>
      <c r="E47" s="17">
        <f>Raw_Data_IF!J12</f>
        <v/>
      </c>
      <c r="F47" s="17">
        <f>Raw_Data_IF!D12-MEDIAN(Raw_Data_IF!D12:I12)</f>
        <v/>
      </c>
      <c r="G47" s="17">
        <f>Raw_Data_IF!J12-MEDIAN(Raw_Data_IF!J12:O12)</f>
        <v/>
      </c>
      <c r="H47" s="15">
        <f>Raw_Data_IF!D12/MAX(Raw_Data_IF!J12,cfg_if_i_floor)</f>
        <v/>
      </c>
      <c r="I47" s="17">
        <f>ABS(D47-$V$5)</f>
        <v/>
      </c>
      <c r="J47" s="17">
        <f>ABS(E47-$V$6)</f>
        <v/>
      </c>
      <c r="K47" s="17">
        <f>ABS(F47-$V$7)</f>
        <v/>
      </c>
      <c r="L47" s="17">
        <f>ABS(G47-$V$8)</f>
        <v/>
      </c>
      <c r="M47" s="17">
        <f>ABS(H47-$V$9)</f>
        <v/>
      </c>
      <c r="N47" s="17">
        <f>I47/$X$5</f>
        <v/>
      </c>
      <c r="O47" s="17">
        <f>J47/$X$6</f>
        <v/>
      </c>
      <c r="P47" s="17">
        <f>K47/$X$7</f>
        <v/>
      </c>
      <c r="Q47" s="17">
        <f>L47/$X$8</f>
        <v/>
      </c>
      <c r="R47" s="17">
        <f>M47/$X$9</f>
        <v/>
      </c>
      <c r="S47" s="17">
        <f>MAX(N47:R47)</f>
        <v/>
      </c>
    </row>
    <row r="48">
      <c r="A48" s="5" t="n">
        <v>2</v>
      </c>
      <c r="B48" s="5" t="n">
        <v>7</v>
      </c>
      <c r="C48" s="40">
        <f>Raw_Data_IF!B12</f>
        <v/>
      </c>
      <c r="D48" s="18">
        <f>Raw_Data_IF!E12</f>
        <v/>
      </c>
      <c r="E48" s="17">
        <f>Raw_Data_IF!K12</f>
        <v/>
      </c>
      <c r="F48" s="17">
        <f>Raw_Data_IF!E12-MEDIAN(Raw_Data_IF!D12:I12)</f>
        <v/>
      </c>
      <c r="G48" s="17">
        <f>Raw_Data_IF!K12-MEDIAN(Raw_Data_IF!J12:O12)</f>
        <v/>
      </c>
      <c r="H48" s="15">
        <f>Raw_Data_IF!E12/MAX(Raw_Data_IF!K12,cfg_if_i_floor)</f>
        <v/>
      </c>
      <c r="I48" s="17">
        <f>ABS(D48-$V$5)</f>
        <v/>
      </c>
      <c r="J48" s="17">
        <f>ABS(E48-$V$6)</f>
        <v/>
      </c>
      <c r="K48" s="17">
        <f>ABS(F48-$V$7)</f>
        <v/>
      </c>
      <c r="L48" s="17">
        <f>ABS(G48-$V$8)</f>
        <v/>
      </c>
      <c r="M48" s="17">
        <f>ABS(H48-$V$9)</f>
        <v/>
      </c>
      <c r="N48" s="17">
        <f>I48/$X$5</f>
        <v/>
      </c>
      <c r="O48" s="17">
        <f>J48/$X$6</f>
        <v/>
      </c>
      <c r="P48" s="17">
        <f>K48/$X$7</f>
        <v/>
      </c>
      <c r="Q48" s="17">
        <f>L48/$X$8</f>
        <v/>
      </c>
      <c r="R48" s="17">
        <f>M48/$X$9</f>
        <v/>
      </c>
      <c r="S48" s="17">
        <f>MAX(N48:R48)</f>
        <v/>
      </c>
    </row>
    <row r="49">
      <c r="A49" s="5" t="n">
        <v>3</v>
      </c>
      <c r="B49" s="5" t="n">
        <v>7</v>
      </c>
      <c r="C49" s="40">
        <f>Raw_Data_IF!B12</f>
        <v/>
      </c>
      <c r="D49" s="18">
        <f>Raw_Data_IF!F12</f>
        <v/>
      </c>
      <c r="E49" s="17">
        <f>Raw_Data_IF!L12</f>
        <v/>
      </c>
      <c r="F49" s="17">
        <f>Raw_Data_IF!F12-MEDIAN(Raw_Data_IF!D12:I12)</f>
        <v/>
      </c>
      <c r="G49" s="17">
        <f>Raw_Data_IF!L12-MEDIAN(Raw_Data_IF!J12:O12)</f>
        <v/>
      </c>
      <c r="H49" s="15">
        <f>Raw_Data_IF!F12/MAX(Raw_Data_IF!L12,cfg_if_i_floor)</f>
        <v/>
      </c>
      <c r="I49" s="17">
        <f>ABS(D49-$V$5)</f>
        <v/>
      </c>
      <c r="J49" s="17">
        <f>ABS(E49-$V$6)</f>
        <v/>
      </c>
      <c r="K49" s="17">
        <f>ABS(F49-$V$7)</f>
        <v/>
      </c>
      <c r="L49" s="17">
        <f>ABS(G49-$V$8)</f>
        <v/>
      </c>
      <c r="M49" s="17">
        <f>ABS(H49-$V$9)</f>
        <v/>
      </c>
      <c r="N49" s="17">
        <f>I49/$X$5</f>
        <v/>
      </c>
      <c r="O49" s="17">
        <f>J49/$X$6</f>
        <v/>
      </c>
      <c r="P49" s="17">
        <f>K49/$X$7</f>
        <v/>
      </c>
      <c r="Q49" s="17">
        <f>L49/$X$8</f>
        <v/>
      </c>
      <c r="R49" s="17">
        <f>M49/$X$9</f>
        <v/>
      </c>
      <c r="S49" s="17">
        <f>MAX(N49:R49)</f>
        <v/>
      </c>
    </row>
    <row r="50">
      <c r="A50" s="5" t="n">
        <v>4</v>
      </c>
      <c r="B50" s="5" t="n">
        <v>7</v>
      </c>
      <c r="C50" s="40">
        <f>Raw_Data_IF!B12</f>
        <v/>
      </c>
      <c r="D50" s="18">
        <f>Raw_Data_IF!G12</f>
        <v/>
      </c>
      <c r="E50" s="17">
        <f>Raw_Data_IF!M12</f>
        <v/>
      </c>
      <c r="F50" s="17">
        <f>Raw_Data_IF!G12-MEDIAN(Raw_Data_IF!D12:I12)</f>
        <v/>
      </c>
      <c r="G50" s="17">
        <f>Raw_Data_IF!M12-MEDIAN(Raw_Data_IF!J12:O12)</f>
        <v/>
      </c>
      <c r="H50" s="15">
        <f>Raw_Data_IF!G12/MAX(Raw_Data_IF!M12,cfg_if_i_floor)</f>
        <v/>
      </c>
      <c r="I50" s="17">
        <f>ABS(D50-$V$5)</f>
        <v/>
      </c>
      <c r="J50" s="17">
        <f>ABS(E50-$V$6)</f>
        <v/>
      </c>
      <c r="K50" s="17">
        <f>ABS(F50-$V$7)</f>
        <v/>
      </c>
      <c r="L50" s="17">
        <f>ABS(G50-$V$8)</f>
        <v/>
      </c>
      <c r="M50" s="17">
        <f>ABS(H50-$V$9)</f>
        <v/>
      </c>
      <c r="N50" s="17">
        <f>I50/$X$5</f>
        <v/>
      </c>
      <c r="O50" s="17">
        <f>J50/$X$6</f>
        <v/>
      </c>
      <c r="P50" s="17">
        <f>K50/$X$7</f>
        <v/>
      </c>
      <c r="Q50" s="17">
        <f>L50/$X$8</f>
        <v/>
      </c>
      <c r="R50" s="17">
        <f>M50/$X$9</f>
        <v/>
      </c>
      <c r="S50" s="17">
        <f>MAX(N50:R50)</f>
        <v/>
      </c>
    </row>
    <row r="51">
      <c r="A51" s="5" t="n">
        <v>5</v>
      </c>
      <c r="B51" s="5" t="n">
        <v>7</v>
      </c>
      <c r="C51" s="40">
        <f>Raw_Data_IF!B12</f>
        <v/>
      </c>
      <c r="D51" s="18">
        <f>Raw_Data_IF!H12</f>
        <v/>
      </c>
      <c r="E51" s="17">
        <f>Raw_Data_IF!N12</f>
        <v/>
      </c>
      <c r="F51" s="17">
        <f>Raw_Data_IF!H12-MEDIAN(Raw_Data_IF!D12:I12)</f>
        <v/>
      </c>
      <c r="G51" s="17">
        <f>Raw_Data_IF!N12-MEDIAN(Raw_Data_IF!J12:O12)</f>
        <v/>
      </c>
      <c r="H51" s="15">
        <f>Raw_Data_IF!H12/MAX(Raw_Data_IF!N12,cfg_if_i_floor)</f>
        <v/>
      </c>
      <c r="I51" s="17">
        <f>ABS(D51-$V$5)</f>
        <v/>
      </c>
      <c r="J51" s="17">
        <f>ABS(E51-$V$6)</f>
        <v/>
      </c>
      <c r="K51" s="17">
        <f>ABS(F51-$V$7)</f>
        <v/>
      </c>
      <c r="L51" s="17">
        <f>ABS(G51-$V$8)</f>
        <v/>
      </c>
      <c r="M51" s="17">
        <f>ABS(H51-$V$9)</f>
        <v/>
      </c>
      <c r="N51" s="17">
        <f>I51/$X$5</f>
        <v/>
      </c>
      <c r="O51" s="17">
        <f>J51/$X$6</f>
        <v/>
      </c>
      <c r="P51" s="17">
        <f>K51/$X$7</f>
        <v/>
      </c>
      <c r="Q51" s="17">
        <f>L51/$X$8</f>
        <v/>
      </c>
      <c r="R51" s="17">
        <f>M51/$X$9</f>
        <v/>
      </c>
      <c r="S51" s="17">
        <f>MAX(N51:R51)</f>
        <v/>
      </c>
    </row>
    <row r="52">
      <c r="A52" s="5" t="n">
        <v>6</v>
      </c>
      <c r="B52" s="5" t="n">
        <v>7</v>
      </c>
      <c r="C52" s="40">
        <f>Raw_Data_IF!B12</f>
        <v/>
      </c>
      <c r="D52" s="18">
        <f>Raw_Data_IF!I12</f>
        <v/>
      </c>
      <c r="E52" s="17">
        <f>Raw_Data_IF!O12</f>
        <v/>
      </c>
      <c r="F52" s="17">
        <f>Raw_Data_IF!I12-MEDIAN(Raw_Data_IF!D12:I12)</f>
        <v/>
      </c>
      <c r="G52" s="17">
        <f>Raw_Data_IF!O12-MEDIAN(Raw_Data_IF!J12:O12)</f>
        <v/>
      </c>
      <c r="H52" s="15">
        <f>Raw_Data_IF!I12/MAX(Raw_Data_IF!O12,cfg_if_i_floor)</f>
        <v/>
      </c>
      <c r="I52" s="17">
        <f>ABS(D52-$V$5)</f>
        <v/>
      </c>
      <c r="J52" s="17">
        <f>ABS(E52-$V$6)</f>
        <v/>
      </c>
      <c r="K52" s="17">
        <f>ABS(F52-$V$7)</f>
        <v/>
      </c>
      <c r="L52" s="17">
        <f>ABS(G52-$V$8)</f>
        <v/>
      </c>
      <c r="M52" s="17">
        <f>ABS(H52-$V$9)</f>
        <v/>
      </c>
      <c r="N52" s="17">
        <f>I52/$X$5</f>
        <v/>
      </c>
      <c r="O52" s="17">
        <f>J52/$X$6</f>
        <v/>
      </c>
      <c r="P52" s="17">
        <f>K52/$X$7</f>
        <v/>
      </c>
      <c r="Q52" s="17">
        <f>L52/$X$8</f>
        <v/>
      </c>
      <c r="R52" s="17">
        <f>M52/$X$9</f>
        <v/>
      </c>
      <c r="S52" s="17">
        <f>MAX(N52:R52)</f>
        <v/>
      </c>
    </row>
    <row r="53">
      <c r="A53" s="5" t="n">
        <v>1</v>
      </c>
      <c r="B53" s="5" t="n">
        <v>8</v>
      </c>
      <c r="C53" s="40">
        <f>Raw_Data_IF!B13</f>
        <v/>
      </c>
      <c r="D53" s="18">
        <f>Raw_Data_IF!D13</f>
        <v/>
      </c>
      <c r="E53" s="17">
        <f>Raw_Data_IF!J13</f>
        <v/>
      </c>
      <c r="F53" s="17">
        <f>Raw_Data_IF!D13-MEDIAN(Raw_Data_IF!D13:I13)</f>
        <v/>
      </c>
      <c r="G53" s="17">
        <f>Raw_Data_IF!J13-MEDIAN(Raw_Data_IF!J13:O13)</f>
        <v/>
      </c>
      <c r="H53" s="15">
        <f>Raw_Data_IF!D13/MAX(Raw_Data_IF!J13,cfg_if_i_floor)</f>
        <v/>
      </c>
      <c r="I53" s="17">
        <f>ABS(D53-$V$5)</f>
        <v/>
      </c>
      <c r="J53" s="17">
        <f>ABS(E53-$V$6)</f>
        <v/>
      </c>
      <c r="K53" s="17">
        <f>ABS(F53-$V$7)</f>
        <v/>
      </c>
      <c r="L53" s="17">
        <f>ABS(G53-$V$8)</f>
        <v/>
      </c>
      <c r="M53" s="17">
        <f>ABS(H53-$V$9)</f>
        <v/>
      </c>
      <c r="N53" s="17">
        <f>I53/$X$5</f>
        <v/>
      </c>
      <c r="O53" s="17">
        <f>J53/$X$6</f>
        <v/>
      </c>
      <c r="P53" s="17">
        <f>K53/$X$7</f>
        <v/>
      </c>
      <c r="Q53" s="17">
        <f>L53/$X$8</f>
        <v/>
      </c>
      <c r="R53" s="17">
        <f>M53/$X$9</f>
        <v/>
      </c>
      <c r="S53" s="17">
        <f>MAX(N53:R53)</f>
        <v/>
      </c>
    </row>
    <row r="54">
      <c r="A54" s="5" t="n">
        <v>2</v>
      </c>
      <c r="B54" s="5" t="n">
        <v>8</v>
      </c>
      <c r="C54" s="40">
        <f>Raw_Data_IF!B13</f>
        <v/>
      </c>
      <c r="D54" s="18">
        <f>Raw_Data_IF!E13</f>
        <v/>
      </c>
      <c r="E54" s="17">
        <f>Raw_Data_IF!K13</f>
        <v/>
      </c>
      <c r="F54" s="17">
        <f>Raw_Data_IF!E13-MEDIAN(Raw_Data_IF!D13:I13)</f>
        <v/>
      </c>
      <c r="G54" s="17">
        <f>Raw_Data_IF!K13-MEDIAN(Raw_Data_IF!J13:O13)</f>
        <v/>
      </c>
      <c r="H54" s="15">
        <f>Raw_Data_IF!E13/MAX(Raw_Data_IF!K13,cfg_if_i_floor)</f>
        <v/>
      </c>
      <c r="I54" s="17">
        <f>ABS(D54-$V$5)</f>
        <v/>
      </c>
      <c r="J54" s="17">
        <f>ABS(E54-$V$6)</f>
        <v/>
      </c>
      <c r="K54" s="17">
        <f>ABS(F54-$V$7)</f>
        <v/>
      </c>
      <c r="L54" s="17">
        <f>ABS(G54-$V$8)</f>
        <v/>
      </c>
      <c r="M54" s="17">
        <f>ABS(H54-$V$9)</f>
        <v/>
      </c>
      <c r="N54" s="17">
        <f>I54/$X$5</f>
        <v/>
      </c>
      <c r="O54" s="17">
        <f>J54/$X$6</f>
        <v/>
      </c>
      <c r="P54" s="17">
        <f>K54/$X$7</f>
        <v/>
      </c>
      <c r="Q54" s="17">
        <f>L54/$X$8</f>
        <v/>
      </c>
      <c r="R54" s="17">
        <f>M54/$X$9</f>
        <v/>
      </c>
      <c r="S54" s="17">
        <f>MAX(N54:R54)</f>
        <v/>
      </c>
    </row>
    <row r="55">
      <c r="A55" s="5" t="n">
        <v>3</v>
      </c>
      <c r="B55" s="5" t="n">
        <v>8</v>
      </c>
      <c r="C55" s="40">
        <f>Raw_Data_IF!B13</f>
        <v/>
      </c>
      <c r="D55" s="18">
        <f>Raw_Data_IF!F13</f>
        <v/>
      </c>
      <c r="E55" s="17">
        <f>Raw_Data_IF!L13</f>
        <v/>
      </c>
      <c r="F55" s="17">
        <f>Raw_Data_IF!F13-MEDIAN(Raw_Data_IF!D13:I13)</f>
        <v/>
      </c>
      <c r="G55" s="17">
        <f>Raw_Data_IF!L13-MEDIAN(Raw_Data_IF!J13:O13)</f>
        <v/>
      </c>
      <c r="H55" s="15">
        <f>Raw_Data_IF!F13/MAX(Raw_Data_IF!L13,cfg_if_i_floor)</f>
        <v/>
      </c>
      <c r="I55" s="17">
        <f>ABS(D55-$V$5)</f>
        <v/>
      </c>
      <c r="J55" s="17">
        <f>ABS(E55-$V$6)</f>
        <v/>
      </c>
      <c r="K55" s="17">
        <f>ABS(F55-$V$7)</f>
        <v/>
      </c>
      <c r="L55" s="17">
        <f>ABS(G55-$V$8)</f>
        <v/>
      </c>
      <c r="M55" s="17">
        <f>ABS(H55-$V$9)</f>
        <v/>
      </c>
      <c r="N55" s="17">
        <f>I55/$X$5</f>
        <v/>
      </c>
      <c r="O55" s="17">
        <f>J55/$X$6</f>
        <v/>
      </c>
      <c r="P55" s="17">
        <f>K55/$X$7</f>
        <v/>
      </c>
      <c r="Q55" s="17">
        <f>L55/$X$8</f>
        <v/>
      </c>
      <c r="R55" s="17">
        <f>M55/$X$9</f>
        <v/>
      </c>
      <c r="S55" s="17">
        <f>MAX(N55:R55)</f>
        <v/>
      </c>
    </row>
    <row r="56">
      <c r="A56" s="5" t="n">
        <v>4</v>
      </c>
      <c r="B56" s="5" t="n">
        <v>8</v>
      </c>
      <c r="C56" s="40">
        <f>Raw_Data_IF!B13</f>
        <v/>
      </c>
      <c r="D56" s="18">
        <f>Raw_Data_IF!G13</f>
        <v/>
      </c>
      <c r="E56" s="17">
        <f>Raw_Data_IF!M13</f>
        <v/>
      </c>
      <c r="F56" s="17">
        <f>Raw_Data_IF!G13-MEDIAN(Raw_Data_IF!D13:I13)</f>
        <v/>
      </c>
      <c r="G56" s="17">
        <f>Raw_Data_IF!M13-MEDIAN(Raw_Data_IF!J13:O13)</f>
        <v/>
      </c>
      <c r="H56" s="15">
        <f>Raw_Data_IF!G13/MAX(Raw_Data_IF!M13,cfg_if_i_floor)</f>
        <v/>
      </c>
      <c r="I56" s="17">
        <f>ABS(D56-$V$5)</f>
        <v/>
      </c>
      <c r="J56" s="17">
        <f>ABS(E56-$V$6)</f>
        <v/>
      </c>
      <c r="K56" s="17">
        <f>ABS(F56-$V$7)</f>
        <v/>
      </c>
      <c r="L56" s="17">
        <f>ABS(G56-$V$8)</f>
        <v/>
      </c>
      <c r="M56" s="17">
        <f>ABS(H56-$V$9)</f>
        <v/>
      </c>
      <c r="N56" s="17">
        <f>I56/$X$5</f>
        <v/>
      </c>
      <c r="O56" s="17">
        <f>J56/$X$6</f>
        <v/>
      </c>
      <c r="P56" s="17">
        <f>K56/$X$7</f>
        <v/>
      </c>
      <c r="Q56" s="17">
        <f>L56/$X$8</f>
        <v/>
      </c>
      <c r="R56" s="17">
        <f>M56/$X$9</f>
        <v/>
      </c>
      <c r="S56" s="17">
        <f>MAX(N56:R56)</f>
        <v/>
      </c>
    </row>
    <row r="57">
      <c r="A57" s="5" t="n">
        <v>5</v>
      </c>
      <c r="B57" s="5" t="n">
        <v>8</v>
      </c>
      <c r="C57" s="40">
        <f>Raw_Data_IF!B13</f>
        <v/>
      </c>
      <c r="D57" s="18">
        <f>Raw_Data_IF!H13</f>
        <v/>
      </c>
      <c r="E57" s="17">
        <f>Raw_Data_IF!N13</f>
        <v/>
      </c>
      <c r="F57" s="17">
        <f>Raw_Data_IF!H13-MEDIAN(Raw_Data_IF!D13:I13)</f>
        <v/>
      </c>
      <c r="G57" s="17">
        <f>Raw_Data_IF!N13-MEDIAN(Raw_Data_IF!J13:O13)</f>
        <v/>
      </c>
      <c r="H57" s="15">
        <f>Raw_Data_IF!H13/MAX(Raw_Data_IF!N13,cfg_if_i_floor)</f>
        <v/>
      </c>
      <c r="I57" s="17">
        <f>ABS(D57-$V$5)</f>
        <v/>
      </c>
      <c r="J57" s="17">
        <f>ABS(E57-$V$6)</f>
        <v/>
      </c>
      <c r="K57" s="17">
        <f>ABS(F57-$V$7)</f>
        <v/>
      </c>
      <c r="L57" s="17">
        <f>ABS(G57-$V$8)</f>
        <v/>
      </c>
      <c r="M57" s="17">
        <f>ABS(H57-$V$9)</f>
        <v/>
      </c>
      <c r="N57" s="17">
        <f>I57/$X$5</f>
        <v/>
      </c>
      <c r="O57" s="17">
        <f>J57/$X$6</f>
        <v/>
      </c>
      <c r="P57" s="17">
        <f>K57/$X$7</f>
        <v/>
      </c>
      <c r="Q57" s="17">
        <f>L57/$X$8</f>
        <v/>
      </c>
      <c r="R57" s="17">
        <f>M57/$X$9</f>
        <v/>
      </c>
      <c r="S57" s="17">
        <f>MAX(N57:R57)</f>
        <v/>
      </c>
    </row>
    <row r="58">
      <c r="A58" s="5" t="n">
        <v>6</v>
      </c>
      <c r="B58" s="5" t="n">
        <v>8</v>
      </c>
      <c r="C58" s="40">
        <f>Raw_Data_IF!B13</f>
        <v/>
      </c>
      <c r="D58" s="18">
        <f>Raw_Data_IF!I13</f>
        <v/>
      </c>
      <c r="E58" s="17">
        <f>Raw_Data_IF!O13</f>
        <v/>
      </c>
      <c r="F58" s="17">
        <f>Raw_Data_IF!I13-MEDIAN(Raw_Data_IF!D13:I13)</f>
        <v/>
      </c>
      <c r="G58" s="17">
        <f>Raw_Data_IF!O13-MEDIAN(Raw_Data_IF!J13:O13)</f>
        <v/>
      </c>
      <c r="H58" s="15">
        <f>Raw_Data_IF!I13/MAX(Raw_Data_IF!O13,cfg_if_i_floor)</f>
        <v/>
      </c>
      <c r="I58" s="17">
        <f>ABS(D58-$V$5)</f>
        <v/>
      </c>
      <c r="J58" s="17">
        <f>ABS(E58-$V$6)</f>
        <v/>
      </c>
      <c r="K58" s="17">
        <f>ABS(F58-$V$7)</f>
        <v/>
      </c>
      <c r="L58" s="17">
        <f>ABS(G58-$V$8)</f>
        <v/>
      </c>
      <c r="M58" s="17">
        <f>ABS(H58-$V$9)</f>
        <v/>
      </c>
      <c r="N58" s="17">
        <f>I58/$X$5</f>
        <v/>
      </c>
      <c r="O58" s="17">
        <f>J58/$X$6</f>
        <v/>
      </c>
      <c r="P58" s="17">
        <f>K58/$X$7</f>
        <v/>
      </c>
      <c r="Q58" s="17">
        <f>L58/$X$8</f>
        <v/>
      </c>
      <c r="R58" s="17">
        <f>M58/$X$9</f>
        <v/>
      </c>
      <c r="S58" s="17">
        <f>MAX(N58:R58)</f>
        <v/>
      </c>
    </row>
    <row r="59">
      <c r="A59" s="5" t="n">
        <v>1</v>
      </c>
      <c r="B59" s="5" t="n">
        <v>9</v>
      </c>
      <c r="C59" s="40">
        <f>Raw_Data_IF!B14</f>
        <v/>
      </c>
      <c r="D59" s="18">
        <f>Raw_Data_IF!D14</f>
        <v/>
      </c>
      <c r="E59" s="17">
        <f>Raw_Data_IF!J14</f>
        <v/>
      </c>
      <c r="F59" s="17">
        <f>Raw_Data_IF!D14-MEDIAN(Raw_Data_IF!D14:I14)</f>
        <v/>
      </c>
      <c r="G59" s="17">
        <f>Raw_Data_IF!J14-MEDIAN(Raw_Data_IF!J14:O14)</f>
        <v/>
      </c>
      <c r="H59" s="15">
        <f>Raw_Data_IF!D14/MAX(Raw_Data_IF!J14,cfg_if_i_floor)</f>
        <v/>
      </c>
      <c r="I59" s="17">
        <f>ABS(D59-$V$5)</f>
        <v/>
      </c>
      <c r="J59" s="17">
        <f>ABS(E59-$V$6)</f>
        <v/>
      </c>
      <c r="K59" s="17">
        <f>ABS(F59-$V$7)</f>
        <v/>
      </c>
      <c r="L59" s="17">
        <f>ABS(G59-$V$8)</f>
        <v/>
      </c>
      <c r="M59" s="17">
        <f>ABS(H59-$V$9)</f>
        <v/>
      </c>
      <c r="N59" s="17">
        <f>I59/$X$5</f>
        <v/>
      </c>
      <c r="O59" s="17">
        <f>J59/$X$6</f>
        <v/>
      </c>
      <c r="P59" s="17">
        <f>K59/$X$7</f>
        <v/>
      </c>
      <c r="Q59" s="17">
        <f>L59/$X$8</f>
        <v/>
      </c>
      <c r="R59" s="17">
        <f>M59/$X$9</f>
        <v/>
      </c>
      <c r="S59" s="17">
        <f>MAX(N59:R59)</f>
        <v/>
      </c>
    </row>
    <row r="60">
      <c r="A60" s="5" t="n">
        <v>2</v>
      </c>
      <c r="B60" s="5" t="n">
        <v>9</v>
      </c>
      <c r="C60" s="40">
        <f>Raw_Data_IF!B14</f>
        <v/>
      </c>
      <c r="D60" s="18">
        <f>Raw_Data_IF!E14</f>
        <v/>
      </c>
      <c r="E60" s="17">
        <f>Raw_Data_IF!K14</f>
        <v/>
      </c>
      <c r="F60" s="17">
        <f>Raw_Data_IF!E14-MEDIAN(Raw_Data_IF!D14:I14)</f>
        <v/>
      </c>
      <c r="G60" s="17">
        <f>Raw_Data_IF!K14-MEDIAN(Raw_Data_IF!J14:O14)</f>
        <v/>
      </c>
      <c r="H60" s="15">
        <f>Raw_Data_IF!E14/MAX(Raw_Data_IF!K14,cfg_if_i_floor)</f>
        <v/>
      </c>
      <c r="I60" s="17">
        <f>ABS(D60-$V$5)</f>
        <v/>
      </c>
      <c r="J60" s="17">
        <f>ABS(E60-$V$6)</f>
        <v/>
      </c>
      <c r="K60" s="17">
        <f>ABS(F60-$V$7)</f>
        <v/>
      </c>
      <c r="L60" s="17">
        <f>ABS(G60-$V$8)</f>
        <v/>
      </c>
      <c r="M60" s="17">
        <f>ABS(H60-$V$9)</f>
        <v/>
      </c>
      <c r="N60" s="17">
        <f>I60/$X$5</f>
        <v/>
      </c>
      <c r="O60" s="17">
        <f>J60/$X$6</f>
        <v/>
      </c>
      <c r="P60" s="17">
        <f>K60/$X$7</f>
        <v/>
      </c>
      <c r="Q60" s="17">
        <f>L60/$X$8</f>
        <v/>
      </c>
      <c r="R60" s="17">
        <f>M60/$X$9</f>
        <v/>
      </c>
      <c r="S60" s="17">
        <f>MAX(N60:R60)</f>
        <v/>
      </c>
    </row>
    <row r="61">
      <c r="A61" s="5" t="n">
        <v>3</v>
      </c>
      <c r="B61" s="5" t="n">
        <v>9</v>
      </c>
      <c r="C61" s="40">
        <f>Raw_Data_IF!B14</f>
        <v/>
      </c>
      <c r="D61" s="18">
        <f>Raw_Data_IF!F14</f>
        <v/>
      </c>
      <c r="E61" s="17">
        <f>Raw_Data_IF!L14</f>
        <v/>
      </c>
      <c r="F61" s="17">
        <f>Raw_Data_IF!F14-MEDIAN(Raw_Data_IF!D14:I14)</f>
        <v/>
      </c>
      <c r="G61" s="17">
        <f>Raw_Data_IF!L14-MEDIAN(Raw_Data_IF!J14:O14)</f>
        <v/>
      </c>
      <c r="H61" s="15">
        <f>Raw_Data_IF!F14/MAX(Raw_Data_IF!L14,cfg_if_i_floor)</f>
        <v/>
      </c>
      <c r="I61" s="17">
        <f>ABS(D61-$V$5)</f>
        <v/>
      </c>
      <c r="J61" s="17">
        <f>ABS(E61-$V$6)</f>
        <v/>
      </c>
      <c r="K61" s="17">
        <f>ABS(F61-$V$7)</f>
        <v/>
      </c>
      <c r="L61" s="17">
        <f>ABS(G61-$V$8)</f>
        <v/>
      </c>
      <c r="M61" s="17">
        <f>ABS(H61-$V$9)</f>
        <v/>
      </c>
      <c r="N61" s="17">
        <f>I61/$X$5</f>
        <v/>
      </c>
      <c r="O61" s="17">
        <f>J61/$X$6</f>
        <v/>
      </c>
      <c r="P61" s="17">
        <f>K61/$X$7</f>
        <v/>
      </c>
      <c r="Q61" s="17">
        <f>L61/$X$8</f>
        <v/>
      </c>
      <c r="R61" s="17">
        <f>M61/$X$9</f>
        <v/>
      </c>
      <c r="S61" s="17">
        <f>MAX(N61:R61)</f>
        <v/>
      </c>
    </row>
    <row r="62">
      <c r="A62" s="5" t="n">
        <v>4</v>
      </c>
      <c r="B62" s="5" t="n">
        <v>9</v>
      </c>
      <c r="C62" s="40">
        <f>Raw_Data_IF!B14</f>
        <v/>
      </c>
      <c r="D62" s="18">
        <f>Raw_Data_IF!G14</f>
        <v/>
      </c>
      <c r="E62" s="17">
        <f>Raw_Data_IF!M14</f>
        <v/>
      </c>
      <c r="F62" s="17">
        <f>Raw_Data_IF!G14-MEDIAN(Raw_Data_IF!D14:I14)</f>
        <v/>
      </c>
      <c r="G62" s="17">
        <f>Raw_Data_IF!M14-MEDIAN(Raw_Data_IF!J14:O14)</f>
        <v/>
      </c>
      <c r="H62" s="15">
        <f>Raw_Data_IF!G14/MAX(Raw_Data_IF!M14,cfg_if_i_floor)</f>
        <v/>
      </c>
      <c r="I62" s="17">
        <f>ABS(D62-$V$5)</f>
        <v/>
      </c>
      <c r="J62" s="17">
        <f>ABS(E62-$V$6)</f>
        <v/>
      </c>
      <c r="K62" s="17">
        <f>ABS(F62-$V$7)</f>
        <v/>
      </c>
      <c r="L62" s="17">
        <f>ABS(G62-$V$8)</f>
        <v/>
      </c>
      <c r="M62" s="17">
        <f>ABS(H62-$V$9)</f>
        <v/>
      </c>
      <c r="N62" s="17">
        <f>I62/$X$5</f>
        <v/>
      </c>
      <c r="O62" s="17">
        <f>J62/$X$6</f>
        <v/>
      </c>
      <c r="P62" s="17">
        <f>K62/$X$7</f>
        <v/>
      </c>
      <c r="Q62" s="17">
        <f>L62/$X$8</f>
        <v/>
      </c>
      <c r="R62" s="17">
        <f>M62/$X$9</f>
        <v/>
      </c>
      <c r="S62" s="17">
        <f>MAX(N62:R62)</f>
        <v/>
      </c>
    </row>
    <row r="63">
      <c r="A63" s="5" t="n">
        <v>5</v>
      </c>
      <c r="B63" s="5" t="n">
        <v>9</v>
      </c>
      <c r="C63" s="40">
        <f>Raw_Data_IF!B14</f>
        <v/>
      </c>
      <c r="D63" s="18">
        <f>Raw_Data_IF!H14</f>
        <v/>
      </c>
      <c r="E63" s="17">
        <f>Raw_Data_IF!N14</f>
        <v/>
      </c>
      <c r="F63" s="17">
        <f>Raw_Data_IF!H14-MEDIAN(Raw_Data_IF!D14:I14)</f>
        <v/>
      </c>
      <c r="G63" s="17">
        <f>Raw_Data_IF!N14-MEDIAN(Raw_Data_IF!J14:O14)</f>
        <v/>
      </c>
      <c r="H63" s="15">
        <f>Raw_Data_IF!H14/MAX(Raw_Data_IF!N14,cfg_if_i_floor)</f>
        <v/>
      </c>
      <c r="I63" s="17">
        <f>ABS(D63-$V$5)</f>
        <v/>
      </c>
      <c r="J63" s="17">
        <f>ABS(E63-$V$6)</f>
        <v/>
      </c>
      <c r="K63" s="17">
        <f>ABS(F63-$V$7)</f>
        <v/>
      </c>
      <c r="L63" s="17">
        <f>ABS(G63-$V$8)</f>
        <v/>
      </c>
      <c r="M63" s="17">
        <f>ABS(H63-$V$9)</f>
        <v/>
      </c>
      <c r="N63" s="17">
        <f>I63/$X$5</f>
        <v/>
      </c>
      <c r="O63" s="17">
        <f>J63/$X$6</f>
        <v/>
      </c>
      <c r="P63" s="17">
        <f>K63/$X$7</f>
        <v/>
      </c>
      <c r="Q63" s="17">
        <f>L63/$X$8</f>
        <v/>
      </c>
      <c r="R63" s="17">
        <f>M63/$X$9</f>
        <v/>
      </c>
      <c r="S63" s="17">
        <f>MAX(N63:R63)</f>
        <v/>
      </c>
    </row>
    <row r="64">
      <c r="A64" s="5" t="n">
        <v>6</v>
      </c>
      <c r="B64" s="5" t="n">
        <v>9</v>
      </c>
      <c r="C64" s="40">
        <f>Raw_Data_IF!B14</f>
        <v/>
      </c>
      <c r="D64" s="18">
        <f>Raw_Data_IF!I14</f>
        <v/>
      </c>
      <c r="E64" s="17">
        <f>Raw_Data_IF!O14</f>
        <v/>
      </c>
      <c r="F64" s="17">
        <f>Raw_Data_IF!I14-MEDIAN(Raw_Data_IF!D14:I14)</f>
        <v/>
      </c>
      <c r="G64" s="17">
        <f>Raw_Data_IF!O14-MEDIAN(Raw_Data_IF!J14:O14)</f>
        <v/>
      </c>
      <c r="H64" s="15">
        <f>Raw_Data_IF!I14/MAX(Raw_Data_IF!O14,cfg_if_i_floor)</f>
        <v/>
      </c>
      <c r="I64" s="17">
        <f>ABS(D64-$V$5)</f>
        <v/>
      </c>
      <c r="J64" s="17">
        <f>ABS(E64-$V$6)</f>
        <v/>
      </c>
      <c r="K64" s="17">
        <f>ABS(F64-$V$7)</f>
        <v/>
      </c>
      <c r="L64" s="17">
        <f>ABS(G64-$V$8)</f>
        <v/>
      </c>
      <c r="M64" s="17">
        <f>ABS(H64-$V$9)</f>
        <v/>
      </c>
      <c r="N64" s="17">
        <f>I64/$X$5</f>
        <v/>
      </c>
      <c r="O64" s="17">
        <f>J64/$X$6</f>
        <v/>
      </c>
      <c r="P64" s="17">
        <f>K64/$X$7</f>
        <v/>
      </c>
      <c r="Q64" s="17">
        <f>L64/$X$8</f>
        <v/>
      </c>
      <c r="R64" s="17">
        <f>M64/$X$9</f>
        <v/>
      </c>
      <c r="S64" s="17">
        <f>MAX(N64:R64)</f>
        <v/>
      </c>
    </row>
    <row r="65">
      <c r="A65" s="5" t="n">
        <v>1</v>
      </c>
      <c r="B65" s="5" t="n">
        <v>10</v>
      </c>
      <c r="C65" s="40">
        <f>Raw_Data_IF!B15</f>
        <v/>
      </c>
      <c r="D65" s="18">
        <f>Raw_Data_IF!D15</f>
        <v/>
      </c>
      <c r="E65" s="17">
        <f>Raw_Data_IF!J15</f>
        <v/>
      </c>
      <c r="F65" s="17">
        <f>Raw_Data_IF!D15-MEDIAN(Raw_Data_IF!D15:I15)</f>
        <v/>
      </c>
      <c r="G65" s="17">
        <f>Raw_Data_IF!J15-MEDIAN(Raw_Data_IF!J15:O15)</f>
        <v/>
      </c>
      <c r="H65" s="15">
        <f>Raw_Data_IF!D15/MAX(Raw_Data_IF!J15,cfg_if_i_floor)</f>
        <v/>
      </c>
      <c r="I65" s="17">
        <f>ABS(D65-$V$5)</f>
        <v/>
      </c>
      <c r="J65" s="17">
        <f>ABS(E65-$V$6)</f>
        <v/>
      </c>
      <c r="K65" s="17">
        <f>ABS(F65-$V$7)</f>
        <v/>
      </c>
      <c r="L65" s="17">
        <f>ABS(G65-$V$8)</f>
        <v/>
      </c>
      <c r="M65" s="17">
        <f>ABS(H65-$V$9)</f>
        <v/>
      </c>
      <c r="N65" s="17">
        <f>I65/$X$5</f>
        <v/>
      </c>
      <c r="O65" s="17">
        <f>J65/$X$6</f>
        <v/>
      </c>
      <c r="P65" s="17">
        <f>K65/$X$7</f>
        <v/>
      </c>
      <c r="Q65" s="17">
        <f>L65/$X$8</f>
        <v/>
      </c>
      <c r="R65" s="17">
        <f>M65/$X$9</f>
        <v/>
      </c>
      <c r="S65" s="17">
        <f>MAX(N65:R65)</f>
        <v/>
      </c>
    </row>
    <row r="66">
      <c r="A66" s="5" t="n">
        <v>2</v>
      </c>
      <c r="B66" s="5" t="n">
        <v>10</v>
      </c>
      <c r="C66" s="40">
        <f>Raw_Data_IF!B15</f>
        <v/>
      </c>
      <c r="D66" s="18">
        <f>Raw_Data_IF!E15</f>
        <v/>
      </c>
      <c r="E66" s="17">
        <f>Raw_Data_IF!K15</f>
        <v/>
      </c>
      <c r="F66" s="17">
        <f>Raw_Data_IF!E15-MEDIAN(Raw_Data_IF!D15:I15)</f>
        <v/>
      </c>
      <c r="G66" s="17">
        <f>Raw_Data_IF!K15-MEDIAN(Raw_Data_IF!J15:O15)</f>
        <v/>
      </c>
      <c r="H66" s="15">
        <f>Raw_Data_IF!E15/MAX(Raw_Data_IF!K15,cfg_if_i_floor)</f>
        <v/>
      </c>
      <c r="I66" s="17">
        <f>ABS(D66-$V$5)</f>
        <v/>
      </c>
      <c r="J66" s="17">
        <f>ABS(E66-$V$6)</f>
        <v/>
      </c>
      <c r="K66" s="17">
        <f>ABS(F66-$V$7)</f>
        <v/>
      </c>
      <c r="L66" s="17">
        <f>ABS(G66-$V$8)</f>
        <v/>
      </c>
      <c r="M66" s="17">
        <f>ABS(H66-$V$9)</f>
        <v/>
      </c>
      <c r="N66" s="17">
        <f>I66/$X$5</f>
        <v/>
      </c>
      <c r="O66" s="17">
        <f>J66/$X$6</f>
        <v/>
      </c>
      <c r="P66" s="17">
        <f>K66/$X$7</f>
        <v/>
      </c>
      <c r="Q66" s="17">
        <f>L66/$X$8</f>
        <v/>
      </c>
      <c r="R66" s="17">
        <f>M66/$X$9</f>
        <v/>
      </c>
      <c r="S66" s="17">
        <f>MAX(N66:R66)</f>
        <v/>
      </c>
    </row>
    <row r="67">
      <c r="A67" s="5" t="n">
        <v>3</v>
      </c>
      <c r="B67" s="5" t="n">
        <v>10</v>
      </c>
      <c r="C67" s="40">
        <f>Raw_Data_IF!B15</f>
        <v/>
      </c>
      <c r="D67" s="18">
        <f>Raw_Data_IF!F15</f>
        <v/>
      </c>
      <c r="E67" s="17">
        <f>Raw_Data_IF!L15</f>
        <v/>
      </c>
      <c r="F67" s="17">
        <f>Raw_Data_IF!F15-MEDIAN(Raw_Data_IF!D15:I15)</f>
        <v/>
      </c>
      <c r="G67" s="17">
        <f>Raw_Data_IF!L15-MEDIAN(Raw_Data_IF!J15:O15)</f>
        <v/>
      </c>
      <c r="H67" s="15">
        <f>Raw_Data_IF!F15/MAX(Raw_Data_IF!L15,cfg_if_i_floor)</f>
        <v/>
      </c>
      <c r="I67" s="17">
        <f>ABS(D67-$V$5)</f>
        <v/>
      </c>
      <c r="J67" s="17">
        <f>ABS(E67-$V$6)</f>
        <v/>
      </c>
      <c r="K67" s="17">
        <f>ABS(F67-$V$7)</f>
        <v/>
      </c>
      <c r="L67" s="17">
        <f>ABS(G67-$V$8)</f>
        <v/>
      </c>
      <c r="M67" s="17">
        <f>ABS(H67-$V$9)</f>
        <v/>
      </c>
      <c r="N67" s="17">
        <f>I67/$X$5</f>
        <v/>
      </c>
      <c r="O67" s="17">
        <f>J67/$X$6</f>
        <v/>
      </c>
      <c r="P67" s="17">
        <f>K67/$X$7</f>
        <v/>
      </c>
      <c r="Q67" s="17">
        <f>L67/$X$8</f>
        <v/>
      </c>
      <c r="R67" s="17">
        <f>M67/$X$9</f>
        <v/>
      </c>
      <c r="S67" s="17">
        <f>MAX(N67:R67)</f>
        <v/>
      </c>
    </row>
    <row r="68">
      <c r="A68" s="5" t="n">
        <v>4</v>
      </c>
      <c r="B68" s="5" t="n">
        <v>10</v>
      </c>
      <c r="C68" s="40">
        <f>Raw_Data_IF!B15</f>
        <v/>
      </c>
      <c r="D68" s="18">
        <f>Raw_Data_IF!G15</f>
        <v/>
      </c>
      <c r="E68" s="17">
        <f>Raw_Data_IF!M15</f>
        <v/>
      </c>
      <c r="F68" s="17">
        <f>Raw_Data_IF!G15-MEDIAN(Raw_Data_IF!D15:I15)</f>
        <v/>
      </c>
      <c r="G68" s="17">
        <f>Raw_Data_IF!M15-MEDIAN(Raw_Data_IF!J15:O15)</f>
        <v/>
      </c>
      <c r="H68" s="15">
        <f>Raw_Data_IF!G15/MAX(Raw_Data_IF!M15,cfg_if_i_floor)</f>
        <v/>
      </c>
      <c r="I68" s="17">
        <f>ABS(D68-$V$5)</f>
        <v/>
      </c>
      <c r="J68" s="17">
        <f>ABS(E68-$V$6)</f>
        <v/>
      </c>
      <c r="K68" s="17">
        <f>ABS(F68-$V$7)</f>
        <v/>
      </c>
      <c r="L68" s="17">
        <f>ABS(G68-$V$8)</f>
        <v/>
      </c>
      <c r="M68" s="17">
        <f>ABS(H68-$V$9)</f>
        <v/>
      </c>
      <c r="N68" s="17">
        <f>I68/$X$5</f>
        <v/>
      </c>
      <c r="O68" s="17">
        <f>J68/$X$6</f>
        <v/>
      </c>
      <c r="P68" s="17">
        <f>K68/$X$7</f>
        <v/>
      </c>
      <c r="Q68" s="17">
        <f>L68/$X$8</f>
        <v/>
      </c>
      <c r="R68" s="17">
        <f>M68/$X$9</f>
        <v/>
      </c>
      <c r="S68" s="17">
        <f>MAX(N68:R68)</f>
        <v/>
      </c>
    </row>
    <row r="69">
      <c r="A69" s="5" t="n">
        <v>5</v>
      </c>
      <c r="B69" s="5" t="n">
        <v>10</v>
      </c>
      <c r="C69" s="40">
        <f>Raw_Data_IF!B15</f>
        <v/>
      </c>
      <c r="D69" s="18">
        <f>Raw_Data_IF!H15</f>
        <v/>
      </c>
      <c r="E69" s="17">
        <f>Raw_Data_IF!N15</f>
        <v/>
      </c>
      <c r="F69" s="17">
        <f>Raw_Data_IF!H15-MEDIAN(Raw_Data_IF!D15:I15)</f>
        <v/>
      </c>
      <c r="G69" s="17">
        <f>Raw_Data_IF!N15-MEDIAN(Raw_Data_IF!J15:O15)</f>
        <v/>
      </c>
      <c r="H69" s="15">
        <f>Raw_Data_IF!H15/MAX(Raw_Data_IF!N15,cfg_if_i_floor)</f>
        <v/>
      </c>
      <c r="I69" s="17">
        <f>ABS(D69-$V$5)</f>
        <v/>
      </c>
      <c r="J69" s="17">
        <f>ABS(E69-$V$6)</f>
        <v/>
      </c>
      <c r="K69" s="17">
        <f>ABS(F69-$V$7)</f>
        <v/>
      </c>
      <c r="L69" s="17">
        <f>ABS(G69-$V$8)</f>
        <v/>
      </c>
      <c r="M69" s="17">
        <f>ABS(H69-$V$9)</f>
        <v/>
      </c>
      <c r="N69" s="17">
        <f>I69/$X$5</f>
        <v/>
      </c>
      <c r="O69" s="17">
        <f>J69/$X$6</f>
        <v/>
      </c>
      <c r="P69" s="17">
        <f>K69/$X$7</f>
        <v/>
      </c>
      <c r="Q69" s="17">
        <f>L69/$X$8</f>
        <v/>
      </c>
      <c r="R69" s="17">
        <f>M69/$X$9</f>
        <v/>
      </c>
      <c r="S69" s="17">
        <f>MAX(N69:R69)</f>
        <v/>
      </c>
    </row>
    <row r="70">
      <c r="A70" s="5" t="n">
        <v>6</v>
      </c>
      <c r="B70" s="5" t="n">
        <v>10</v>
      </c>
      <c r="C70" s="40">
        <f>Raw_Data_IF!B15</f>
        <v/>
      </c>
      <c r="D70" s="18">
        <f>Raw_Data_IF!I15</f>
        <v/>
      </c>
      <c r="E70" s="17">
        <f>Raw_Data_IF!O15</f>
        <v/>
      </c>
      <c r="F70" s="17">
        <f>Raw_Data_IF!I15-MEDIAN(Raw_Data_IF!D15:I15)</f>
        <v/>
      </c>
      <c r="G70" s="17">
        <f>Raw_Data_IF!O15-MEDIAN(Raw_Data_IF!J15:O15)</f>
        <v/>
      </c>
      <c r="H70" s="15">
        <f>Raw_Data_IF!I15/MAX(Raw_Data_IF!O15,cfg_if_i_floor)</f>
        <v/>
      </c>
      <c r="I70" s="17">
        <f>ABS(D70-$V$5)</f>
        <v/>
      </c>
      <c r="J70" s="17">
        <f>ABS(E70-$V$6)</f>
        <v/>
      </c>
      <c r="K70" s="17">
        <f>ABS(F70-$V$7)</f>
        <v/>
      </c>
      <c r="L70" s="17">
        <f>ABS(G70-$V$8)</f>
        <v/>
      </c>
      <c r="M70" s="17">
        <f>ABS(H70-$V$9)</f>
        <v/>
      </c>
      <c r="N70" s="17">
        <f>I70/$X$5</f>
        <v/>
      </c>
      <c r="O70" s="17">
        <f>J70/$X$6</f>
        <v/>
      </c>
      <c r="P70" s="17">
        <f>K70/$X$7</f>
        <v/>
      </c>
      <c r="Q70" s="17">
        <f>L70/$X$8</f>
        <v/>
      </c>
      <c r="R70" s="17">
        <f>M70/$X$9</f>
        <v/>
      </c>
      <c r="S70" s="17">
        <f>MAX(N70:R70)</f>
        <v/>
      </c>
    </row>
    <row r="71">
      <c r="A71" s="5" t="n">
        <v>1</v>
      </c>
      <c r="B71" s="5" t="n">
        <v>11</v>
      </c>
      <c r="C71" s="40">
        <f>Raw_Data_IF!B16</f>
        <v/>
      </c>
      <c r="D71" s="18">
        <f>Raw_Data_IF!D16</f>
        <v/>
      </c>
      <c r="E71" s="17">
        <f>Raw_Data_IF!J16</f>
        <v/>
      </c>
      <c r="F71" s="17">
        <f>Raw_Data_IF!D16-MEDIAN(Raw_Data_IF!D16:I16)</f>
        <v/>
      </c>
      <c r="G71" s="17">
        <f>Raw_Data_IF!J16-MEDIAN(Raw_Data_IF!J16:O16)</f>
        <v/>
      </c>
      <c r="H71" s="15">
        <f>Raw_Data_IF!D16/MAX(Raw_Data_IF!J16,cfg_if_i_floor)</f>
        <v/>
      </c>
      <c r="I71" s="17">
        <f>ABS(D71-$V$5)</f>
        <v/>
      </c>
      <c r="J71" s="17">
        <f>ABS(E71-$V$6)</f>
        <v/>
      </c>
      <c r="K71" s="17">
        <f>ABS(F71-$V$7)</f>
        <v/>
      </c>
      <c r="L71" s="17">
        <f>ABS(G71-$V$8)</f>
        <v/>
      </c>
      <c r="M71" s="17">
        <f>ABS(H71-$V$9)</f>
        <v/>
      </c>
      <c r="N71" s="17">
        <f>I71/$X$5</f>
        <v/>
      </c>
      <c r="O71" s="17">
        <f>J71/$X$6</f>
        <v/>
      </c>
      <c r="P71" s="17">
        <f>K71/$X$7</f>
        <v/>
      </c>
      <c r="Q71" s="17">
        <f>L71/$X$8</f>
        <v/>
      </c>
      <c r="R71" s="17">
        <f>M71/$X$9</f>
        <v/>
      </c>
      <c r="S71" s="17">
        <f>MAX(N71:R71)</f>
        <v/>
      </c>
    </row>
    <row r="72">
      <c r="A72" s="5" t="n">
        <v>2</v>
      </c>
      <c r="B72" s="5" t="n">
        <v>11</v>
      </c>
      <c r="C72" s="40">
        <f>Raw_Data_IF!B16</f>
        <v/>
      </c>
      <c r="D72" s="18">
        <f>Raw_Data_IF!E16</f>
        <v/>
      </c>
      <c r="E72" s="17">
        <f>Raw_Data_IF!K16</f>
        <v/>
      </c>
      <c r="F72" s="17">
        <f>Raw_Data_IF!E16-MEDIAN(Raw_Data_IF!D16:I16)</f>
        <v/>
      </c>
      <c r="G72" s="17">
        <f>Raw_Data_IF!K16-MEDIAN(Raw_Data_IF!J16:O16)</f>
        <v/>
      </c>
      <c r="H72" s="15">
        <f>Raw_Data_IF!E16/MAX(Raw_Data_IF!K16,cfg_if_i_floor)</f>
        <v/>
      </c>
      <c r="I72" s="17">
        <f>ABS(D72-$V$5)</f>
        <v/>
      </c>
      <c r="J72" s="17">
        <f>ABS(E72-$V$6)</f>
        <v/>
      </c>
      <c r="K72" s="17">
        <f>ABS(F72-$V$7)</f>
        <v/>
      </c>
      <c r="L72" s="17">
        <f>ABS(G72-$V$8)</f>
        <v/>
      </c>
      <c r="M72" s="17">
        <f>ABS(H72-$V$9)</f>
        <v/>
      </c>
      <c r="N72" s="17">
        <f>I72/$X$5</f>
        <v/>
      </c>
      <c r="O72" s="17">
        <f>J72/$X$6</f>
        <v/>
      </c>
      <c r="P72" s="17">
        <f>K72/$X$7</f>
        <v/>
      </c>
      <c r="Q72" s="17">
        <f>L72/$X$8</f>
        <v/>
      </c>
      <c r="R72" s="17">
        <f>M72/$X$9</f>
        <v/>
      </c>
      <c r="S72" s="17">
        <f>MAX(N72:R72)</f>
        <v/>
      </c>
    </row>
    <row r="73">
      <c r="A73" s="5" t="n">
        <v>3</v>
      </c>
      <c r="B73" s="5" t="n">
        <v>11</v>
      </c>
      <c r="C73" s="40">
        <f>Raw_Data_IF!B16</f>
        <v/>
      </c>
      <c r="D73" s="18">
        <f>Raw_Data_IF!F16</f>
        <v/>
      </c>
      <c r="E73" s="17">
        <f>Raw_Data_IF!L16</f>
        <v/>
      </c>
      <c r="F73" s="17">
        <f>Raw_Data_IF!F16-MEDIAN(Raw_Data_IF!D16:I16)</f>
        <v/>
      </c>
      <c r="G73" s="17">
        <f>Raw_Data_IF!L16-MEDIAN(Raw_Data_IF!J16:O16)</f>
        <v/>
      </c>
      <c r="H73" s="15">
        <f>Raw_Data_IF!F16/MAX(Raw_Data_IF!L16,cfg_if_i_floor)</f>
        <v/>
      </c>
      <c r="I73" s="17">
        <f>ABS(D73-$V$5)</f>
        <v/>
      </c>
      <c r="J73" s="17">
        <f>ABS(E73-$V$6)</f>
        <v/>
      </c>
      <c r="K73" s="17">
        <f>ABS(F73-$V$7)</f>
        <v/>
      </c>
      <c r="L73" s="17">
        <f>ABS(G73-$V$8)</f>
        <v/>
      </c>
      <c r="M73" s="17">
        <f>ABS(H73-$V$9)</f>
        <v/>
      </c>
      <c r="N73" s="17">
        <f>I73/$X$5</f>
        <v/>
      </c>
      <c r="O73" s="17">
        <f>J73/$X$6</f>
        <v/>
      </c>
      <c r="P73" s="17">
        <f>K73/$X$7</f>
        <v/>
      </c>
      <c r="Q73" s="17">
        <f>L73/$X$8</f>
        <v/>
      </c>
      <c r="R73" s="17">
        <f>M73/$X$9</f>
        <v/>
      </c>
      <c r="S73" s="17">
        <f>MAX(N73:R73)</f>
        <v/>
      </c>
    </row>
    <row r="74">
      <c r="A74" s="5" t="n">
        <v>4</v>
      </c>
      <c r="B74" s="5" t="n">
        <v>11</v>
      </c>
      <c r="C74" s="40">
        <f>Raw_Data_IF!B16</f>
        <v/>
      </c>
      <c r="D74" s="18">
        <f>Raw_Data_IF!G16</f>
        <v/>
      </c>
      <c r="E74" s="17">
        <f>Raw_Data_IF!M16</f>
        <v/>
      </c>
      <c r="F74" s="17">
        <f>Raw_Data_IF!G16-MEDIAN(Raw_Data_IF!D16:I16)</f>
        <v/>
      </c>
      <c r="G74" s="17">
        <f>Raw_Data_IF!M16-MEDIAN(Raw_Data_IF!J16:O16)</f>
        <v/>
      </c>
      <c r="H74" s="15">
        <f>Raw_Data_IF!G16/MAX(Raw_Data_IF!M16,cfg_if_i_floor)</f>
        <v/>
      </c>
      <c r="I74" s="17">
        <f>ABS(D74-$V$5)</f>
        <v/>
      </c>
      <c r="J74" s="17">
        <f>ABS(E74-$V$6)</f>
        <v/>
      </c>
      <c r="K74" s="17">
        <f>ABS(F74-$V$7)</f>
        <v/>
      </c>
      <c r="L74" s="17">
        <f>ABS(G74-$V$8)</f>
        <v/>
      </c>
      <c r="M74" s="17">
        <f>ABS(H74-$V$9)</f>
        <v/>
      </c>
      <c r="N74" s="17">
        <f>I74/$X$5</f>
        <v/>
      </c>
      <c r="O74" s="17">
        <f>J74/$X$6</f>
        <v/>
      </c>
      <c r="P74" s="17">
        <f>K74/$X$7</f>
        <v/>
      </c>
      <c r="Q74" s="17">
        <f>L74/$X$8</f>
        <v/>
      </c>
      <c r="R74" s="17">
        <f>M74/$X$9</f>
        <v/>
      </c>
      <c r="S74" s="17">
        <f>MAX(N74:R74)</f>
        <v/>
      </c>
    </row>
    <row r="75">
      <c r="A75" s="5" t="n">
        <v>5</v>
      </c>
      <c r="B75" s="5" t="n">
        <v>11</v>
      </c>
      <c r="C75" s="40">
        <f>Raw_Data_IF!B16</f>
        <v/>
      </c>
      <c r="D75" s="18">
        <f>Raw_Data_IF!H16</f>
        <v/>
      </c>
      <c r="E75" s="17">
        <f>Raw_Data_IF!N16</f>
        <v/>
      </c>
      <c r="F75" s="17">
        <f>Raw_Data_IF!H16-MEDIAN(Raw_Data_IF!D16:I16)</f>
        <v/>
      </c>
      <c r="G75" s="17">
        <f>Raw_Data_IF!N16-MEDIAN(Raw_Data_IF!J16:O16)</f>
        <v/>
      </c>
      <c r="H75" s="15">
        <f>Raw_Data_IF!H16/MAX(Raw_Data_IF!N16,cfg_if_i_floor)</f>
        <v/>
      </c>
      <c r="I75" s="17">
        <f>ABS(D75-$V$5)</f>
        <v/>
      </c>
      <c r="J75" s="17">
        <f>ABS(E75-$V$6)</f>
        <v/>
      </c>
      <c r="K75" s="17">
        <f>ABS(F75-$V$7)</f>
        <v/>
      </c>
      <c r="L75" s="17">
        <f>ABS(G75-$V$8)</f>
        <v/>
      </c>
      <c r="M75" s="17">
        <f>ABS(H75-$V$9)</f>
        <v/>
      </c>
      <c r="N75" s="17">
        <f>I75/$X$5</f>
        <v/>
      </c>
      <c r="O75" s="17">
        <f>J75/$X$6</f>
        <v/>
      </c>
      <c r="P75" s="17">
        <f>K75/$X$7</f>
        <v/>
      </c>
      <c r="Q75" s="17">
        <f>L75/$X$8</f>
        <v/>
      </c>
      <c r="R75" s="17">
        <f>M75/$X$9</f>
        <v/>
      </c>
      <c r="S75" s="17">
        <f>MAX(N75:R75)</f>
        <v/>
      </c>
    </row>
    <row r="76">
      <c r="A76" s="5" t="n">
        <v>6</v>
      </c>
      <c r="B76" s="5" t="n">
        <v>11</v>
      </c>
      <c r="C76" s="40">
        <f>Raw_Data_IF!B16</f>
        <v/>
      </c>
      <c r="D76" s="18">
        <f>Raw_Data_IF!I16</f>
        <v/>
      </c>
      <c r="E76" s="17">
        <f>Raw_Data_IF!O16</f>
        <v/>
      </c>
      <c r="F76" s="17">
        <f>Raw_Data_IF!I16-MEDIAN(Raw_Data_IF!D16:I16)</f>
        <v/>
      </c>
      <c r="G76" s="17">
        <f>Raw_Data_IF!O16-MEDIAN(Raw_Data_IF!J16:O16)</f>
        <v/>
      </c>
      <c r="H76" s="15">
        <f>Raw_Data_IF!I16/MAX(Raw_Data_IF!O16,cfg_if_i_floor)</f>
        <v/>
      </c>
      <c r="I76" s="17">
        <f>ABS(D76-$V$5)</f>
        <v/>
      </c>
      <c r="J76" s="17">
        <f>ABS(E76-$V$6)</f>
        <v/>
      </c>
      <c r="K76" s="17">
        <f>ABS(F76-$V$7)</f>
        <v/>
      </c>
      <c r="L76" s="17">
        <f>ABS(G76-$V$8)</f>
        <v/>
      </c>
      <c r="M76" s="17">
        <f>ABS(H76-$V$9)</f>
        <v/>
      </c>
      <c r="N76" s="17">
        <f>I76/$X$5</f>
        <v/>
      </c>
      <c r="O76" s="17">
        <f>J76/$X$6</f>
        <v/>
      </c>
      <c r="P76" s="17">
        <f>K76/$X$7</f>
        <v/>
      </c>
      <c r="Q76" s="17">
        <f>L76/$X$8</f>
        <v/>
      </c>
      <c r="R76" s="17">
        <f>M76/$X$9</f>
        <v/>
      </c>
      <c r="S76" s="17">
        <f>MAX(N76:R76)</f>
        <v/>
      </c>
    </row>
    <row r="77">
      <c r="A77" s="5" t="n">
        <v>1</v>
      </c>
      <c r="B77" s="5" t="n">
        <v>12</v>
      </c>
      <c r="C77" s="40">
        <f>Raw_Data_IF!B17</f>
        <v/>
      </c>
      <c r="D77" s="18">
        <f>Raw_Data_IF!D17</f>
        <v/>
      </c>
      <c r="E77" s="17">
        <f>Raw_Data_IF!J17</f>
        <v/>
      </c>
      <c r="F77" s="17">
        <f>Raw_Data_IF!D17-MEDIAN(Raw_Data_IF!D17:I17)</f>
        <v/>
      </c>
      <c r="G77" s="17">
        <f>Raw_Data_IF!J17-MEDIAN(Raw_Data_IF!J17:O17)</f>
        <v/>
      </c>
      <c r="H77" s="15">
        <f>Raw_Data_IF!D17/MAX(Raw_Data_IF!J17,cfg_if_i_floor)</f>
        <v/>
      </c>
      <c r="I77" s="17">
        <f>ABS(D77-$V$5)</f>
        <v/>
      </c>
      <c r="J77" s="17">
        <f>ABS(E77-$V$6)</f>
        <v/>
      </c>
      <c r="K77" s="17">
        <f>ABS(F77-$V$7)</f>
        <v/>
      </c>
      <c r="L77" s="17">
        <f>ABS(G77-$V$8)</f>
        <v/>
      </c>
      <c r="M77" s="17">
        <f>ABS(H77-$V$9)</f>
        <v/>
      </c>
      <c r="N77" s="17">
        <f>I77/$X$5</f>
        <v/>
      </c>
      <c r="O77" s="17">
        <f>J77/$X$6</f>
        <v/>
      </c>
      <c r="P77" s="17">
        <f>K77/$X$7</f>
        <v/>
      </c>
      <c r="Q77" s="17">
        <f>L77/$X$8</f>
        <v/>
      </c>
      <c r="R77" s="17">
        <f>M77/$X$9</f>
        <v/>
      </c>
      <c r="S77" s="17">
        <f>MAX(N77:R77)</f>
        <v/>
      </c>
    </row>
    <row r="78">
      <c r="A78" s="5" t="n">
        <v>2</v>
      </c>
      <c r="B78" s="5" t="n">
        <v>12</v>
      </c>
      <c r="C78" s="40">
        <f>Raw_Data_IF!B17</f>
        <v/>
      </c>
      <c r="D78" s="18">
        <f>Raw_Data_IF!E17</f>
        <v/>
      </c>
      <c r="E78" s="17">
        <f>Raw_Data_IF!K17</f>
        <v/>
      </c>
      <c r="F78" s="17">
        <f>Raw_Data_IF!E17-MEDIAN(Raw_Data_IF!D17:I17)</f>
        <v/>
      </c>
      <c r="G78" s="17">
        <f>Raw_Data_IF!K17-MEDIAN(Raw_Data_IF!J17:O17)</f>
        <v/>
      </c>
      <c r="H78" s="15">
        <f>Raw_Data_IF!E17/MAX(Raw_Data_IF!K17,cfg_if_i_floor)</f>
        <v/>
      </c>
      <c r="I78" s="17">
        <f>ABS(D78-$V$5)</f>
        <v/>
      </c>
      <c r="J78" s="17">
        <f>ABS(E78-$V$6)</f>
        <v/>
      </c>
      <c r="K78" s="17">
        <f>ABS(F78-$V$7)</f>
        <v/>
      </c>
      <c r="L78" s="17">
        <f>ABS(G78-$V$8)</f>
        <v/>
      </c>
      <c r="M78" s="17">
        <f>ABS(H78-$V$9)</f>
        <v/>
      </c>
      <c r="N78" s="17">
        <f>I78/$X$5</f>
        <v/>
      </c>
      <c r="O78" s="17">
        <f>J78/$X$6</f>
        <v/>
      </c>
      <c r="P78" s="17">
        <f>K78/$X$7</f>
        <v/>
      </c>
      <c r="Q78" s="17">
        <f>L78/$X$8</f>
        <v/>
      </c>
      <c r="R78" s="17">
        <f>M78/$X$9</f>
        <v/>
      </c>
      <c r="S78" s="17">
        <f>MAX(N78:R78)</f>
        <v/>
      </c>
    </row>
    <row r="79">
      <c r="A79" s="5" t="n">
        <v>3</v>
      </c>
      <c r="B79" s="5" t="n">
        <v>12</v>
      </c>
      <c r="C79" s="40">
        <f>Raw_Data_IF!B17</f>
        <v/>
      </c>
      <c r="D79" s="18">
        <f>Raw_Data_IF!F17</f>
        <v/>
      </c>
      <c r="E79" s="17">
        <f>Raw_Data_IF!L17</f>
        <v/>
      </c>
      <c r="F79" s="17">
        <f>Raw_Data_IF!F17-MEDIAN(Raw_Data_IF!D17:I17)</f>
        <v/>
      </c>
      <c r="G79" s="17">
        <f>Raw_Data_IF!L17-MEDIAN(Raw_Data_IF!J17:O17)</f>
        <v/>
      </c>
      <c r="H79" s="15">
        <f>Raw_Data_IF!F17/MAX(Raw_Data_IF!L17,cfg_if_i_floor)</f>
        <v/>
      </c>
      <c r="I79" s="17">
        <f>ABS(D79-$V$5)</f>
        <v/>
      </c>
      <c r="J79" s="17">
        <f>ABS(E79-$V$6)</f>
        <v/>
      </c>
      <c r="K79" s="17">
        <f>ABS(F79-$V$7)</f>
        <v/>
      </c>
      <c r="L79" s="17">
        <f>ABS(G79-$V$8)</f>
        <v/>
      </c>
      <c r="M79" s="17">
        <f>ABS(H79-$V$9)</f>
        <v/>
      </c>
      <c r="N79" s="17">
        <f>I79/$X$5</f>
        <v/>
      </c>
      <c r="O79" s="17">
        <f>J79/$X$6</f>
        <v/>
      </c>
      <c r="P79" s="17">
        <f>K79/$X$7</f>
        <v/>
      </c>
      <c r="Q79" s="17">
        <f>L79/$X$8</f>
        <v/>
      </c>
      <c r="R79" s="17">
        <f>M79/$X$9</f>
        <v/>
      </c>
      <c r="S79" s="17">
        <f>MAX(N79:R79)</f>
        <v/>
      </c>
    </row>
    <row r="80">
      <c r="A80" s="5" t="n">
        <v>4</v>
      </c>
      <c r="B80" s="5" t="n">
        <v>12</v>
      </c>
      <c r="C80" s="40">
        <f>Raw_Data_IF!B17</f>
        <v/>
      </c>
      <c r="D80" s="18">
        <f>Raw_Data_IF!G17</f>
        <v/>
      </c>
      <c r="E80" s="17">
        <f>Raw_Data_IF!M17</f>
        <v/>
      </c>
      <c r="F80" s="17">
        <f>Raw_Data_IF!G17-MEDIAN(Raw_Data_IF!D17:I17)</f>
        <v/>
      </c>
      <c r="G80" s="17">
        <f>Raw_Data_IF!M17-MEDIAN(Raw_Data_IF!J17:O17)</f>
        <v/>
      </c>
      <c r="H80" s="15">
        <f>Raw_Data_IF!G17/MAX(Raw_Data_IF!M17,cfg_if_i_floor)</f>
        <v/>
      </c>
      <c r="I80" s="17">
        <f>ABS(D80-$V$5)</f>
        <v/>
      </c>
      <c r="J80" s="17">
        <f>ABS(E80-$V$6)</f>
        <v/>
      </c>
      <c r="K80" s="17">
        <f>ABS(F80-$V$7)</f>
        <v/>
      </c>
      <c r="L80" s="17">
        <f>ABS(G80-$V$8)</f>
        <v/>
      </c>
      <c r="M80" s="17">
        <f>ABS(H80-$V$9)</f>
        <v/>
      </c>
      <c r="N80" s="17">
        <f>I80/$X$5</f>
        <v/>
      </c>
      <c r="O80" s="17">
        <f>J80/$X$6</f>
        <v/>
      </c>
      <c r="P80" s="17">
        <f>K80/$X$7</f>
        <v/>
      </c>
      <c r="Q80" s="17">
        <f>L80/$X$8</f>
        <v/>
      </c>
      <c r="R80" s="17">
        <f>M80/$X$9</f>
        <v/>
      </c>
      <c r="S80" s="17">
        <f>MAX(N80:R80)</f>
        <v/>
      </c>
    </row>
    <row r="81">
      <c r="A81" s="5" t="n">
        <v>5</v>
      </c>
      <c r="B81" s="5" t="n">
        <v>12</v>
      </c>
      <c r="C81" s="40">
        <f>Raw_Data_IF!B17</f>
        <v/>
      </c>
      <c r="D81" s="18">
        <f>Raw_Data_IF!H17</f>
        <v/>
      </c>
      <c r="E81" s="17">
        <f>Raw_Data_IF!N17</f>
        <v/>
      </c>
      <c r="F81" s="17">
        <f>Raw_Data_IF!H17-MEDIAN(Raw_Data_IF!D17:I17)</f>
        <v/>
      </c>
      <c r="G81" s="17">
        <f>Raw_Data_IF!N17-MEDIAN(Raw_Data_IF!J17:O17)</f>
        <v/>
      </c>
      <c r="H81" s="15">
        <f>Raw_Data_IF!H17/MAX(Raw_Data_IF!N17,cfg_if_i_floor)</f>
        <v/>
      </c>
      <c r="I81" s="17">
        <f>ABS(D81-$V$5)</f>
        <v/>
      </c>
      <c r="J81" s="17">
        <f>ABS(E81-$V$6)</f>
        <v/>
      </c>
      <c r="K81" s="17">
        <f>ABS(F81-$V$7)</f>
        <v/>
      </c>
      <c r="L81" s="17">
        <f>ABS(G81-$V$8)</f>
        <v/>
      </c>
      <c r="M81" s="17">
        <f>ABS(H81-$V$9)</f>
        <v/>
      </c>
      <c r="N81" s="17">
        <f>I81/$X$5</f>
        <v/>
      </c>
      <c r="O81" s="17">
        <f>J81/$X$6</f>
        <v/>
      </c>
      <c r="P81" s="17">
        <f>K81/$X$7</f>
        <v/>
      </c>
      <c r="Q81" s="17">
        <f>L81/$X$8</f>
        <v/>
      </c>
      <c r="R81" s="17">
        <f>M81/$X$9</f>
        <v/>
      </c>
      <c r="S81" s="17">
        <f>MAX(N81:R81)</f>
        <v/>
      </c>
    </row>
    <row r="82">
      <c r="A82" s="5" t="n">
        <v>6</v>
      </c>
      <c r="B82" s="5" t="n">
        <v>12</v>
      </c>
      <c r="C82" s="40">
        <f>Raw_Data_IF!B17</f>
        <v/>
      </c>
      <c r="D82" s="18">
        <f>Raw_Data_IF!I17</f>
        <v/>
      </c>
      <c r="E82" s="17">
        <f>Raw_Data_IF!O17</f>
        <v/>
      </c>
      <c r="F82" s="17">
        <f>Raw_Data_IF!I17-MEDIAN(Raw_Data_IF!D17:I17)</f>
        <v/>
      </c>
      <c r="G82" s="17">
        <f>Raw_Data_IF!O17-MEDIAN(Raw_Data_IF!J17:O17)</f>
        <v/>
      </c>
      <c r="H82" s="15">
        <f>Raw_Data_IF!I17/MAX(Raw_Data_IF!O17,cfg_if_i_floor)</f>
        <v/>
      </c>
      <c r="I82" s="17">
        <f>ABS(D82-$V$5)</f>
        <v/>
      </c>
      <c r="J82" s="17">
        <f>ABS(E82-$V$6)</f>
        <v/>
      </c>
      <c r="K82" s="17">
        <f>ABS(F82-$V$7)</f>
        <v/>
      </c>
      <c r="L82" s="17">
        <f>ABS(G82-$V$8)</f>
        <v/>
      </c>
      <c r="M82" s="17">
        <f>ABS(H82-$V$9)</f>
        <v/>
      </c>
      <c r="N82" s="17">
        <f>I82/$X$5</f>
        <v/>
      </c>
      <c r="O82" s="17">
        <f>J82/$X$6</f>
        <v/>
      </c>
      <c r="P82" s="17">
        <f>K82/$X$7</f>
        <v/>
      </c>
      <c r="Q82" s="17">
        <f>L82/$X$8</f>
        <v/>
      </c>
      <c r="R82" s="17">
        <f>M82/$X$9</f>
        <v/>
      </c>
      <c r="S82" s="17">
        <f>MAX(N82:R82)</f>
        <v/>
      </c>
    </row>
    <row r="83">
      <c r="A83" s="5" t="n">
        <v>1</v>
      </c>
      <c r="B83" s="5" t="n">
        <v>13</v>
      </c>
      <c r="C83" s="40">
        <f>Raw_Data_IF!B18</f>
        <v/>
      </c>
      <c r="D83" s="18">
        <f>Raw_Data_IF!D18</f>
        <v/>
      </c>
      <c r="E83" s="17">
        <f>Raw_Data_IF!J18</f>
        <v/>
      </c>
      <c r="F83" s="17">
        <f>Raw_Data_IF!D18-MEDIAN(Raw_Data_IF!D18:I18)</f>
        <v/>
      </c>
      <c r="G83" s="17">
        <f>Raw_Data_IF!J18-MEDIAN(Raw_Data_IF!J18:O18)</f>
        <v/>
      </c>
      <c r="H83" s="15">
        <f>Raw_Data_IF!D18/MAX(Raw_Data_IF!J18,cfg_if_i_floor)</f>
        <v/>
      </c>
      <c r="I83" s="17">
        <f>ABS(D83-$V$5)</f>
        <v/>
      </c>
      <c r="J83" s="17">
        <f>ABS(E83-$V$6)</f>
        <v/>
      </c>
      <c r="K83" s="17">
        <f>ABS(F83-$V$7)</f>
        <v/>
      </c>
      <c r="L83" s="17">
        <f>ABS(G83-$V$8)</f>
        <v/>
      </c>
      <c r="M83" s="17">
        <f>ABS(H83-$V$9)</f>
        <v/>
      </c>
      <c r="N83" s="17">
        <f>I83/$X$5</f>
        <v/>
      </c>
      <c r="O83" s="17">
        <f>J83/$X$6</f>
        <v/>
      </c>
      <c r="P83" s="17">
        <f>K83/$X$7</f>
        <v/>
      </c>
      <c r="Q83" s="17">
        <f>L83/$X$8</f>
        <v/>
      </c>
      <c r="R83" s="17">
        <f>M83/$X$9</f>
        <v/>
      </c>
      <c r="S83" s="17">
        <f>MAX(N83:R83)</f>
        <v/>
      </c>
    </row>
    <row r="84">
      <c r="A84" s="5" t="n">
        <v>2</v>
      </c>
      <c r="B84" s="5" t="n">
        <v>13</v>
      </c>
      <c r="C84" s="40">
        <f>Raw_Data_IF!B18</f>
        <v/>
      </c>
      <c r="D84" s="18">
        <f>Raw_Data_IF!E18</f>
        <v/>
      </c>
      <c r="E84" s="17">
        <f>Raw_Data_IF!K18</f>
        <v/>
      </c>
      <c r="F84" s="17">
        <f>Raw_Data_IF!E18-MEDIAN(Raw_Data_IF!D18:I18)</f>
        <v/>
      </c>
      <c r="G84" s="17">
        <f>Raw_Data_IF!K18-MEDIAN(Raw_Data_IF!J18:O18)</f>
        <v/>
      </c>
      <c r="H84" s="15">
        <f>Raw_Data_IF!E18/MAX(Raw_Data_IF!K18,cfg_if_i_floor)</f>
        <v/>
      </c>
      <c r="I84" s="17">
        <f>ABS(D84-$V$5)</f>
        <v/>
      </c>
      <c r="J84" s="17">
        <f>ABS(E84-$V$6)</f>
        <v/>
      </c>
      <c r="K84" s="17">
        <f>ABS(F84-$V$7)</f>
        <v/>
      </c>
      <c r="L84" s="17">
        <f>ABS(G84-$V$8)</f>
        <v/>
      </c>
      <c r="M84" s="17">
        <f>ABS(H84-$V$9)</f>
        <v/>
      </c>
      <c r="N84" s="17">
        <f>I84/$X$5</f>
        <v/>
      </c>
      <c r="O84" s="17">
        <f>J84/$X$6</f>
        <v/>
      </c>
      <c r="P84" s="17">
        <f>K84/$X$7</f>
        <v/>
      </c>
      <c r="Q84" s="17">
        <f>L84/$X$8</f>
        <v/>
      </c>
      <c r="R84" s="17">
        <f>M84/$X$9</f>
        <v/>
      </c>
      <c r="S84" s="17">
        <f>MAX(N84:R84)</f>
        <v/>
      </c>
    </row>
    <row r="85">
      <c r="A85" s="5" t="n">
        <v>3</v>
      </c>
      <c r="B85" s="5" t="n">
        <v>13</v>
      </c>
      <c r="C85" s="40">
        <f>Raw_Data_IF!B18</f>
        <v/>
      </c>
      <c r="D85" s="18">
        <f>Raw_Data_IF!F18</f>
        <v/>
      </c>
      <c r="E85" s="17">
        <f>Raw_Data_IF!L18</f>
        <v/>
      </c>
      <c r="F85" s="17">
        <f>Raw_Data_IF!F18-MEDIAN(Raw_Data_IF!D18:I18)</f>
        <v/>
      </c>
      <c r="G85" s="17">
        <f>Raw_Data_IF!L18-MEDIAN(Raw_Data_IF!J18:O18)</f>
        <v/>
      </c>
      <c r="H85" s="15">
        <f>Raw_Data_IF!F18/MAX(Raw_Data_IF!L18,cfg_if_i_floor)</f>
        <v/>
      </c>
      <c r="I85" s="17">
        <f>ABS(D85-$V$5)</f>
        <v/>
      </c>
      <c r="J85" s="17">
        <f>ABS(E85-$V$6)</f>
        <v/>
      </c>
      <c r="K85" s="17">
        <f>ABS(F85-$V$7)</f>
        <v/>
      </c>
      <c r="L85" s="17">
        <f>ABS(G85-$V$8)</f>
        <v/>
      </c>
      <c r="M85" s="17">
        <f>ABS(H85-$V$9)</f>
        <v/>
      </c>
      <c r="N85" s="17">
        <f>I85/$X$5</f>
        <v/>
      </c>
      <c r="O85" s="17">
        <f>J85/$X$6</f>
        <v/>
      </c>
      <c r="P85" s="17">
        <f>K85/$X$7</f>
        <v/>
      </c>
      <c r="Q85" s="17">
        <f>L85/$X$8</f>
        <v/>
      </c>
      <c r="R85" s="17">
        <f>M85/$X$9</f>
        <v/>
      </c>
      <c r="S85" s="17">
        <f>MAX(N85:R85)</f>
        <v/>
      </c>
    </row>
    <row r="86">
      <c r="A86" s="5" t="n">
        <v>4</v>
      </c>
      <c r="B86" s="5" t="n">
        <v>13</v>
      </c>
      <c r="C86" s="40">
        <f>Raw_Data_IF!B18</f>
        <v/>
      </c>
      <c r="D86" s="18">
        <f>Raw_Data_IF!G18</f>
        <v/>
      </c>
      <c r="E86" s="17">
        <f>Raw_Data_IF!M18</f>
        <v/>
      </c>
      <c r="F86" s="17">
        <f>Raw_Data_IF!G18-MEDIAN(Raw_Data_IF!D18:I18)</f>
        <v/>
      </c>
      <c r="G86" s="17">
        <f>Raw_Data_IF!M18-MEDIAN(Raw_Data_IF!J18:O18)</f>
        <v/>
      </c>
      <c r="H86" s="15">
        <f>Raw_Data_IF!G18/MAX(Raw_Data_IF!M18,cfg_if_i_floor)</f>
        <v/>
      </c>
      <c r="I86" s="17">
        <f>ABS(D86-$V$5)</f>
        <v/>
      </c>
      <c r="J86" s="17">
        <f>ABS(E86-$V$6)</f>
        <v/>
      </c>
      <c r="K86" s="17">
        <f>ABS(F86-$V$7)</f>
        <v/>
      </c>
      <c r="L86" s="17">
        <f>ABS(G86-$V$8)</f>
        <v/>
      </c>
      <c r="M86" s="17">
        <f>ABS(H86-$V$9)</f>
        <v/>
      </c>
      <c r="N86" s="17">
        <f>I86/$X$5</f>
        <v/>
      </c>
      <c r="O86" s="17">
        <f>J86/$X$6</f>
        <v/>
      </c>
      <c r="P86" s="17">
        <f>K86/$X$7</f>
        <v/>
      </c>
      <c r="Q86" s="17">
        <f>L86/$X$8</f>
        <v/>
      </c>
      <c r="R86" s="17">
        <f>M86/$X$9</f>
        <v/>
      </c>
      <c r="S86" s="17">
        <f>MAX(N86:R86)</f>
        <v/>
      </c>
    </row>
    <row r="87">
      <c r="A87" s="5" t="n">
        <v>5</v>
      </c>
      <c r="B87" s="5" t="n">
        <v>13</v>
      </c>
      <c r="C87" s="40">
        <f>Raw_Data_IF!B18</f>
        <v/>
      </c>
      <c r="D87" s="18">
        <f>Raw_Data_IF!H18</f>
        <v/>
      </c>
      <c r="E87" s="17">
        <f>Raw_Data_IF!N18</f>
        <v/>
      </c>
      <c r="F87" s="17">
        <f>Raw_Data_IF!H18-MEDIAN(Raw_Data_IF!D18:I18)</f>
        <v/>
      </c>
      <c r="G87" s="17">
        <f>Raw_Data_IF!N18-MEDIAN(Raw_Data_IF!J18:O18)</f>
        <v/>
      </c>
      <c r="H87" s="15">
        <f>Raw_Data_IF!H18/MAX(Raw_Data_IF!N18,cfg_if_i_floor)</f>
        <v/>
      </c>
      <c r="I87" s="17">
        <f>ABS(D87-$V$5)</f>
        <v/>
      </c>
      <c r="J87" s="17">
        <f>ABS(E87-$V$6)</f>
        <v/>
      </c>
      <c r="K87" s="17">
        <f>ABS(F87-$V$7)</f>
        <v/>
      </c>
      <c r="L87" s="17">
        <f>ABS(G87-$V$8)</f>
        <v/>
      </c>
      <c r="M87" s="17">
        <f>ABS(H87-$V$9)</f>
        <v/>
      </c>
      <c r="N87" s="17">
        <f>I87/$X$5</f>
        <v/>
      </c>
      <c r="O87" s="17">
        <f>J87/$X$6</f>
        <v/>
      </c>
      <c r="P87" s="17">
        <f>K87/$X$7</f>
        <v/>
      </c>
      <c r="Q87" s="17">
        <f>L87/$X$8</f>
        <v/>
      </c>
      <c r="R87" s="17">
        <f>M87/$X$9</f>
        <v/>
      </c>
      <c r="S87" s="17">
        <f>MAX(N87:R87)</f>
        <v/>
      </c>
    </row>
    <row r="88">
      <c r="A88" s="5" t="n">
        <v>6</v>
      </c>
      <c r="B88" s="5" t="n">
        <v>13</v>
      </c>
      <c r="C88" s="40">
        <f>Raw_Data_IF!B18</f>
        <v/>
      </c>
      <c r="D88" s="18">
        <f>Raw_Data_IF!I18</f>
        <v/>
      </c>
      <c r="E88" s="17">
        <f>Raw_Data_IF!O18</f>
        <v/>
      </c>
      <c r="F88" s="17">
        <f>Raw_Data_IF!I18-MEDIAN(Raw_Data_IF!D18:I18)</f>
        <v/>
      </c>
      <c r="G88" s="17">
        <f>Raw_Data_IF!O18-MEDIAN(Raw_Data_IF!J18:O18)</f>
        <v/>
      </c>
      <c r="H88" s="15">
        <f>Raw_Data_IF!I18/MAX(Raw_Data_IF!O18,cfg_if_i_floor)</f>
        <v/>
      </c>
      <c r="I88" s="17">
        <f>ABS(D88-$V$5)</f>
        <v/>
      </c>
      <c r="J88" s="17">
        <f>ABS(E88-$V$6)</f>
        <v/>
      </c>
      <c r="K88" s="17">
        <f>ABS(F88-$V$7)</f>
        <v/>
      </c>
      <c r="L88" s="17">
        <f>ABS(G88-$V$8)</f>
        <v/>
      </c>
      <c r="M88" s="17">
        <f>ABS(H88-$V$9)</f>
        <v/>
      </c>
      <c r="N88" s="17">
        <f>I88/$X$5</f>
        <v/>
      </c>
      <c r="O88" s="17">
        <f>J88/$X$6</f>
        <v/>
      </c>
      <c r="P88" s="17">
        <f>K88/$X$7</f>
        <v/>
      </c>
      <c r="Q88" s="17">
        <f>L88/$X$8</f>
        <v/>
      </c>
      <c r="R88" s="17">
        <f>M88/$X$9</f>
        <v/>
      </c>
      <c r="S88" s="17">
        <f>MAX(N88:R88)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IF_Anomaly — flag contamination teratas + severity (kuartil) + confidence</t>
        </is>
      </c>
    </row>
    <row r="2">
      <c r="A2" s="24" t="inlineStr">
        <is>
          <t>threshold_A = PERCENTILE(A, 1−contamination). flag = A ≥ threshold. rank dalam flagged-set (A desc) → severity kuartil (≤25 CRITICAL, ≤50 HIGH, ≤75 MEDIUM, &gt;75 INFO) — faithful _severity_from_quartile. confidence = 100−pct·0.5.</t>
        </is>
      </c>
    </row>
    <row r="3">
      <c r="A3" s="24" t="inlineStr">
        <is>
          <t>Severity &amp; confidence FAITHFUL ke detector; tapi 'A' adalah skor MAD-approx, bukan IsolationForest. Sampel yang ditandai bisa BERBEDA dari iForest asli.</t>
        </is>
      </c>
    </row>
    <row r="4">
      <c r="A4" s="10" t="inlineStr">
        <is>
          <t>pv</t>
        </is>
      </c>
      <c r="B4" s="10" t="inlineStr">
        <is>
          <t>t</t>
        </is>
      </c>
      <c r="C4" s="10" t="inlineStr">
        <is>
          <t>Start Time</t>
        </is>
      </c>
      <c r="D4" s="10" t="inlineStr">
        <is>
          <t>A</t>
        </is>
      </c>
      <c r="E4" s="10" t="inlineStr">
        <is>
          <t>flag</t>
        </is>
      </c>
      <c r="F4" s="10" t="inlineStr">
        <is>
          <t>rank_within_flagged</t>
        </is>
      </c>
      <c r="G4" s="10" t="inlineStr">
        <is>
          <t>rank_pct</t>
        </is>
      </c>
      <c r="H4" s="10" t="inlineStr">
        <is>
          <t>severity</t>
        </is>
      </c>
      <c r="I4" s="10" t="inlineStr">
        <is>
          <t>confidence</t>
        </is>
      </c>
      <c r="K4" s="39" t="inlineStr">
        <is>
          <t>metric</t>
        </is>
      </c>
      <c r="L4" s="39" t="inlineStr">
        <is>
          <t>value</t>
        </is>
      </c>
    </row>
    <row r="5">
      <c r="A5" s="5" t="n">
        <v>1</v>
      </c>
      <c r="B5" s="5" t="n">
        <v>0</v>
      </c>
      <c r="C5" s="40">
        <f>Features_IF!C5</f>
        <v/>
      </c>
      <c r="D5" s="17">
        <f>Features_IF!S5</f>
        <v/>
      </c>
      <c r="E5" s="5">
        <f>IF(D5&gt;=$L$5,"anomaly","normal")</f>
        <v/>
      </c>
      <c r="F5" s="5">
        <f>IF(E5="anomaly",COUNTIFS($D$5:$D$88,"&gt;"&amp;D5,$D$5:$D$88,"&gt;="&amp;$L$5),"")</f>
        <v/>
      </c>
      <c r="G5" s="18">
        <f>IF(E5="anomaly",IF($L$6&gt;1,F5/($L$6-1)*100,0),"")</f>
        <v/>
      </c>
      <c r="H5" s="5">
        <f>IF(E5="anomaly",IF(G5&lt;=25,"CRITICAL",IF(G5&lt;=50,"HIGH",IF(G5&lt;=75,"MEDIUM","INFO"))),"")</f>
        <v/>
      </c>
      <c r="I5" s="27">
        <f>IF(E5="anomaly",100-G5*0.5,"")</f>
        <v/>
      </c>
      <c r="K5" s="5" t="inlineStr">
        <is>
          <t>threshold_A</t>
        </is>
      </c>
      <c r="L5" s="31">
        <f>PERCENTILE(Features_IF!S5:S88,1-cfg_if_contamination)</f>
        <v/>
      </c>
    </row>
    <row r="6">
      <c r="A6" s="5" t="n">
        <v>2</v>
      </c>
      <c r="B6" s="5" t="n">
        <v>0</v>
      </c>
      <c r="C6" s="40">
        <f>Features_IF!C6</f>
        <v/>
      </c>
      <c r="D6" s="17">
        <f>Features_IF!S6</f>
        <v/>
      </c>
      <c r="E6" s="5">
        <f>IF(D6&gt;=$L$5,"anomaly","normal")</f>
        <v/>
      </c>
      <c r="F6" s="5">
        <f>IF(E6="anomaly",COUNTIFS($D$5:$D$88,"&gt;"&amp;D6,$D$5:$D$88,"&gt;="&amp;$L$5),"")</f>
        <v/>
      </c>
      <c r="G6" s="18">
        <f>IF(E6="anomaly",IF($L$6&gt;1,F6/($L$6-1)*100,0),"")</f>
        <v/>
      </c>
      <c r="H6" s="5">
        <f>IF(E6="anomaly",IF(G6&lt;=25,"CRITICAL",IF(G6&lt;=50,"HIGH",IF(G6&lt;=75,"MEDIUM","INFO"))),"")</f>
        <v/>
      </c>
      <c r="I6" s="27">
        <f>IF(E6="anomaly",100-G6*0.5,"")</f>
        <v/>
      </c>
      <c r="K6" s="5" t="inlineStr">
        <is>
          <t>n_flagged</t>
        </is>
      </c>
      <c r="L6" s="5">
        <f>COUNTIF(E5:E88,"anomaly")</f>
        <v/>
      </c>
    </row>
    <row r="7">
      <c r="A7" s="5" t="n">
        <v>3</v>
      </c>
      <c r="B7" s="5" t="n">
        <v>0</v>
      </c>
      <c r="C7" s="40">
        <f>Features_IF!C7</f>
        <v/>
      </c>
      <c r="D7" s="17">
        <f>Features_IF!S7</f>
        <v/>
      </c>
      <c r="E7" s="5">
        <f>IF(D7&gt;=$L$5,"anomaly","normal")</f>
        <v/>
      </c>
      <c r="F7" s="5">
        <f>IF(E7="anomaly",COUNTIFS($D$5:$D$88,"&gt;"&amp;D7,$D$5:$D$88,"&gt;="&amp;$L$5),"")</f>
        <v/>
      </c>
      <c r="G7" s="18">
        <f>IF(E7="anomaly",IF($L$6&gt;1,F7/($L$6-1)*100,0),"")</f>
        <v/>
      </c>
      <c r="H7" s="5">
        <f>IF(E7="anomaly",IF(G7&lt;=25,"CRITICAL",IF(G7&lt;=50,"HIGH",IF(G7&lt;=75,"MEDIUM","INFO"))),"")</f>
        <v/>
      </c>
      <c r="I7" s="27">
        <f>IF(E7="anomaly",100-G7*0.5,"")</f>
        <v/>
      </c>
      <c r="K7" s="5" t="inlineStr">
        <is>
          <t>n_samples</t>
        </is>
      </c>
      <c r="L7" s="5">
        <f>COUNTA(A5:A88)</f>
        <v/>
      </c>
    </row>
    <row r="8">
      <c r="A8" s="5" t="n">
        <v>4</v>
      </c>
      <c r="B8" s="5" t="n">
        <v>0</v>
      </c>
      <c r="C8" s="40">
        <f>Features_IF!C8</f>
        <v/>
      </c>
      <c r="D8" s="17">
        <f>Features_IF!S8</f>
        <v/>
      </c>
      <c r="E8" s="5">
        <f>IF(D8&gt;=$L$5,"anomaly","normal")</f>
        <v/>
      </c>
      <c r="F8" s="5">
        <f>IF(E8="anomaly",COUNTIFS($D$5:$D$88,"&gt;"&amp;D8,$D$5:$D$88,"&gt;="&amp;$L$5),"")</f>
        <v/>
      </c>
      <c r="G8" s="18">
        <f>IF(E8="anomaly",IF($L$6&gt;1,F8/($L$6-1)*100,0),"")</f>
        <v/>
      </c>
      <c r="H8" s="5">
        <f>IF(E8="anomaly",IF(G8&lt;=25,"CRITICAL",IF(G8&lt;=50,"HIGH",IF(G8&lt;=75,"MEDIUM","INFO"))),"")</f>
        <v/>
      </c>
      <c r="I8" s="27">
        <f>IF(E8="anomaly",100-G8*0.5,"")</f>
        <v/>
      </c>
    </row>
    <row r="9">
      <c r="A9" s="5" t="n">
        <v>5</v>
      </c>
      <c r="B9" s="5" t="n">
        <v>0</v>
      </c>
      <c r="C9" s="40">
        <f>Features_IF!C9</f>
        <v/>
      </c>
      <c r="D9" s="17">
        <f>Features_IF!S9</f>
        <v/>
      </c>
      <c r="E9" s="5">
        <f>IF(D9&gt;=$L$5,"anomaly","normal")</f>
        <v/>
      </c>
      <c r="F9" s="5">
        <f>IF(E9="anomaly",COUNTIFS($D$5:$D$88,"&gt;"&amp;D9,$D$5:$D$88,"&gt;="&amp;$L$5),"")</f>
        <v/>
      </c>
      <c r="G9" s="18">
        <f>IF(E9="anomaly",IF($L$6&gt;1,F9/($L$6-1)*100,0),"")</f>
        <v/>
      </c>
      <c r="H9" s="5">
        <f>IF(E9="anomaly",IF(G9&lt;=25,"CRITICAL",IF(G9&lt;=50,"HIGH",IF(G9&lt;=75,"MEDIUM","INFO"))),"")</f>
        <v/>
      </c>
      <c r="I9" s="27">
        <f>IF(E9="anomaly",100-G9*0.5,"")</f>
        <v/>
      </c>
    </row>
    <row r="10">
      <c r="A10" s="5" t="n">
        <v>6</v>
      </c>
      <c r="B10" s="5" t="n">
        <v>0</v>
      </c>
      <c r="C10" s="40">
        <f>Features_IF!C10</f>
        <v/>
      </c>
      <c r="D10" s="17">
        <f>Features_IF!S10</f>
        <v/>
      </c>
      <c r="E10" s="5">
        <f>IF(D10&gt;=$L$5,"anomaly","normal")</f>
        <v/>
      </c>
      <c r="F10" s="5">
        <f>IF(E10="anomaly",COUNTIFS($D$5:$D$88,"&gt;"&amp;D10,$D$5:$D$88,"&gt;="&amp;$L$5),"")</f>
        <v/>
      </c>
      <c r="G10" s="18">
        <f>IF(E10="anomaly",IF($L$6&gt;1,F10/($L$6-1)*100,0),"")</f>
        <v/>
      </c>
      <c r="H10" s="5">
        <f>IF(E10="anomaly",IF(G10&lt;=25,"CRITICAL",IF(G10&lt;=50,"HIGH",IF(G10&lt;=75,"MEDIUM","INFO"))),"")</f>
        <v/>
      </c>
      <c r="I10" s="27">
        <f>IF(E10="anomaly",100-G10*0.5,"")</f>
        <v/>
      </c>
    </row>
    <row r="11">
      <c r="A11" s="5" t="n">
        <v>1</v>
      </c>
      <c r="B11" s="5" t="n">
        <v>1</v>
      </c>
      <c r="C11" s="40">
        <f>Features_IF!C11</f>
        <v/>
      </c>
      <c r="D11" s="17">
        <f>Features_IF!S11</f>
        <v/>
      </c>
      <c r="E11" s="5">
        <f>IF(D11&gt;=$L$5,"anomaly","normal")</f>
        <v/>
      </c>
      <c r="F11" s="5">
        <f>IF(E11="anomaly",COUNTIFS($D$5:$D$88,"&gt;"&amp;D11,$D$5:$D$88,"&gt;="&amp;$L$5),"")</f>
        <v/>
      </c>
      <c r="G11" s="18">
        <f>IF(E11="anomaly",IF($L$6&gt;1,F11/($L$6-1)*100,0),"")</f>
        <v/>
      </c>
      <c r="H11" s="5">
        <f>IF(E11="anomaly",IF(G11&lt;=25,"CRITICAL",IF(G11&lt;=50,"HIGH",IF(G11&lt;=75,"MEDIUM","INFO"))),"")</f>
        <v/>
      </c>
      <c r="I11" s="27">
        <f>IF(E11="anomaly",100-G11*0.5,"")</f>
        <v/>
      </c>
    </row>
    <row r="12">
      <c r="A12" s="5" t="n">
        <v>2</v>
      </c>
      <c r="B12" s="5" t="n">
        <v>1</v>
      </c>
      <c r="C12" s="40">
        <f>Features_IF!C12</f>
        <v/>
      </c>
      <c r="D12" s="17">
        <f>Features_IF!S12</f>
        <v/>
      </c>
      <c r="E12" s="5">
        <f>IF(D12&gt;=$L$5,"anomaly","normal")</f>
        <v/>
      </c>
      <c r="F12" s="5">
        <f>IF(E12="anomaly",COUNTIFS($D$5:$D$88,"&gt;"&amp;D12,$D$5:$D$88,"&gt;="&amp;$L$5),"")</f>
        <v/>
      </c>
      <c r="G12" s="18">
        <f>IF(E12="anomaly",IF($L$6&gt;1,F12/($L$6-1)*100,0),"")</f>
        <v/>
      </c>
      <c r="H12" s="5">
        <f>IF(E12="anomaly",IF(G12&lt;=25,"CRITICAL",IF(G12&lt;=50,"HIGH",IF(G12&lt;=75,"MEDIUM","INFO"))),"")</f>
        <v/>
      </c>
      <c r="I12" s="27">
        <f>IF(E12="anomaly",100-G12*0.5,"")</f>
        <v/>
      </c>
    </row>
    <row r="13">
      <c r="A13" s="5" t="n">
        <v>3</v>
      </c>
      <c r="B13" s="5" t="n">
        <v>1</v>
      </c>
      <c r="C13" s="40">
        <f>Features_IF!C13</f>
        <v/>
      </c>
      <c r="D13" s="17">
        <f>Features_IF!S13</f>
        <v/>
      </c>
      <c r="E13" s="5">
        <f>IF(D13&gt;=$L$5,"anomaly","normal")</f>
        <v/>
      </c>
      <c r="F13" s="5">
        <f>IF(E13="anomaly",COUNTIFS($D$5:$D$88,"&gt;"&amp;D13,$D$5:$D$88,"&gt;="&amp;$L$5),"")</f>
        <v/>
      </c>
      <c r="G13" s="18">
        <f>IF(E13="anomaly",IF($L$6&gt;1,F13/($L$6-1)*100,0),"")</f>
        <v/>
      </c>
      <c r="H13" s="5">
        <f>IF(E13="anomaly",IF(G13&lt;=25,"CRITICAL",IF(G13&lt;=50,"HIGH",IF(G13&lt;=75,"MEDIUM","INFO"))),"")</f>
        <v/>
      </c>
      <c r="I13" s="27">
        <f>IF(E13="anomaly",100-G13*0.5,"")</f>
        <v/>
      </c>
    </row>
    <row r="14">
      <c r="A14" s="5" t="n">
        <v>4</v>
      </c>
      <c r="B14" s="5" t="n">
        <v>1</v>
      </c>
      <c r="C14" s="40">
        <f>Features_IF!C14</f>
        <v/>
      </c>
      <c r="D14" s="17">
        <f>Features_IF!S14</f>
        <v/>
      </c>
      <c r="E14" s="5">
        <f>IF(D14&gt;=$L$5,"anomaly","normal")</f>
        <v/>
      </c>
      <c r="F14" s="5">
        <f>IF(E14="anomaly",COUNTIFS($D$5:$D$88,"&gt;"&amp;D14,$D$5:$D$88,"&gt;="&amp;$L$5),"")</f>
        <v/>
      </c>
      <c r="G14" s="18">
        <f>IF(E14="anomaly",IF($L$6&gt;1,F14/($L$6-1)*100,0),"")</f>
        <v/>
      </c>
      <c r="H14" s="5">
        <f>IF(E14="anomaly",IF(G14&lt;=25,"CRITICAL",IF(G14&lt;=50,"HIGH",IF(G14&lt;=75,"MEDIUM","INFO"))),"")</f>
        <v/>
      </c>
      <c r="I14" s="27">
        <f>IF(E14="anomaly",100-G14*0.5,"")</f>
        <v/>
      </c>
    </row>
    <row r="15">
      <c r="A15" s="5" t="n">
        <v>5</v>
      </c>
      <c r="B15" s="5" t="n">
        <v>1</v>
      </c>
      <c r="C15" s="40">
        <f>Features_IF!C15</f>
        <v/>
      </c>
      <c r="D15" s="17">
        <f>Features_IF!S15</f>
        <v/>
      </c>
      <c r="E15" s="5">
        <f>IF(D15&gt;=$L$5,"anomaly","normal")</f>
        <v/>
      </c>
      <c r="F15" s="5">
        <f>IF(E15="anomaly",COUNTIFS($D$5:$D$88,"&gt;"&amp;D15,$D$5:$D$88,"&gt;="&amp;$L$5),"")</f>
        <v/>
      </c>
      <c r="G15" s="18">
        <f>IF(E15="anomaly",IF($L$6&gt;1,F15/($L$6-1)*100,0),"")</f>
        <v/>
      </c>
      <c r="H15" s="5">
        <f>IF(E15="anomaly",IF(G15&lt;=25,"CRITICAL",IF(G15&lt;=50,"HIGH",IF(G15&lt;=75,"MEDIUM","INFO"))),"")</f>
        <v/>
      </c>
      <c r="I15" s="27">
        <f>IF(E15="anomaly",100-G15*0.5,"")</f>
        <v/>
      </c>
    </row>
    <row r="16">
      <c r="A16" s="5" t="n">
        <v>6</v>
      </c>
      <c r="B16" s="5" t="n">
        <v>1</v>
      </c>
      <c r="C16" s="40">
        <f>Features_IF!C16</f>
        <v/>
      </c>
      <c r="D16" s="17">
        <f>Features_IF!S16</f>
        <v/>
      </c>
      <c r="E16" s="5">
        <f>IF(D16&gt;=$L$5,"anomaly","normal")</f>
        <v/>
      </c>
      <c r="F16" s="5">
        <f>IF(E16="anomaly",COUNTIFS($D$5:$D$88,"&gt;"&amp;D16,$D$5:$D$88,"&gt;="&amp;$L$5),"")</f>
        <v/>
      </c>
      <c r="G16" s="18">
        <f>IF(E16="anomaly",IF($L$6&gt;1,F16/($L$6-1)*100,0),"")</f>
        <v/>
      </c>
      <c r="H16" s="5">
        <f>IF(E16="anomaly",IF(G16&lt;=25,"CRITICAL",IF(G16&lt;=50,"HIGH",IF(G16&lt;=75,"MEDIUM","INFO"))),"")</f>
        <v/>
      </c>
      <c r="I16" s="27">
        <f>IF(E16="anomaly",100-G16*0.5,"")</f>
        <v/>
      </c>
    </row>
    <row r="17">
      <c r="A17" s="5" t="n">
        <v>1</v>
      </c>
      <c r="B17" s="5" t="n">
        <v>2</v>
      </c>
      <c r="C17" s="40">
        <f>Features_IF!C17</f>
        <v/>
      </c>
      <c r="D17" s="17">
        <f>Features_IF!S17</f>
        <v/>
      </c>
      <c r="E17" s="5">
        <f>IF(D17&gt;=$L$5,"anomaly","normal")</f>
        <v/>
      </c>
      <c r="F17" s="5">
        <f>IF(E17="anomaly",COUNTIFS($D$5:$D$88,"&gt;"&amp;D17,$D$5:$D$88,"&gt;="&amp;$L$5),"")</f>
        <v/>
      </c>
      <c r="G17" s="18">
        <f>IF(E17="anomaly",IF($L$6&gt;1,F17/($L$6-1)*100,0),"")</f>
        <v/>
      </c>
      <c r="H17" s="5">
        <f>IF(E17="anomaly",IF(G17&lt;=25,"CRITICAL",IF(G17&lt;=50,"HIGH",IF(G17&lt;=75,"MEDIUM","INFO"))),"")</f>
        <v/>
      </c>
      <c r="I17" s="27">
        <f>IF(E17="anomaly",100-G17*0.5,"")</f>
        <v/>
      </c>
    </row>
    <row r="18">
      <c r="A18" s="5" t="n">
        <v>2</v>
      </c>
      <c r="B18" s="5" t="n">
        <v>2</v>
      </c>
      <c r="C18" s="40">
        <f>Features_IF!C18</f>
        <v/>
      </c>
      <c r="D18" s="17">
        <f>Features_IF!S18</f>
        <v/>
      </c>
      <c r="E18" s="5">
        <f>IF(D18&gt;=$L$5,"anomaly","normal")</f>
        <v/>
      </c>
      <c r="F18" s="5">
        <f>IF(E18="anomaly",COUNTIFS($D$5:$D$88,"&gt;"&amp;D18,$D$5:$D$88,"&gt;="&amp;$L$5),"")</f>
        <v/>
      </c>
      <c r="G18" s="18">
        <f>IF(E18="anomaly",IF($L$6&gt;1,F18/($L$6-1)*100,0),"")</f>
        <v/>
      </c>
      <c r="H18" s="5">
        <f>IF(E18="anomaly",IF(G18&lt;=25,"CRITICAL",IF(G18&lt;=50,"HIGH",IF(G18&lt;=75,"MEDIUM","INFO"))),"")</f>
        <v/>
      </c>
      <c r="I18" s="27">
        <f>IF(E18="anomaly",100-G18*0.5,"")</f>
        <v/>
      </c>
    </row>
    <row r="19">
      <c r="A19" s="5" t="n">
        <v>3</v>
      </c>
      <c r="B19" s="5" t="n">
        <v>2</v>
      </c>
      <c r="C19" s="40">
        <f>Features_IF!C19</f>
        <v/>
      </c>
      <c r="D19" s="17">
        <f>Features_IF!S19</f>
        <v/>
      </c>
      <c r="E19" s="5">
        <f>IF(D19&gt;=$L$5,"anomaly","normal")</f>
        <v/>
      </c>
      <c r="F19" s="5">
        <f>IF(E19="anomaly",COUNTIFS($D$5:$D$88,"&gt;"&amp;D19,$D$5:$D$88,"&gt;="&amp;$L$5),"")</f>
        <v/>
      </c>
      <c r="G19" s="18">
        <f>IF(E19="anomaly",IF($L$6&gt;1,F19/($L$6-1)*100,0),"")</f>
        <v/>
      </c>
      <c r="H19" s="5">
        <f>IF(E19="anomaly",IF(G19&lt;=25,"CRITICAL",IF(G19&lt;=50,"HIGH",IF(G19&lt;=75,"MEDIUM","INFO"))),"")</f>
        <v/>
      </c>
      <c r="I19" s="27">
        <f>IF(E19="anomaly",100-G19*0.5,"")</f>
        <v/>
      </c>
    </row>
    <row r="20">
      <c r="A20" s="5" t="n">
        <v>4</v>
      </c>
      <c r="B20" s="5" t="n">
        <v>2</v>
      </c>
      <c r="C20" s="40">
        <f>Features_IF!C20</f>
        <v/>
      </c>
      <c r="D20" s="17">
        <f>Features_IF!S20</f>
        <v/>
      </c>
      <c r="E20" s="5">
        <f>IF(D20&gt;=$L$5,"anomaly","normal")</f>
        <v/>
      </c>
      <c r="F20" s="5">
        <f>IF(E20="anomaly",COUNTIFS($D$5:$D$88,"&gt;"&amp;D20,$D$5:$D$88,"&gt;="&amp;$L$5),"")</f>
        <v/>
      </c>
      <c r="G20" s="18">
        <f>IF(E20="anomaly",IF($L$6&gt;1,F20/($L$6-1)*100,0),"")</f>
        <v/>
      </c>
      <c r="H20" s="5">
        <f>IF(E20="anomaly",IF(G20&lt;=25,"CRITICAL",IF(G20&lt;=50,"HIGH",IF(G20&lt;=75,"MEDIUM","INFO"))),"")</f>
        <v/>
      </c>
      <c r="I20" s="27">
        <f>IF(E20="anomaly",100-G20*0.5,"")</f>
        <v/>
      </c>
    </row>
    <row r="21">
      <c r="A21" s="5" t="n">
        <v>5</v>
      </c>
      <c r="B21" s="5" t="n">
        <v>2</v>
      </c>
      <c r="C21" s="40">
        <f>Features_IF!C21</f>
        <v/>
      </c>
      <c r="D21" s="17">
        <f>Features_IF!S21</f>
        <v/>
      </c>
      <c r="E21" s="5">
        <f>IF(D21&gt;=$L$5,"anomaly","normal")</f>
        <v/>
      </c>
      <c r="F21" s="5">
        <f>IF(E21="anomaly",COUNTIFS($D$5:$D$88,"&gt;"&amp;D21,$D$5:$D$88,"&gt;="&amp;$L$5),"")</f>
        <v/>
      </c>
      <c r="G21" s="18">
        <f>IF(E21="anomaly",IF($L$6&gt;1,F21/($L$6-1)*100,0),"")</f>
        <v/>
      </c>
      <c r="H21" s="5">
        <f>IF(E21="anomaly",IF(G21&lt;=25,"CRITICAL",IF(G21&lt;=50,"HIGH",IF(G21&lt;=75,"MEDIUM","INFO"))),"")</f>
        <v/>
      </c>
      <c r="I21" s="27">
        <f>IF(E21="anomaly",100-G21*0.5,"")</f>
        <v/>
      </c>
    </row>
    <row r="22">
      <c r="A22" s="5" t="n">
        <v>6</v>
      </c>
      <c r="B22" s="5" t="n">
        <v>2</v>
      </c>
      <c r="C22" s="40">
        <f>Features_IF!C22</f>
        <v/>
      </c>
      <c r="D22" s="17">
        <f>Features_IF!S22</f>
        <v/>
      </c>
      <c r="E22" s="5">
        <f>IF(D22&gt;=$L$5,"anomaly","normal")</f>
        <v/>
      </c>
      <c r="F22" s="5">
        <f>IF(E22="anomaly",COUNTIFS($D$5:$D$88,"&gt;"&amp;D22,$D$5:$D$88,"&gt;="&amp;$L$5),"")</f>
        <v/>
      </c>
      <c r="G22" s="18">
        <f>IF(E22="anomaly",IF($L$6&gt;1,F22/($L$6-1)*100,0),"")</f>
        <v/>
      </c>
      <c r="H22" s="5">
        <f>IF(E22="anomaly",IF(G22&lt;=25,"CRITICAL",IF(G22&lt;=50,"HIGH",IF(G22&lt;=75,"MEDIUM","INFO"))),"")</f>
        <v/>
      </c>
      <c r="I22" s="27">
        <f>IF(E22="anomaly",100-G22*0.5,"")</f>
        <v/>
      </c>
    </row>
    <row r="23">
      <c r="A23" s="5" t="n">
        <v>1</v>
      </c>
      <c r="B23" s="5" t="n">
        <v>3</v>
      </c>
      <c r="C23" s="40">
        <f>Features_IF!C23</f>
        <v/>
      </c>
      <c r="D23" s="17">
        <f>Features_IF!S23</f>
        <v/>
      </c>
      <c r="E23" s="5">
        <f>IF(D23&gt;=$L$5,"anomaly","normal")</f>
        <v/>
      </c>
      <c r="F23" s="5">
        <f>IF(E23="anomaly",COUNTIFS($D$5:$D$88,"&gt;"&amp;D23,$D$5:$D$88,"&gt;="&amp;$L$5),"")</f>
        <v/>
      </c>
      <c r="G23" s="18">
        <f>IF(E23="anomaly",IF($L$6&gt;1,F23/($L$6-1)*100,0),"")</f>
        <v/>
      </c>
      <c r="H23" s="5">
        <f>IF(E23="anomaly",IF(G23&lt;=25,"CRITICAL",IF(G23&lt;=50,"HIGH",IF(G23&lt;=75,"MEDIUM","INFO"))),"")</f>
        <v/>
      </c>
      <c r="I23" s="27">
        <f>IF(E23="anomaly",100-G23*0.5,"")</f>
        <v/>
      </c>
    </row>
    <row r="24">
      <c r="A24" s="5" t="n">
        <v>2</v>
      </c>
      <c r="B24" s="5" t="n">
        <v>3</v>
      </c>
      <c r="C24" s="40">
        <f>Features_IF!C24</f>
        <v/>
      </c>
      <c r="D24" s="17">
        <f>Features_IF!S24</f>
        <v/>
      </c>
      <c r="E24" s="5">
        <f>IF(D24&gt;=$L$5,"anomaly","normal")</f>
        <v/>
      </c>
      <c r="F24" s="5">
        <f>IF(E24="anomaly",COUNTIFS($D$5:$D$88,"&gt;"&amp;D24,$D$5:$D$88,"&gt;="&amp;$L$5),"")</f>
        <v/>
      </c>
      <c r="G24" s="18">
        <f>IF(E24="anomaly",IF($L$6&gt;1,F24/($L$6-1)*100,0),"")</f>
        <v/>
      </c>
      <c r="H24" s="5">
        <f>IF(E24="anomaly",IF(G24&lt;=25,"CRITICAL",IF(G24&lt;=50,"HIGH",IF(G24&lt;=75,"MEDIUM","INFO"))),"")</f>
        <v/>
      </c>
      <c r="I24" s="27">
        <f>IF(E24="anomaly",100-G24*0.5,"")</f>
        <v/>
      </c>
    </row>
    <row r="25">
      <c r="A25" s="5" t="n">
        <v>3</v>
      </c>
      <c r="B25" s="5" t="n">
        <v>3</v>
      </c>
      <c r="C25" s="40">
        <f>Features_IF!C25</f>
        <v/>
      </c>
      <c r="D25" s="17">
        <f>Features_IF!S25</f>
        <v/>
      </c>
      <c r="E25" s="5">
        <f>IF(D25&gt;=$L$5,"anomaly","normal")</f>
        <v/>
      </c>
      <c r="F25" s="5">
        <f>IF(E25="anomaly",COUNTIFS($D$5:$D$88,"&gt;"&amp;D25,$D$5:$D$88,"&gt;="&amp;$L$5),"")</f>
        <v/>
      </c>
      <c r="G25" s="18">
        <f>IF(E25="anomaly",IF($L$6&gt;1,F25/($L$6-1)*100,0),"")</f>
        <v/>
      </c>
      <c r="H25" s="5">
        <f>IF(E25="anomaly",IF(G25&lt;=25,"CRITICAL",IF(G25&lt;=50,"HIGH",IF(G25&lt;=75,"MEDIUM","INFO"))),"")</f>
        <v/>
      </c>
      <c r="I25" s="27">
        <f>IF(E25="anomaly",100-G25*0.5,"")</f>
        <v/>
      </c>
    </row>
    <row r="26">
      <c r="A26" s="5" t="n">
        <v>4</v>
      </c>
      <c r="B26" s="5" t="n">
        <v>3</v>
      </c>
      <c r="C26" s="40">
        <f>Features_IF!C26</f>
        <v/>
      </c>
      <c r="D26" s="17">
        <f>Features_IF!S26</f>
        <v/>
      </c>
      <c r="E26" s="5">
        <f>IF(D26&gt;=$L$5,"anomaly","normal")</f>
        <v/>
      </c>
      <c r="F26" s="5">
        <f>IF(E26="anomaly",COUNTIFS($D$5:$D$88,"&gt;"&amp;D26,$D$5:$D$88,"&gt;="&amp;$L$5),"")</f>
        <v/>
      </c>
      <c r="G26" s="18">
        <f>IF(E26="anomaly",IF($L$6&gt;1,F26/($L$6-1)*100,0),"")</f>
        <v/>
      </c>
      <c r="H26" s="5">
        <f>IF(E26="anomaly",IF(G26&lt;=25,"CRITICAL",IF(G26&lt;=50,"HIGH",IF(G26&lt;=75,"MEDIUM","INFO"))),"")</f>
        <v/>
      </c>
      <c r="I26" s="27">
        <f>IF(E26="anomaly",100-G26*0.5,"")</f>
        <v/>
      </c>
    </row>
    <row r="27">
      <c r="A27" s="5" t="n">
        <v>5</v>
      </c>
      <c r="B27" s="5" t="n">
        <v>3</v>
      </c>
      <c r="C27" s="40">
        <f>Features_IF!C27</f>
        <v/>
      </c>
      <c r="D27" s="17">
        <f>Features_IF!S27</f>
        <v/>
      </c>
      <c r="E27" s="5">
        <f>IF(D27&gt;=$L$5,"anomaly","normal")</f>
        <v/>
      </c>
      <c r="F27" s="5">
        <f>IF(E27="anomaly",COUNTIFS($D$5:$D$88,"&gt;"&amp;D27,$D$5:$D$88,"&gt;="&amp;$L$5),"")</f>
        <v/>
      </c>
      <c r="G27" s="18">
        <f>IF(E27="anomaly",IF($L$6&gt;1,F27/($L$6-1)*100,0),"")</f>
        <v/>
      </c>
      <c r="H27" s="5">
        <f>IF(E27="anomaly",IF(G27&lt;=25,"CRITICAL",IF(G27&lt;=50,"HIGH",IF(G27&lt;=75,"MEDIUM","INFO"))),"")</f>
        <v/>
      </c>
      <c r="I27" s="27">
        <f>IF(E27="anomaly",100-G27*0.5,"")</f>
        <v/>
      </c>
    </row>
    <row r="28">
      <c r="A28" s="5" t="n">
        <v>6</v>
      </c>
      <c r="B28" s="5" t="n">
        <v>3</v>
      </c>
      <c r="C28" s="40">
        <f>Features_IF!C28</f>
        <v/>
      </c>
      <c r="D28" s="17">
        <f>Features_IF!S28</f>
        <v/>
      </c>
      <c r="E28" s="5">
        <f>IF(D28&gt;=$L$5,"anomaly","normal")</f>
        <v/>
      </c>
      <c r="F28" s="5">
        <f>IF(E28="anomaly",COUNTIFS($D$5:$D$88,"&gt;"&amp;D28,$D$5:$D$88,"&gt;="&amp;$L$5),"")</f>
        <v/>
      </c>
      <c r="G28" s="18">
        <f>IF(E28="anomaly",IF($L$6&gt;1,F28/($L$6-1)*100,0),"")</f>
        <v/>
      </c>
      <c r="H28" s="5">
        <f>IF(E28="anomaly",IF(G28&lt;=25,"CRITICAL",IF(G28&lt;=50,"HIGH",IF(G28&lt;=75,"MEDIUM","INFO"))),"")</f>
        <v/>
      </c>
      <c r="I28" s="27">
        <f>IF(E28="anomaly",100-G28*0.5,"")</f>
        <v/>
      </c>
    </row>
    <row r="29">
      <c r="A29" s="5" t="n">
        <v>1</v>
      </c>
      <c r="B29" s="5" t="n">
        <v>4</v>
      </c>
      <c r="C29" s="40">
        <f>Features_IF!C29</f>
        <v/>
      </c>
      <c r="D29" s="17">
        <f>Features_IF!S29</f>
        <v/>
      </c>
      <c r="E29" s="5">
        <f>IF(D29&gt;=$L$5,"anomaly","normal")</f>
        <v/>
      </c>
      <c r="F29" s="5">
        <f>IF(E29="anomaly",COUNTIFS($D$5:$D$88,"&gt;"&amp;D29,$D$5:$D$88,"&gt;="&amp;$L$5),"")</f>
        <v/>
      </c>
      <c r="G29" s="18">
        <f>IF(E29="anomaly",IF($L$6&gt;1,F29/($L$6-1)*100,0),"")</f>
        <v/>
      </c>
      <c r="H29" s="5">
        <f>IF(E29="anomaly",IF(G29&lt;=25,"CRITICAL",IF(G29&lt;=50,"HIGH",IF(G29&lt;=75,"MEDIUM","INFO"))),"")</f>
        <v/>
      </c>
      <c r="I29" s="27">
        <f>IF(E29="anomaly",100-G29*0.5,"")</f>
        <v/>
      </c>
    </row>
    <row r="30">
      <c r="A30" s="5" t="n">
        <v>2</v>
      </c>
      <c r="B30" s="5" t="n">
        <v>4</v>
      </c>
      <c r="C30" s="40">
        <f>Features_IF!C30</f>
        <v/>
      </c>
      <c r="D30" s="17">
        <f>Features_IF!S30</f>
        <v/>
      </c>
      <c r="E30" s="5">
        <f>IF(D30&gt;=$L$5,"anomaly","normal")</f>
        <v/>
      </c>
      <c r="F30" s="5">
        <f>IF(E30="anomaly",COUNTIFS($D$5:$D$88,"&gt;"&amp;D30,$D$5:$D$88,"&gt;="&amp;$L$5),"")</f>
        <v/>
      </c>
      <c r="G30" s="18">
        <f>IF(E30="anomaly",IF($L$6&gt;1,F30/($L$6-1)*100,0),"")</f>
        <v/>
      </c>
      <c r="H30" s="5">
        <f>IF(E30="anomaly",IF(G30&lt;=25,"CRITICAL",IF(G30&lt;=50,"HIGH",IF(G30&lt;=75,"MEDIUM","INFO"))),"")</f>
        <v/>
      </c>
      <c r="I30" s="27">
        <f>IF(E30="anomaly",100-G30*0.5,"")</f>
        <v/>
      </c>
    </row>
    <row r="31">
      <c r="A31" s="5" t="n">
        <v>3</v>
      </c>
      <c r="B31" s="5" t="n">
        <v>4</v>
      </c>
      <c r="C31" s="40">
        <f>Features_IF!C31</f>
        <v/>
      </c>
      <c r="D31" s="17">
        <f>Features_IF!S31</f>
        <v/>
      </c>
      <c r="E31" s="5">
        <f>IF(D31&gt;=$L$5,"anomaly","normal")</f>
        <v/>
      </c>
      <c r="F31" s="5">
        <f>IF(E31="anomaly",COUNTIFS($D$5:$D$88,"&gt;"&amp;D31,$D$5:$D$88,"&gt;="&amp;$L$5),"")</f>
        <v/>
      </c>
      <c r="G31" s="18">
        <f>IF(E31="anomaly",IF($L$6&gt;1,F31/($L$6-1)*100,0),"")</f>
        <v/>
      </c>
      <c r="H31" s="5">
        <f>IF(E31="anomaly",IF(G31&lt;=25,"CRITICAL",IF(G31&lt;=50,"HIGH",IF(G31&lt;=75,"MEDIUM","INFO"))),"")</f>
        <v/>
      </c>
      <c r="I31" s="27">
        <f>IF(E31="anomaly",100-G31*0.5,"")</f>
        <v/>
      </c>
    </row>
    <row r="32">
      <c r="A32" s="5" t="n">
        <v>4</v>
      </c>
      <c r="B32" s="5" t="n">
        <v>4</v>
      </c>
      <c r="C32" s="40">
        <f>Features_IF!C32</f>
        <v/>
      </c>
      <c r="D32" s="17">
        <f>Features_IF!S32</f>
        <v/>
      </c>
      <c r="E32" s="5">
        <f>IF(D32&gt;=$L$5,"anomaly","normal")</f>
        <v/>
      </c>
      <c r="F32" s="5">
        <f>IF(E32="anomaly",COUNTIFS($D$5:$D$88,"&gt;"&amp;D32,$D$5:$D$88,"&gt;="&amp;$L$5),"")</f>
        <v/>
      </c>
      <c r="G32" s="18">
        <f>IF(E32="anomaly",IF($L$6&gt;1,F32/($L$6-1)*100,0),"")</f>
        <v/>
      </c>
      <c r="H32" s="5">
        <f>IF(E32="anomaly",IF(G32&lt;=25,"CRITICAL",IF(G32&lt;=50,"HIGH",IF(G32&lt;=75,"MEDIUM","INFO"))),"")</f>
        <v/>
      </c>
      <c r="I32" s="27">
        <f>IF(E32="anomaly",100-G32*0.5,"")</f>
        <v/>
      </c>
    </row>
    <row r="33">
      <c r="A33" s="5" t="n">
        <v>5</v>
      </c>
      <c r="B33" s="5" t="n">
        <v>4</v>
      </c>
      <c r="C33" s="40">
        <f>Features_IF!C33</f>
        <v/>
      </c>
      <c r="D33" s="17">
        <f>Features_IF!S33</f>
        <v/>
      </c>
      <c r="E33" s="5">
        <f>IF(D33&gt;=$L$5,"anomaly","normal")</f>
        <v/>
      </c>
      <c r="F33" s="5">
        <f>IF(E33="anomaly",COUNTIFS($D$5:$D$88,"&gt;"&amp;D33,$D$5:$D$88,"&gt;="&amp;$L$5),"")</f>
        <v/>
      </c>
      <c r="G33" s="18">
        <f>IF(E33="anomaly",IF($L$6&gt;1,F33/($L$6-1)*100,0),"")</f>
        <v/>
      </c>
      <c r="H33" s="5">
        <f>IF(E33="anomaly",IF(G33&lt;=25,"CRITICAL",IF(G33&lt;=50,"HIGH",IF(G33&lt;=75,"MEDIUM","INFO"))),"")</f>
        <v/>
      </c>
      <c r="I33" s="27">
        <f>IF(E33="anomaly",100-G33*0.5,"")</f>
        <v/>
      </c>
    </row>
    <row r="34">
      <c r="A34" s="5" t="n">
        <v>6</v>
      </c>
      <c r="B34" s="5" t="n">
        <v>4</v>
      </c>
      <c r="C34" s="40">
        <f>Features_IF!C34</f>
        <v/>
      </c>
      <c r="D34" s="17">
        <f>Features_IF!S34</f>
        <v/>
      </c>
      <c r="E34" s="5">
        <f>IF(D34&gt;=$L$5,"anomaly","normal")</f>
        <v/>
      </c>
      <c r="F34" s="5">
        <f>IF(E34="anomaly",COUNTIFS($D$5:$D$88,"&gt;"&amp;D34,$D$5:$D$88,"&gt;="&amp;$L$5),"")</f>
        <v/>
      </c>
      <c r="G34" s="18">
        <f>IF(E34="anomaly",IF($L$6&gt;1,F34/($L$6-1)*100,0),"")</f>
        <v/>
      </c>
      <c r="H34" s="5">
        <f>IF(E34="anomaly",IF(G34&lt;=25,"CRITICAL",IF(G34&lt;=50,"HIGH",IF(G34&lt;=75,"MEDIUM","INFO"))),"")</f>
        <v/>
      </c>
      <c r="I34" s="27">
        <f>IF(E34="anomaly",100-G34*0.5,"")</f>
        <v/>
      </c>
    </row>
    <row r="35">
      <c r="A35" s="5" t="n">
        <v>1</v>
      </c>
      <c r="B35" s="5" t="n">
        <v>5</v>
      </c>
      <c r="C35" s="40">
        <f>Features_IF!C35</f>
        <v/>
      </c>
      <c r="D35" s="17">
        <f>Features_IF!S35</f>
        <v/>
      </c>
      <c r="E35" s="5">
        <f>IF(D35&gt;=$L$5,"anomaly","normal")</f>
        <v/>
      </c>
      <c r="F35" s="5">
        <f>IF(E35="anomaly",COUNTIFS($D$5:$D$88,"&gt;"&amp;D35,$D$5:$D$88,"&gt;="&amp;$L$5),"")</f>
        <v/>
      </c>
      <c r="G35" s="18">
        <f>IF(E35="anomaly",IF($L$6&gt;1,F35/($L$6-1)*100,0),"")</f>
        <v/>
      </c>
      <c r="H35" s="5">
        <f>IF(E35="anomaly",IF(G35&lt;=25,"CRITICAL",IF(G35&lt;=50,"HIGH",IF(G35&lt;=75,"MEDIUM","INFO"))),"")</f>
        <v/>
      </c>
      <c r="I35" s="27">
        <f>IF(E35="anomaly",100-G35*0.5,"")</f>
        <v/>
      </c>
    </row>
    <row r="36">
      <c r="A36" s="5" t="n">
        <v>2</v>
      </c>
      <c r="B36" s="5" t="n">
        <v>5</v>
      </c>
      <c r="C36" s="40">
        <f>Features_IF!C36</f>
        <v/>
      </c>
      <c r="D36" s="17">
        <f>Features_IF!S36</f>
        <v/>
      </c>
      <c r="E36" s="5">
        <f>IF(D36&gt;=$L$5,"anomaly","normal")</f>
        <v/>
      </c>
      <c r="F36" s="5">
        <f>IF(E36="anomaly",COUNTIFS($D$5:$D$88,"&gt;"&amp;D36,$D$5:$D$88,"&gt;="&amp;$L$5),"")</f>
        <v/>
      </c>
      <c r="G36" s="18">
        <f>IF(E36="anomaly",IF($L$6&gt;1,F36/($L$6-1)*100,0),"")</f>
        <v/>
      </c>
      <c r="H36" s="5">
        <f>IF(E36="anomaly",IF(G36&lt;=25,"CRITICAL",IF(G36&lt;=50,"HIGH",IF(G36&lt;=75,"MEDIUM","INFO"))),"")</f>
        <v/>
      </c>
      <c r="I36" s="27">
        <f>IF(E36="anomaly",100-G36*0.5,"")</f>
        <v/>
      </c>
    </row>
    <row r="37">
      <c r="A37" s="5" t="n">
        <v>3</v>
      </c>
      <c r="B37" s="5" t="n">
        <v>5</v>
      </c>
      <c r="C37" s="40">
        <f>Features_IF!C37</f>
        <v/>
      </c>
      <c r="D37" s="17">
        <f>Features_IF!S37</f>
        <v/>
      </c>
      <c r="E37" s="5">
        <f>IF(D37&gt;=$L$5,"anomaly","normal")</f>
        <v/>
      </c>
      <c r="F37" s="5">
        <f>IF(E37="anomaly",COUNTIFS($D$5:$D$88,"&gt;"&amp;D37,$D$5:$D$88,"&gt;="&amp;$L$5),"")</f>
        <v/>
      </c>
      <c r="G37" s="18">
        <f>IF(E37="anomaly",IF($L$6&gt;1,F37/($L$6-1)*100,0),"")</f>
        <v/>
      </c>
      <c r="H37" s="5">
        <f>IF(E37="anomaly",IF(G37&lt;=25,"CRITICAL",IF(G37&lt;=50,"HIGH",IF(G37&lt;=75,"MEDIUM","INFO"))),"")</f>
        <v/>
      </c>
      <c r="I37" s="27">
        <f>IF(E37="anomaly",100-G37*0.5,"")</f>
        <v/>
      </c>
    </row>
    <row r="38">
      <c r="A38" s="5" t="n">
        <v>4</v>
      </c>
      <c r="B38" s="5" t="n">
        <v>5</v>
      </c>
      <c r="C38" s="40">
        <f>Features_IF!C38</f>
        <v/>
      </c>
      <c r="D38" s="17">
        <f>Features_IF!S38</f>
        <v/>
      </c>
      <c r="E38" s="5">
        <f>IF(D38&gt;=$L$5,"anomaly","normal")</f>
        <v/>
      </c>
      <c r="F38" s="5">
        <f>IF(E38="anomaly",COUNTIFS($D$5:$D$88,"&gt;"&amp;D38,$D$5:$D$88,"&gt;="&amp;$L$5),"")</f>
        <v/>
      </c>
      <c r="G38" s="18">
        <f>IF(E38="anomaly",IF($L$6&gt;1,F38/($L$6-1)*100,0),"")</f>
        <v/>
      </c>
      <c r="H38" s="5">
        <f>IF(E38="anomaly",IF(G38&lt;=25,"CRITICAL",IF(G38&lt;=50,"HIGH",IF(G38&lt;=75,"MEDIUM","INFO"))),"")</f>
        <v/>
      </c>
      <c r="I38" s="27">
        <f>IF(E38="anomaly",100-G38*0.5,"")</f>
        <v/>
      </c>
    </row>
    <row r="39">
      <c r="A39" s="5" t="n">
        <v>5</v>
      </c>
      <c r="B39" s="5" t="n">
        <v>5</v>
      </c>
      <c r="C39" s="40">
        <f>Features_IF!C39</f>
        <v/>
      </c>
      <c r="D39" s="17">
        <f>Features_IF!S39</f>
        <v/>
      </c>
      <c r="E39" s="5">
        <f>IF(D39&gt;=$L$5,"anomaly","normal")</f>
        <v/>
      </c>
      <c r="F39" s="5">
        <f>IF(E39="anomaly",COUNTIFS($D$5:$D$88,"&gt;"&amp;D39,$D$5:$D$88,"&gt;="&amp;$L$5),"")</f>
        <v/>
      </c>
      <c r="G39" s="18">
        <f>IF(E39="anomaly",IF($L$6&gt;1,F39/($L$6-1)*100,0),"")</f>
        <v/>
      </c>
      <c r="H39" s="5">
        <f>IF(E39="anomaly",IF(G39&lt;=25,"CRITICAL",IF(G39&lt;=50,"HIGH",IF(G39&lt;=75,"MEDIUM","INFO"))),"")</f>
        <v/>
      </c>
      <c r="I39" s="27">
        <f>IF(E39="anomaly",100-G39*0.5,"")</f>
        <v/>
      </c>
    </row>
    <row r="40">
      <c r="A40" s="5" t="n">
        <v>6</v>
      </c>
      <c r="B40" s="5" t="n">
        <v>5</v>
      </c>
      <c r="C40" s="40">
        <f>Features_IF!C40</f>
        <v/>
      </c>
      <c r="D40" s="17">
        <f>Features_IF!S40</f>
        <v/>
      </c>
      <c r="E40" s="5">
        <f>IF(D40&gt;=$L$5,"anomaly","normal")</f>
        <v/>
      </c>
      <c r="F40" s="5">
        <f>IF(E40="anomaly",COUNTIFS($D$5:$D$88,"&gt;"&amp;D40,$D$5:$D$88,"&gt;="&amp;$L$5),"")</f>
        <v/>
      </c>
      <c r="G40" s="18">
        <f>IF(E40="anomaly",IF($L$6&gt;1,F40/($L$6-1)*100,0),"")</f>
        <v/>
      </c>
      <c r="H40" s="5">
        <f>IF(E40="anomaly",IF(G40&lt;=25,"CRITICAL",IF(G40&lt;=50,"HIGH",IF(G40&lt;=75,"MEDIUM","INFO"))),"")</f>
        <v/>
      </c>
      <c r="I40" s="27">
        <f>IF(E40="anomaly",100-G40*0.5,"")</f>
        <v/>
      </c>
    </row>
    <row r="41">
      <c r="A41" s="5" t="n">
        <v>1</v>
      </c>
      <c r="B41" s="5" t="n">
        <v>6</v>
      </c>
      <c r="C41" s="40">
        <f>Features_IF!C41</f>
        <v/>
      </c>
      <c r="D41" s="17">
        <f>Features_IF!S41</f>
        <v/>
      </c>
      <c r="E41" s="5">
        <f>IF(D41&gt;=$L$5,"anomaly","normal")</f>
        <v/>
      </c>
      <c r="F41" s="5">
        <f>IF(E41="anomaly",COUNTIFS($D$5:$D$88,"&gt;"&amp;D41,$D$5:$D$88,"&gt;="&amp;$L$5),"")</f>
        <v/>
      </c>
      <c r="G41" s="18">
        <f>IF(E41="anomaly",IF($L$6&gt;1,F41/($L$6-1)*100,0),"")</f>
        <v/>
      </c>
      <c r="H41" s="5">
        <f>IF(E41="anomaly",IF(G41&lt;=25,"CRITICAL",IF(G41&lt;=50,"HIGH",IF(G41&lt;=75,"MEDIUM","INFO"))),"")</f>
        <v/>
      </c>
      <c r="I41" s="27">
        <f>IF(E41="anomaly",100-G41*0.5,"")</f>
        <v/>
      </c>
    </row>
    <row r="42">
      <c r="A42" s="5" t="n">
        <v>2</v>
      </c>
      <c r="B42" s="5" t="n">
        <v>6</v>
      </c>
      <c r="C42" s="40">
        <f>Features_IF!C42</f>
        <v/>
      </c>
      <c r="D42" s="17">
        <f>Features_IF!S42</f>
        <v/>
      </c>
      <c r="E42" s="5">
        <f>IF(D42&gt;=$L$5,"anomaly","normal")</f>
        <v/>
      </c>
      <c r="F42" s="5">
        <f>IF(E42="anomaly",COUNTIFS($D$5:$D$88,"&gt;"&amp;D42,$D$5:$D$88,"&gt;="&amp;$L$5),"")</f>
        <v/>
      </c>
      <c r="G42" s="18">
        <f>IF(E42="anomaly",IF($L$6&gt;1,F42/($L$6-1)*100,0),"")</f>
        <v/>
      </c>
      <c r="H42" s="5">
        <f>IF(E42="anomaly",IF(G42&lt;=25,"CRITICAL",IF(G42&lt;=50,"HIGH",IF(G42&lt;=75,"MEDIUM","INFO"))),"")</f>
        <v/>
      </c>
      <c r="I42" s="27">
        <f>IF(E42="anomaly",100-G42*0.5,"")</f>
        <v/>
      </c>
    </row>
    <row r="43">
      <c r="A43" s="5" t="n">
        <v>3</v>
      </c>
      <c r="B43" s="5" t="n">
        <v>6</v>
      </c>
      <c r="C43" s="40">
        <f>Features_IF!C43</f>
        <v/>
      </c>
      <c r="D43" s="17">
        <f>Features_IF!S43</f>
        <v/>
      </c>
      <c r="E43" s="5">
        <f>IF(D43&gt;=$L$5,"anomaly","normal")</f>
        <v/>
      </c>
      <c r="F43" s="5">
        <f>IF(E43="anomaly",COUNTIFS($D$5:$D$88,"&gt;"&amp;D43,$D$5:$D$88,"&gt;="&amp;$L$5),"")</f>
        <v/>
      </c>
      <c r="G43" s="18">
        <f>IF(E43="anomaly",IF($L$6&gt;1,F43/($L$6-1)*100,0),"")</f>
        <v/>
      </c>
      <c r="H43" s="5">
        <f>IF(E43="anomaly",IF(G43&lt;=25,"CRITICAL",IF(G43&lt;=50,"HIGH",IF(G43&lt;=75,"MEDIUM","INFO"))),"")</f>
        <v/>
      </c>
      <c r="I43" s="27">
        <f>IF(E43="anomaly",100-G43*0.5,"")</f>
        <v/>
      </c>
    </row>
    <row r="44">
      <c r="A44" s="5" t="n">
        <v>4</v>
      </c>
      <c r="B44" s="5" t="n">
        <v>6</v>
      </c>
      <c r="C44" s="40">
        <f>Features_IF!C44</f>
        <v/>
      </c>
      <c r="D44" s="17">
        <f>Features_IF!S44</f>
        <v/>
      </c>
      <c r="E44" s="5">
        <f>IF(D44&gt;=$L$5,"anomaly","normal")</f>
        <v/>
      </c>
      <c r="F44" s="5">
        <f>IF(E44="anomaly",COUNTIFS($D$5:$D$88,"&gt;"&amp;D44,$D$5:$D$88,"&gt;="&amp;$L$5),"")</f>
        <v/>
      </c>
      <c r="G44" s="18">
        <f>IF(E44="anomaly",IF($L$6&gt;1,F44/($L$6-1)*100,0),"")</f>
        <v/>
      </c>
      <c r="H44" s="5">
        <f>IF(E44="anomaly",IF(G44&lt;=25,"CRITICAL",IF(G44&lt;=50,"HIGH",IF(G44&lt;=75,"MEDIUM","INFO"))),"")</f>
        <v/>
      </c>
      <c r="I44" s="27">
        <f>IF(E44="anomaly",100-G44*0.5,"")</f>
        <v/>
      </c>
    </row>
    <row r="45">
      <c r="A45" s="5" t="n">
        <v>5</v>
      </c>
      <c r="B45" s="5" t="n">
        <v>6</v>
      </c>
      <c r="C45" s="40">
        <f>Features_IF!C45</f>
        <v/>
      </c>
      <c r="D45" s="17">
        <f>Features_IF!S45</f>
        <v/>
      </c>
      <c r="E45" s="5">
        <f>IF(D45&gt;=$L$5,"anomaly","normal")</f>
        <v/>
      </c>
      <c r="F45" s="5">
        <f>IF(E45="anomaly",COUNTIFS($D$5:$D$88,"&gt;"&amp;D45,$D$5:$D$88,"&gt;="&amp;$L$5),"")</f>
        <v/>
      </c>
      <c r="G45" s="18">
        <f>IF(E45="anomaly",IF($L$6&gt;1,F45/($L$6-1)*100,0),"")</f>
        <v/>
      </c>
      <c r="H45" s="5">
        <f>IF(E45="anomaly",IF(G45&lt;=25,"CRITICAL",IF(G45&lt;=50,"HIGH",IF(G45&lt;=75,"MEDIUM","INFO"))),"")</f>
        <v/>
      </c>
      <c r="I45" s="27">
        <f>IF(E45="anomaly",100-G45*0.5,"")</f>
        <v/>
      </c>
    </row>
    <row r="46">
      <c r="A46" s="5" t="n">
        <v>6</v>
      </c>
      <c r="B46" s="5" t="n">
        <v>6</v>
      </c>
      <c r="C46" s="40">
        <f>Features_IF!C46</f>
        <v/>
      </c>
      <c r="D46" s="17">
        <f>Features_IF!S46</f>
        <v/>
      </c>
      <c r="E46" s="5">
        <f>IF(D46&gt;=$L$5,"anomaly","normal")</f>
        <v/>
      </c>
      <c r="F46" s="5">
        <f>IF(E46="anomaly",COUNTIFS($D$5:$D$88,"&gt;"&amp;D46,$D$5:$D$88,"&gt;="&amp;$L$5),"")</f>
        <v/>
      </c>
      <c r="G46" s="18">
        <f>IF(E46="anomaly",IF($L$6&gt;1,F46/($L$6-1)*100,0),"")</f>
        <v/>
      </c>
      <c r="H46" s="5">
        <f>IF(E46="anomaly",IF(G46&lt;=25,"CRITICAL",IF(G46&lt;=50,"HIGH",IF(G46&lt;=75,"MEDIUM","INFO"))),"")</f>
        <v/>
      </c>
      <c r="I46" s="27">
        <f>IF(E46="anomaly",100-G46*0.5,"")</f>
        <v/>
      </c>
    </row>
    <row r="47">
      <c r="A47" s="5" t="n">
        <v>1</v>
      </c>
      <c r="B47" s="5" t="n">
        <v>7</v>
      </c>
      <c r="C47" s="40">
        <f>Features_IF!C47</f>
        <v/>
      </c>
      <c r="D47" s="17">
        <f>Features_IF!S47</f>
        <v/>
      </c>
      <c r="E47" s="5">
        <f>IF(D47&gt;=$L$5,"anomaly","normal")</f>
        <v/>
      </c>
      <c r="F47" s="5">
        <f>IF(E47="anomaly",COUNTIFS($D$5:$D$88,"&gt;"&amp;D47,$D$5:$D$88,"&gt;="&amp;$L$5),"")</f>
        <v/>
      </c>
      <c r="G47" s="18">
        <f>IF(E47="anomaly",IF($L$6&gt;1,F47/($L$6-1)*100,0),"")</f>
        <v/>
      </c>
      <c r="H47" s="5">
        <f>IF(E47="anomaly",IF(G47&lt;=25,"CRITICAL",IF(G47&lt;=50,"HIGH",IF(G47&lt;=75,"MEDIUM","INFO"))),"")</f>
        <v/>
      </c>
      <c r="I47" s="27">
        <f>IF(E47="anomaly",100-G47*0.5,"")</f>
        <v/>
      </c>
    </row>
    <row r="48">
      <c r="A48" s="5" t="n">
        <v>2</v>
      </c>
      <c r="B48" s="5" t="n">
        <v>7</v>
      </c>
      <c r="C48" s="40">
        <f>Features_IF!C48</f>
        <v/>
      </c>
      <c r="D48" s="17">
        <f>Features_IF!S48</f>
        <v/>
      </c>
      <c r="E48" s="5">
        <f>IF(D48&gt;=$L$5,"anomaly","normal")</f>
        <v/>
      </c>
      <c r="F48" s="5">
        <f>IF(E48="anomaly",COUNTIFS($D$5:$D$88,"&gt;"&amp;D48,$D$5:$D$88,"&gt;="&amp;$L$5),"")</f>
        <v/>
      </c>
      <c r="G48" s="18">
        <f>IF(E48="anomaly",IF($L$6&gt;1,F48/($L$6-1)*100,0),"")</f>
        <v/>
      </c>
      <c r="H48" s="5">
        <f>IF(E48="anomaly",IF(G48&lt;=25,"CRITICAL",IF(G48&lt;=50,"HIGH",IF(G48&lt;=75,"MEDIUM","INFO"))),"")</f>
        <v/>
      </c>
      <c r="I48" s="27">
        <f>IF(E48="anomaly",100-G48*0.5,"")</f>
        <v/>
      </c>
    </row>
    <row r="49">
      <c r="A49" s="5" t="n">
        <v>3</v>
      </c>
      <c r="B49" s="5" t="n">
        <v>7</v>
      </c>
      <c r="C49" s="40">
        <f>Features_IF!C49</f>
        <v/>
      </c>
      <c r="D49" s="17">
        <f>Features_IF!S49</f>
        <v/>
      </c>
      <c r="E49" s="5">
        <f>IF(D49&gt;=$L$5,"anomaly","normal")</f>
        <v/>
      </c>
      <c r="F49" s="5">
        <f>IF(E49="anomaly",COUNTIFS($D$5:$D$88,"&gt;"&amp;D49,$D$5:$D$88,"&gt;="&amp;$L$5),"")</f>
        <v/>
      </c>
      <c r="G49" s="18">
        <f>IF(E49="anomaly",IF($L$6&gt;1,F49/($L$6-1)*100,0),"")</f>
        <v/>
      </c>
      <c r="H49" s="5">
        <f>IF(E49="anomaly",IF(G49&lt;=25,"CRITICAL",IF(G49&lt;=50,"HIGH",IF(G49&lt;=75,"MEDIUM","INFO"))),"")</f>
        <v/>
      </c>
      <c r="I49" s="27">
        <f>IF(E49="anomaly",100-G49*0.5,"")</f>
        <v/>
      </c>
    </row>
    <row r="50">
      <c r="A50" s="5" t="n">
        <v>4</v>
      </c>
      <c r="B50" s="5" t="n">
        <v>7</v>
      </c>
      <c r="C50" s="40">
        <f>Features_IF!C50</f>
        <v/>
      </c>
      <c r="D50" s="17">
        <f>Features_IF!S50</f>
        <v/>
      </c>
      <c r="E50" s="5">
        <f>IF(D50&gt;=$L$5,"anomaly","normal")</f>
        <v/>
      </c>
      <c r="F50" s="5">
        <f>IF(E50="anomaly",COUNTIFS($D$5:$D$88,"&gt;"&amp;D50,$D$5:$D$88,"&gt;="&amp;$L$5),"")</f>
        <v/>
      </c>
      <c r="G50" s="18">
        <f>IF(E50="anomaly",IF($L$6&gt;1,F50/($L$6-1)*100,0),"")</f>
        <v/>
      </c>
      <c r="H50" s="5">
        <f>IF(E50="anomaly",IF(G50&lt;=25,"CRITICAL",IF(G50&lt;=50,"HIGH",IF(G50&lt;=75,"MEDIUM","INFO"))),"")</f>
        <v/>
      </c>
      <c r="I50" s="27">
        <f>IF(E50="anomaly",100-G50*0.5,"")</f>
        <v/>
      </c>
    </row>
    <row r="51">
      <c r="A51" s="5" t="n">
        <v>5</v>
      </c>
      <c r="B51" s="5" t="n">
        <v>7</v>
      </c>
      <c r="C51" s="40">
        <f>Features_IF!C51</f>
        <v/>
      </c>
      <c r="D51" s="17">
        <f>Features_IF!S51</f>
        <v/>
      </c>
      <c r="E51" s="5">
        <f>IF(D51&gt;=$L$5,"anomaly","normal")</f>
        <v/>
      </c>
      <c r="F51" s="5">
        <f>IF(E51="anomaly",COUNTIFS($D$5:$D$88,"&gt;"&amp;D51,$D$5:$D$88,"&gt;="&amp;$L$5),"")</f>
        <v/>
      </c>
      <c r="G51" s="18">
        <f>IF(E51="anomaly",IF($L$6&gt;1,F51/($L$6-1)*100,0),"")</f>
        <v/>
      </c>
      <c r="H51" s="5">
        <f>IF(E51="anomaly",IF(G51&lt;=25,"CRITICAL",IF(G51&lt;=50,"HIGH",IF(G51&lt;=75,"MEDIUM","INFO"))),"")</f>
        <v/>
      </c>
      <c r="I51" s="27">
        <f>IF(E51="anomaly",100-G51*0.5,"")</f>
        <v/>
      </c>
    </row>
    <row r="52">
      <c r="A52" s="5" t="n">
        <v>6</v>
      </c>
      <c r="B52" s="5" t="n">
        <v>7</v>
      </c>
      <c r="C52" s="40">
        <f>Features_IF!C52</f>
        <v/>
      </c>
      <c r="D52" s="17">
        <f>Features_IF!S52</f>
        <v/>
      </c>
      <c r="E52" s="5">
        <f>IF(D52&gt;=$L$5,"anomaly","normal")</f>
        <v/>
      </c>
      <c r="F52" s="5">
        <f>IF(E52="anomaly",COUNTIFS($D$5:$D$88,"&gt;"&amp;D52,$D$5:$D$88,"&gt;="&amp;$L$5),"")</f>
        <v/>
      </c>
      <c r="G52" s="18">
        <f>IF(E52="anomaly",IF($L$6&gt;1,F52/($L$6-1)*100,0),"")</f>
        <v/>
      </c>
      <c r="H52" s="5">
        <f>IF(E52="anomaly",IF(G52&lt;=25,"CRITICAL",IF(G52&lt;=50,"HIGH",IF(G52&lt;=75,"MEDIUM","INFO"))),"")</f>
        <v/>
      </c>
      <c r="I52" s="27">
        <f>IF(E52="anomaly",100-G52*0.5,"")</f>
        <v/>
      </c>
    </row>
    <row r="53">
      <c r="A53" s="5" t="n">
        <v>1</v>
      </c>
      <c r="B53" s="5" t="n">
        <v>8</v>
      </c>
      <c r="C53" s="40">
        <f>Features_IF!C53</f>
        <v/>
      </c>
      <c r="D53" s="17">
        <f>Features_IF!S53</f>
        <v/>
      </c>
      <c r="E53" s="5">
        <f>IF(D53&gt;=$L$5,"anomaly","normal")</f>
        <v/>
      </c>
      <c r="F53" s="5">
        <f>IF(E53="anomaly",COUNTIFS($D$5:$D$88,"&gt;"&amp;D53,$D$5:$D$88,"&gt;="&amp;$L$5),"")</f>
        <v/>
      </c>
      <c r="G53" s="18">
        <f>IF(E53="anomaly",IF($L$6&gt;1,F53/($L$6-1)*100,0),"")</f>
        <v/>
      </c>
      <c r="H53" s="5">
        <f>IF(E53="anomaly",IF(G53&lt;=25,"CRITICAL",IF(G53&lt;=50,"HIGH",IF(G53&lt;=75,"MEDIUM","INFO"))),"")</f>
        <v/>
      </c>
      <c r="I53" s="27">
        <f>IF(E53="anomaly",100-G53*0.5,"")</f>
        <v/>
      </c>
    </row>
    <row r="54">
      <c r="A54" s="5" t="n">
        <v>2</v>
      </c>
      <c r="B54" s="5" t="n">
        <v>8</v>
      </c>
      <c r="C54" s="40">
        <f>Features_IF!C54</f>
        <v/>
      </c>
      <c r="D54" s="17">
        <f>Features_IF!S54</f>
        <v/>
      </c>
      <c r="E54" s="5">
        <f>IF(D54&gt;=$L$5,"anomaly","normal")</f>
        <v/>
      </c>
      <c r="F54" s="5">
        <f>IF(E54="anomaly",COUNTIFS($D$5:$D$88,"&gt;"&amp;D54,$D$5:$D$88,"&gt;="&amp;$L$5),"")</f>
        <v/>
      </c>
      <c r="G54" s="18">
        <f>IF(E54="anomaly",IF($L$6&gt;1,F54/($L$6-1)*100,0),"")</f>
        <v/>
      </c>
      <c r="H54" s="5">
        <f>IF(E54="anomaly",IF(G54&lt;=25,"CRITICAL",IF(G54&lt;=50,"HIGH",IF(G54&lt;=75,"MEDIUM","INFO"))),"")</f>
        <v/>
      </c>
      <c r="I54" s="27">
        <f>IF(E54="anomaly",100-G54*0.5,"")</f>
        <v/>
      </c>
    </row>
    <row r="55">
      <c r="A55" s="5" t="n">
        <v>3</v>
      </c>
      <c r="B55" s="5" t="n">
        <v>8</v>
      </c>
      <c r="C55" s="40">
        <f>Features_IF!C55</f>
        <v/>
      </c>
      <c r="D55" s="17">
        <f>Features_IF!S55</f>
        <v/>
      </c>
      <c r="E55" s="5">
        <f>IF(D55&gt;=$L$5,"anomaly","normal")</f>
        <v/>
      </c>
      <c r="F55" s="5">
        <f>IF(E55="anomaly",COUNTIFS($D$5:$D$88,"&gt;"&amp;D55,$D$5:$D$88,"&gt;="&amp;$L$5),"")</f>
        <v/>
      </c>
      <c r="G55" s="18">
        <f>IF(E55="anomaly",IF($L$6&gt;1,F55/($L$6-1)*100,0),"")</f>
        <v/>
      </c>
      <c r="H55" s="5">
        <f>IF(E55="anomaly",IF(G55&lt;=25,"CRITICAL",IF(G55&lt;=50,"HIGH",IF(G55&lt;=75,"MEDIUM","INFO"))),"")</f>
        <v/>
      </c>
      <c r="I55" s="27">
        <f>IF(E55="anomaly",100-G55*0.5,"")</f>
        <v/>
      </c>
    </row>
    <row r="56">
      <c r="A56" s="5" t="n">
        <v>4</v>
      </c>
      <c r="B56" s="5" t="n">
        <v>8</v>
      </c>
      <c r="C56" s="40">
        <f>Features_IF!C56</f>
        <v/>
      </c>
      <c r="D56" s="17">
        <f>Features_IF!S56</f>
        <v/>
      </c>
      <c r="E56" s="5">
        <f>IF(D56&gt;=$L$5,"anomaly","normal")</f>
        <v/>
      </c>
      <c r="F56" s="5">
        <f>IF(E56="anomaly",COUNTIFS($D$5:$D$88,"&gt;"&amp;D56,$D$5:$D$88,"&gt;="&amp;$L$5),"")</f>
        <v/>
      </c>
      <c r="G56" s="18">
        <f>IF(E56="anomaly",IF($L$6&gt;1,F56/($L$6-1)*100,0),"")</f>
        <v/>
      </c>
      <c r="H56" s="5">
        <f>IF(E56="anomaly",IF(G56&lt;=25,"CRITICAL",IF(G56&lt;=50,"HIGH",IF(G56&lt;=75,"MEDIUM","INFO"))),"")</f>
        <v/>
      </c>
      <c r="I56" s="27">
        <f>IF(E56="anomaly",100-G56*0.5,"")</f>
        <v/>
      </c>
    </row>
    <row r="57">
      <c r="A57" s="5" t="n">
        <v>5</v>
      </c>
      <c r="B57" s="5" t="n">
        <v>8</v>
      </c>
      <c r="C57" s="40">
        <f>Features_IF!C57</f>
        <v/>
      </c>
      <c r="D57" s="17">
        <f>Features_IF!S57</f>
        <v/>
      </c>
      <c r="E57" s="5">
        <f>IF(D57&gt;=$L$5,"anomaly","normal")</f>
        <v/>
      </c>
      <c r="F57" s="5">
        <f>IF(E57="anomaly",COUNTIFS($D$5:$D$88,"&gt;"&amp;D57,$D$5:$D$88,"&gt;="&amp;$L$5),"")</f>
        <v/>
      </c>
      <c r="G57" s="18">
        <f>IF(E57="anomaly",IF($L$6&gt;1,F57/($L$6-1)*100,0),"")</f>
        <v/>
      </c>
      <c r="H57" s="5">
        <f>IF(E57="anomaly",IF(G57&lt;=25,"CRITICAL",IF(G57&lt;=50,"HIGH",IF(G57&lt;=75,"MEDIUM","INFO"))),"")</f>
        <v/>
      </c>
      <c r="I57" s="27">
        <f>IF(E57="anomaly",100-G57*0.5,"")</f>
        <v/>
      </c>
    </row>
    <row r="58">
      <c r="A58" s="5" t="n">
        <v>6</v>
      </c>
      <c r="B58" s="5" t="n">
        <v>8</v>
      </c>
      <c r="C58" s="40">
        <f>Features_IF!C58</f>
        <v/>
      </c>
      <c r="D58" s="17">
        <f>Features_IF!S58</f>
        <v/>
      </c>
      <c r="E58" s="5">
        <f>IF(D58&gt;=$L$5,"anomaly","normal")</f>
        <v/>
      </c>
      <c r="F58" s="5">
        <f>IF(E58="anomaly",COUNTIFS($D$5:$D$88,"&gt;"&amp;D58,$D$5:$D$88,"&gt;="&amp;$L$5),"")</f>
        <v/>
      </c>
      <c r="G58" s="18">
        <f>IF(E58="anomaly",IF($L$6&gt;1,F58/($L$6-1)*100,0),"")</f>
        <v/>
      </c>
      <c r="H58" s="5">
        <f>IF(E58="anomaly",IF(G58&lt;=25,"CRITICAL",IF(G58&lt;=50,"HIGH",IF(G58&lt;=75,"MEDIUM","INFO"))),"")</f>
        <v/>
      </c>
      <c r="I58" s="27">
        <f>IF(E58="anomaly",100-G58*0.5,"")</f>
        <v/>
      </c>
    </row>
    <row r="59">
      <c r="A59" s="5" t="n">
        <v>1</v>
      </c>
      <c r="B59" s="5" t="n">
        <v>9</v>
      </c>
      <c r="C59" s="40">
        <f>Features_IF!C59</f>
        <v/>
      </c>
      <c r="D59" s="17">
        <f>Features_IF!S59</f>
        <v/>
      </c>
      <c r="E59" s="5">
        <f>IF(D59&gt;=$L$5,"anomaly","normal")</f>
        <v/>
      </c>
      <c r="F59" s="5">
        <f>IF(E59="anomaly",COUNTIFS($D$5:$D$88,"&gt;"&amp;D59,$D$5:$D$88,"&gt;="&amp;$L$5),"")</f>
        <v/>
      </c>
      <c r="G59" s="18">
        <f>IF(E59="anomaly",IF($L$6&gt;1,F59/($L$6-1)*100,0),"")</f>
        <v/>
      </c>
      <c r="H59" s="5">
        <f>IF(E59="anomaly",IF(G59&lt;=25,"CRITICAL",IF(G59&lt;=50,"HIGH",IF(G59&lt;=75,"MEDIUM","INFO"))),"")</f>
        <v/>
      </c>
      <c r="I59" s="27">
        <f>IF(E59="anomaly",100-G59*0.5,"")</f>
        <v/>
      </c>
    </row>
    <row r="60">
      <c r="A60" s="5" t="n">
        <v>2</v>
      </c>
      <c r="B60" s="5" t="n">
        <v>9</v>
      </c>
      <c r="C60" s="40">
        <f>Features_IF!C60</f>
        <v/>
      </c>
      <c r="D60" s="17">
        <f>Features_IF!S60</f>
        <v/>
      </c>
      <c r="E60" s="5">
        <f>IF(D60&gt;=$L$5,"anomaly","normal")</f>
        <v/>
      </c>
      <c r="F60" s="5">
        <f>IF(E60="anomaly",COUNTIFS($D$5:$D$88,"&gt;"&amp;D60,$D$5:$D$88,"&gt;="&amp;$L$5),"")</f>
        <v/>
      </c>
      <c r="G60" s="18">
        <f>IF(E60="anomaly",IF($L$6&gt;1,F60/($L$6-1)*100,0),"")</f>
        <v/>
      </c>
      <c r="H60" s="5">
        <f>IF(E60="anomaly",IF(G60&lt;=25,"CRITICAL",IF(G60&lt;=50,"HIGH",IF(G60&lt;=75,"MEDIUM","INFO"))),"")</f>
        <v/>
      </c>
      <c r="I60" s="27">
        <f>IF(E60="anomaly",100-G60*0.5,"")</f>
        <v/>
      </c>
    </row>
    <row r="61">
      <c r="A61" s="5" t="n">
        <v>3</v>
      </c>
      <c r="B61" s="5" t="n">
        <v>9</v>
      </c>
      <c r="C61" s="40">
        <f>Features_IF!C61</f>
        <v/>
      </c>
      <c r="D61" s="17">
        <f>Features_IF!S61</f>
        <v/>
      </c>
      <c r="E61" s="5">
        <f>IF(D61&gt;=$L$5,"anomaly","normal")</f>
        <v/>
      </c>
      <c r="F61" s="5">
        <f>IF(E61="anomaly",COUNTIFS($D$5:$D$88,"&gt;"&amp;D61,$D$5:$D$88,"&gt;="&amp;$L$5),"")</f>
        <v/>
      </c>
      <c r="G61" s="18">
        <f>IF(E61="anomaly",IF($L$6&gt;1,F61/($L$6-1)*100,0),"")</f>
        <v/>
      </c>
      <c r="H61" s="5">
        <f>IF(E61="anomaly",IF(G61&lt;=25,"CRITICAL",IF(G61&lt;=50,"HIGH",IF(G61&lt;=75,"MEDIUM","INFO"))),"")</f>
        <v/>
      </c>
      <c r="I61" s="27">
        <f>IF(E61="anomaly",100-G61*0.5,"")</f>
        <v/>
      </c>
    </row>
    <row r="62">
      <c r="A62" s="5" t="n">
        <v>4</v>
      </c>
      <c r="B62" s="5" t="n">
        <v>9</v>
      </c>
      <c r="C62" s="40">
        <f>Features_IF!C62</f>
        <v/>
      </c>
      <c r="D62" s="17">
        <f>Features_IF!S62</f>
        <v/>
      </c>
      <c r="E62" s="5">
        <f>IF(D62&gt;=$L$5,"anomaly","normal")</f>
        <v/>
      </c>
      <c r="F62" s="5">
        <f>IF(E62="anomaly",COUNTIFS($D$5:$D$88,"&gt;"&amp;D62,$D$5:$D$88,"&gt;="&amp;$L$5),"")</f>
        <v/>
      </c>
      <c r="G62" s="18">
        <f>IF(E62="anomaly",IF($L$6&gt;1,F62/($L$6-1)*100,0),"")</f>
        <v/>
      </c>
      <c r="H62" s="5">
        <f>IF(E62="anomaly",IF(G62&lt;=25,"CRITICAL",IF(G62&lt;=50,"HIGH",IF(G62&lt;=75,"MEDIUM","INFO"))),"")</f>
        <v/>
      </c>
      <c r="I62" s="27">
        <f>IF(E62="anomaly",100-G62*0.5,"")</f>
        <v/>
      </c>
    </row>
    <row r="63">
      <c r="A63" s="5" t="n">
        <v>5</v>
      </c>
      <c r="B63" s="5" t="n">
        <v>9</v>
      </c>
      <c r="C63" s="40">
        <f>Features_IF!C63</f>
        <v/>
      </c>
      <c r="D63" s="17">
        <f>Features_IF!S63</f>
        <v/>
      </c>
      <c r="E63" s="5">
        <f>IF(D63&gt;=$L$5,"anomaly","normal")</f>
        <v/>
      </c>
      <c r="F63" s="5">
        <f>IF(E63="anomaly",COUNTIFS($D$5:$D$88,"&gt;"&amp;D63,$D$5:$D$88,"&gt;="&amp;$L$5),"")</f>
        <v/>
      </c>
      <c r="G63" s="18">
        <f>IF(E63="anomaly",IF($L$6&gt;1,F63/($L$6-1)*100,0),"")</f>
        <v/>
      </c>
      <c r="H63" s="5">
        <f>IF(E63="anomaly",IF(G63&lt;=25,"CRITICAL",IF(G63&lt;=50,"HIGH",IF(G63&lt;=75,"MEDIUM","INFO"))),"")</f>
        <v/>
      </c>
      <c r="I63" s="27">
        <f>IF(E63="anomaly",100-G63*0.5,"")</f>
        <v/>
      </c>
    </row>
    <row r="64">
      <c r="A64" s="5" t="n">
        <v>6</v>
      </c>
      <c r="B64" s="5" t="n">
        <v>9</v>
      </c>
      <c r="C64" s="40">
        <f>Features_IF!C64</f>
        <v/>
      </c>
      <c r="D64" s="17">
        <f>Features_IF!S64</f>
        <v/>
      </c>
      <c r="E64" s="5">
        <f>IF(D64&gt;=$L$5,"anomaly","normal")</f>
        <v/>
      </c>
      <c r="F64" s="5">
        <f>IF(E64="anomaly",COUNTIFS($D$5:$D$88,"&gt;"&amp;D64,$D$5:$D$88,"&gt;="&amp;$L$5),"")</f>
        <v/>
      </c>
      <c r="G64" s="18">
        <f>IF(E64="anomaly",IF($L$6&gt;1,F64/($L$6-1)*100,0),"")</f>
        <v/>
      </c>
      <c r="H64" s="5">
        <f>IF(E64="anomaly",IF(G64&lt;=25,"CRITICAL",IF(G64&lt;=50,"HIGH",IF(G64&lt;=75,"MEDIUM","INFO"))),"")</f>
        <v/>
      </c>
      <c r="I64" s="27">
        <f>IF(E64="anomaly",100-G64*0.5,"")</f>
        <v/>
      </c>
    </row>
    <row r="65">
      <c r="A65" s="5" t="n">
        <v>1</v>
      </c>
      <c r="B65" s="5" t="n">
        <v>10</v>
      </c>
      <c r="C65" s="40">
        <f>Features_IF!C65</f>
        <v/>
      </c>
      <c r="D65" s="17">
        <f>Features_IF!S65</f>
        <v/>
      </c>
      <c r="E65" s="5">
        <f>IF(D65&gt;=$L$5,"anomaly","normal")</f>
        <v/>
      </c>
      <c r="F65" s="5">
        <f>IF(E65="anomaly",COUNTIFS($D$5:$D$88,"&gt;"&amp;D65,$D$5:$D$88,"&gt;="&amp;$L$5),"")</f>
        <v/>
      </c>
      <c r="G65" s="18">
        <f>IF(E65="anomaly",IF($L$6&gt;1,F65/($L$6-1)*100,0),"")</f>
        <v/>
      </c>
      <c r="H65" s="5">
        <f>IF(E65="anomaly",IF(G65&lt;=25,"CRITICAL",IF(G65&lt;=50,"HIGH",IF(G65&lt;=75,"MEDIUM","INFO"))),"")</f>
        <v/>
      </c>
      <c r="I65" s="27">
        <f>IF(E65="anomaly",100-G65*0.5,"")</f>
        <v/>
      </c>
    </row>
    <row r="66">
      <c r="A66" s="5" t="n">
        <v>2</v>
      </c>
      <c r="B66" s="5" t="n">
        <v>10</v>
      </c>
      <c r="C66" s="40">
        <f>Features_IF!C66</f>
        <v/>
      </c>
      <c r="D66" s="17">
        <f>Features_IF!S66</f>
        <v/>
      </c>
      <c r="E66" s="5">
        <f>IF(D66&gt;=$L$5,"anomaly","normal")</f>
        <v/>
      </c>
      <c r="F66" s="5">
        <f>IF(E66="anomaly",COUNTIFS($D$5:$D$88,"&gt;"&amp;D66,$D$5:$D$88,"&gt;="&amp;$L$5),"")</f>
        <v/>
      </c>
      <c r="G66" s="18">
        <f>IF(E66="anomaly",IF($L$6&gt;1,F66/($L$6-1)*100,0),"")</f>
        <v/>
      </c>
      <c r="H66" s="5">
        <f>IF(E66="anomaly",IF(G66&lt;=25,"CRITICAL",IF(G66&lt;=50,"HIGH",IF(G66&lt;=75,"MEDIUM","INFO"))),"")</f>
        <v/>
      </c>
      <c r="I66" s="27">
        <f>IF(E66="anomaly",100-G66*0.5,"")</f>
        <v/>
      </c>
    </row>
    <row r="67">
      <c r="A67" s="5" t="n">
        <v>3</v>
      </c>
      <c r="B67" s="5" t="n">
        <v>10</v>
      </c>
      <c r="C67" s="40">
        <f>Features_IF!C67</f>
        <v/>
      </c>
      <c r="D67" s="17">
        <f>Features_IF!S67</f>
        <v/>
      </c>
      <c r="E67" s="5">
        <f>IF(D67&gt;=$L$5,"anomaly","normal")</f>
        <v/>
      </c>
      <c r="F67" s="5">
        <f>IF(E67="anomaly",COUNTIFS($D$5:$D$88,"&gt;"&amp;D67,$D$5:$D$88,"&gt;="&amp;$L$5),"")</f>
        <v/>
      </c>
      <c r="G67" s="18">
        <f>IF(E67="anomaly",IF($L$6&gt;1,F67/($L$6-1)*100,0),"")</f>
        <v/>
      </c>
      <c r="H67" s="5">
        <f>IF(E67="anomaly",IF(G67&lt;=25,"CRITICAL",IF(G67&lt;=50,"HIGH",IF(G67&lt;=75,"MEDIUM","INFO"))),"")</f>
        <v/>
      </c>
      <c r="I67" s="27">
        <f>IF(E67="anomaly",100-G67*0.5,"")</f>
        <v/>
      </c>
    </row>
    <row r="68">
      <c r="A68" s="5" t="n">
        <v>4</v>
      </c>
      <c r="B68" s="5" t="n">
        <v>10</v>
      </c>
      <c r="C68" s="40">
        <f>Features_IF!C68</f>
        <v/>
      </c>
      <c r="D68" s="17">
        <f>Features_IF!S68</f>
        <v/>
      </c>
      <c r="E68" s="5">
        <f>IF(D68&gt;=$L$5,"anomaly","normal")</f>
        <v/>
      </c>
      <c r="F68" s="5">
        <f>IF(E68="anomaly",COUNTIFS($D$5:$D$88,"&gt;"&amp;D68,$D$5:$D$88,"&gt;="&amp;$L$5),"")</f>
        <v/>
      </c>
      <c r="G68" s="18">
        <f>IF(E68="anomaly",IF($L$6&gt;1,F68/($L$6-1)*100,0),"")</f>
        <v/>
      </c>
      <c r="H68" s="5">
        <f>IF(E68="anomaly",IF(G68&lt;=25,"CRITICAL",IF(G68&lt;=50,"HIGH",IF(G68&lt;=75,"MEDIUM","INFO"))),"")</f>
        <v/>
      </c>
      <c r="I68" s="27">
        <f>IF(E68="anomaly",100-G68*0.5,"")</f>
        <v/>
      </c>
    </row>
    <row r="69">
      <c r="A69" s="5" t="n">
        <v>5</v>
      </c>
      <c r="B69" s="5" t="n">
        <v>10</v>
      </c>
      <c r="C69" s="40">
        <f>Features_IF!C69</f>
        <v/>
      </c>
      <c r="D69" s="17">
        <f>Features_IF!S69</f>
        <v/>
      </c>
      <c r="E69" s="5">
        <f>IF(D69&gt;=$L$5,"anomaly","normal")</f>
        <v/>
      </c>
      <c r="F69" s="5">
        <f>IF(E69="anomaly",COUNTIFS($D$5:$D$88,"&gt;"&amp;D69,$D$5:$D$88,"&gt;="&amp;$L$5),"")</f>
        <v/>
      </c>
      <c r="G69" s="18">
        <f>IF(E69="anomaly",IF($L$6&gt;1,F69/($L$6-1)*100,0),"")</f>
        <v/>
      </c>
      <c r="H69" s="5">
        <f>IF(E69="anomaly",IF(G69&lt;=25,"CRITICAL",IF(G69&lt;=50,"HIGH",IF(G69&lt;=75,"MEDIUM","INFO"))),"")</f>
        <v/>
      </c>
      <c r="I69" s="27">
        <f>IF(E69="anomaly",100-G69*0.5,"")</f>
        <v/>
      </c>
    </row>
    <row r="70">
      <c r="A70" s="5" t="n">
        <v>6</v>
      </c>
      <c r="B70" s="5" t="n">
        <v>10</v>
      </c>
      <c r="C70" s="40">
        <f>Features_IF!C70</f>
        <v/>
      </c>
      <c r="D70" s="17">
        <f>Features_IF!S70</f>
        <v/>
      </c>
      <c r="E70" s="5">
        <f>IF(D70&gt;=$L$5,"anomaly","normal")</f>
        <v/>
      </c>
      <c r="F70" s="5">
        <f>IF(E70="anomaly",COUNTIFS($D$5:$D$88,"&gt;"&amp;D70,$D$5:$D$88,"&gt;="&amp;$L$5),"")</f>
        <v/>
      </c>
      <c r="G70" s="18">
        <f>IF(E70="anomaly",IF($L$6&gt;1,F70/($L$6-1)*100,0),"")</f>
        <v/>
      </c>
      <c r="H70" s="5">
        <f>IF(E70="anomaly",IF(G70&lt;=25,"CRITICAL",IF(G70&lt;=50,"HIGH",IF(G70&lt;=75,"MEDIUM","INFO"))),"")</f>
        <v/>
      </c>
      <c r="I70" s="27">
        <f>IF(E70="anomaly",100-G70*0.5,"")</f>
        <v/>
      </c>
    </row>
    <row r="71">
      <c r="A71" s="5" t="n">
        <v>1</v>
      </c>
      <c r="B71" s="5" t="n">
        <v>11</v>
      </c>
      <c r="C71" s="40">
        <f>Features_IF!C71</f>
        <v/>
      </c>
      <c r="D71" s="17">
        <f>Features_IF!S71</f>
        <v/>
      </c>
      <c r="E71" s="5">
        <f>IF(D71&gt;=$L$5,"anomaly","normal")</f>
        <v/>
      </c>
      <c r="F71" s="5">
        <f>IF(E71="anomaly",COUNTIFS($D$5:$D$88,"&gt;"&amp;D71,$D$5:$D$88,"&gt;="&amp;$L$5),"")</f>
        <v/>
      </c>
      <c r="G71" s="18">
        <f>IF(E71="anomaly",IF($L$6&gt;1,F71/($L$6-1)*100,0),"")</f>
        <v/>
      </c>
      <c r="H71" s="5">
        <f>IF(E71="anomaly",IF(G71&lt;=25,"CRITICAL",IF(G71&lt;=50,"HIGH",IF(G71&lt;=75,"MEDIUM","INFO"))),"")</f>
        <v/>
      </c>
      <c r="I71" s="27">
        <f>IF(E71="anomaly",100-G71*0.5,"")</f>
        <v/>
      </c>
    </row>
    <row r="72">
      <c r="A72" s="5" t="n">
        <v>2</v>
      </c>
      <c r="B72" s="5" t="n">
        <v>11</v>
      </c>
      <c r="C72" s="40">
        <f>Features_IF!C72</f>
        <v/>
      </c>
      <c r="D72" s="17">
        <f>Features_IF!S72</f>
        <v/>
      </c>
      <c r="E72" s="5">
        <f>IF(D72&gt;=$L$5,"anomaly","normal")</f>
        <v/>
      </c>
      <c r="F72" s="5">
        <f>IF(E72="anomaly",COUNTIFS($D$5:$D$88,"&gt;"&amp;D72,$D$5:$D$88,"&gt;="&amp;$L$5),"")</f>
        <v/>
      </c>
      <c r="G72" s="18">
        <f>IF(E72="anomaly",IF($L$6&gt;1,F72/($L$6-1)*100,0),"")</f>
        <v/>
      </c>
      <c r="H72" s="5">
        <f>IF(E72="anomaly",IF(G72&lt;=25,"CRITICAL",IF(G72&lt;=50,"HIGH",IF(G72&lt;=75,"MEDIUM","INFO"))),"")</f>
        <v/>
      </c>
      <c r="I72" s="27">
        <f>IF(E72="anomaly",100-G72*0.5,"")</f>
        <v/>
      </c>
    </row>
    <row r="73">
      <c r="A73" s="5" t="n">
        <v>3</v>
      </c>
      <c r="B73" s="5" t="n">
        <v>11</v>
      </c>
      <c r="C73" s="40">
        <f>Features_IF!C73</f>
        <v/>
      </c>
      <c r="D73" s="17">
        <f>Features_IF!S73</f>
        <v/>
      </c>
      <c r="E73" s="5">
        <f>IF(D73&gt;=$L$5,"anomaly","normal")</f>
        <v/>
      </c>
      <c r="F73" s="5">
        <f>IF(E73="anomaly",COUNTIFS($D$5:$D$88,"&gt;"&amp;D73,$D$5:$D$88,"&gt;="&amp;$L$5),"")</f>
        <v/>
      </c>
      <c r="G73" s="18">
        <f>IF(E73="anomaly",IF($L$6&gt;1,F73/($L$6-1)*100,0),"")</f>
        <v/>
      </c>
      <c r="H73" s="5">
        <f>IF(E73="anomaly",IF(G73&lt;=25,"CRITICAL",IF(G73&lt;=50,"HIGH",IF(G73&lt;=75,"MEDIUM","INFO"))),"")</f>
        <v/>
      </c>
      <c r="I73" s="27">
        <f>IF(E73="anomaly",100-G73*0.5,"")</f>
        <v/>
      </c>
    </row>
    <row r="74">
      <c r="A74" s="5" t="n">
        <v>4</v>
      </c>
      <c r="B74" s="5" t="n">
        <v>11</v>
      </c>
      <c r="C74" s="40">
        <f>Features_IF!C74</f>
        <v/>
      </c>
      <c r="D74" s="17">
        <f>Features_IF!S74</f>
        <v/>
      </c>
      <c r="E74" s="5">
        <f>IF(D74&gt;=$L$5,"anomaly","normal")</f>
        <v/>
      </c>
      <c r="F74" s="5">
        <f>IF(E74="anomaly",COUNTIFS($D$5:$D$88,"&gt;"&amp;D74,$D$5:$D$88,"&gt;="&amp;$L$5),"")</f>
        <v/>
      </c>
      <c r="G74" s="18">
        <f>IF(E74="anomaly",IF($L$6&gt;1,F74/($L$6-1)*100,0),"")</f>
        <v/>
      </c>
      <c r="H74" s="5">
        <f>IF(E74="anomaly",IF(G74&lt;=25,"CRITICAL",IF(G74&lt;=50,"HIGH",IF(G74&lt;=75,"MEDIUM","INFO"))),"")</f>
        <v/>
      </c>
      <c r="I74" s="27">
        <f>IF(E74="anomaly",100-G74*0.5,"")</f>
        <v/>
      </c>
    </row>
    <row r="75">
      <c r="A75" s="5" t="n">
        <v>5</v>
      </c>
      <c r="B75" s="5" t="n">
        <v>11</v>
      </c>
      <c r="C75" s="40">
        <f>Features_IF!C75</f>
        <v/>
      </c>
      <c r="D75" s="17">
        <f>Features_IF!S75</f>
        <v/>
      </c>
      <c r="E75" s="5">
        <f>IF(D75&gt;=$L$5,"anomaly","normal")</f>
        <v/>
      </c>
      <c r="F75" s="5">
        <f>IF(E75="anomaly",COUNTIFS($D$5:$D$88,"&gt;"&amp;D75,$D$5:$D$88,"&gt;="&amp;$L$5),"")</f>
        <v/>
      </c>
      <c r="G75" s="18">
        <f>IF(E75="anomaly",IF($L$6&gt;1,F75/($L$6-1)*100,0),"")</f>
        <v/>
      </c>
      <c r="H75" s="5">
        <f>IF(E75="anomaly",IF(G75&lt;=25,"CRITICAL",IF(G75&lt;=50,"HIGH",IF(G75&lt;=75,"MEDIUM","INFO"))),"")</f>
        <v/>
      </c>
      <c r="I75" s="27">
        <f>IF(E75="anomaly",100-G75*0.5,"")</f>
        <v/>
      </c>
    </row>
    <row r="76">
      <c r="A76" s="5" t="n">
        <v>6</v>
      </c>
      <c r="B76" s="5" t="n">
        <v>11</v>
      </c>
      <c r="C76" s="40">
        <f>Features_IF!C76</f>
        <v/>
      </c>
      <c r="D76" s="17">
        <f>Features_IF!S76</f>
        <v/>
      </c>
      <c r="E76" s="5">
        <f>IF(D76&gt;=$L$5,"anomaly","normal")</f>
        <v/>
      </c>
      <c r="F76" s="5">
        <f>IF(E76="anomaly",COUNTIFS($D$5:$D$88,"&gt;"&amp;D76,$D$5:$D$88,"&gt;="&amp;$L$5),"")</f>
        <v/>
      </c>
      <c r="G76" s="18">
        <f>IF(E76="anomaly",IF($L$6&gt;1,F76/($L$6-1)*100,0),"")</f>
        <v/>
      </c>
      <c r="H76" s="5">
        <f>IF(E76="anomaly",IF(G76&lt;=25,"CRITICAL",IF(G76&lt;=50,"HIGH",IF(G76&lt;=75,"MEDIUM","INFO"))),"")</f>
        <v/>
      </c>
      <c r="I76" s="27">
        <f>IF(E76="anomaly",100-G76*0.5,"")</f>
        <v/>
      </c>
    </row>
    <row r="77">
      <c r="A77" s="5" t="n">
        <v>1</v>
      </c>
      <c r="B77" s="5" t="n">
        <v>12</v>
      </c>
      <c r="C77" s="40">
        <f>Features_IF!C77</f>
        <v/>
      </c>
      <c r="D77" s="17">
        <f>Features_IF!S77</f>
        <v/>
      </c>
      <c r="E77" s="5">
        <f>IF(D77&gt;=$L$5,"anomaly","normal")</f>
        <v/>
      </c>
      <c r="F77" s="5">
        <f>IF(E77="anomaly",COUNTIFS($D$5:$D$88,"&gt;"&amp;D77,$D$5:$D$88,"&gt;="&amp;$L$5),"")</f>
        <v/>
      </c>
      <c r="G77" s="18">
        <f>IF(E77="anomaly",IF($L$6&gt;1,F77/($L$6-1)*100,0),"")</f>
        <v/>
      </c>
      <c r="H77" s="5">
        <f>IF(E77="anomaly",IF(G77&lt;=25,"CRITICAL",IF(G77&lt;=50,"HIGH",IF(G77&lt;=75,"MEDIUM","INFO"))),"")</f>
        <v/>
      </c>
      <c r="I77" s="27">
        <f>IF(E77="anomaly",100-G77*0.5,"")</f>
        <v/>
      </c>
    </row>
    <row r="78">
      <c r="A78" s="5" t="n">
        <v>2</v>
      </c>
      <c r="B78" s="5" t="n">
        <v>12</v>
      </c>
      <c r="C78" s="40">
        <f>Features_IF!C78</f>
        <v/>
      </c>
      <c r="D78" s="17">
        <f>Features_IF!S78</f>
        <v/>
      </c>
      <c r="E78" s="5">
        <f>IF(D78&gt;=$L$5,"anomaly","normal")</f>
        <v/>
      </c>
      <c r="F78" s="5">
        <f>IF(E78="anomaly",COUNTIFS($D$5:$D$88,"&gt;"&amp;D78,$D$5:$D$88,"&gt;="&amp;$L$5),"")</f>
        <v/>
      </c>
      <c r="G78" s="18">
        <f>IF(E78="anomaly",IF($L$6&gt;1,F78/($L$6-1)*100,0),"")</f>
        <v/>
      </c>
      <c r="H78" s="5">
        <f>IF(E78="anomaly",IF(G78&lt;=25,"CRITICAL",IF(G78&lt;=50,"HIGH",IF(G78&lt;=75,"MEDIUM","INFO"))),"")</f>
        <v/>
      </c>
      <c r="I78" s="27">
        <f>IF(E78="anomaly",100-G78*0.5,"")</f>
        <v/>
      </c>
    </row>
    <row r="79">
      <c r="A79" s="5" t="n">
        <v>3</v>
      </c>
      <c r="B79" s="5" t="n">
        <v>12</v>
      </c>
      <c r="C79" s="40">
        <f>Features_IF!C79</f>
        <v/>
      </c>
      <c r="D79" s="17">
        <f>Features_IF!S79</f>
        <v/>
      </c>
      <c r="E79" s="5">
        <f>IF(D79&gt;=$L$5,"anomaly","normal")</f>
        <v/>
      </c>
      <c r="F79" s="5">
        <f>IF(E79="anomaly",COUNTIFS($D$5:$D$88,"&gt;"&amp;D79,$D$5:$D$88,"&gt;="&amp;$L$5),"")</f>
        <v/>
      </c>
      <c r="G79" s="18">
        <f>IF(E79="anomaly",IF($L$6&gt;1,F79/($L$6-1)*100,0),"")</f>
        <v/>
      </c>
      <c r="H79" s="5">
        <f>IF(E79="anomaly",IF(G79&lt;=25,"CRITICAL",IF(G79&lt;=50,"HIGH",IF(G79&lt;=75,"MEDIUM","INFO"))),"")</f>
        <v/>
      </c>
      <c r="I79" s="27">
        <f>IF(E79="anomaly",100-G79*0.5,"")</f>
        <v/>
      </c>
    </row>
    <row r="80">
      <c r="A80" s="5" t="n">
        <v>4</v>
      </c>
      <c r="B80" s="5" t="n">
        <v>12</v>
      </c>
      <c r="C80" s="40">
        <f>Features_IF!C80</f>
        <v/>
      </c>
      <c r="D80" s="17">
        <f>Features_IF!S80</f>
        <v/>
      </c>
      <c r="E80" s="5">
        <f>IF(D80&gt;=$L$5,"anomaly","normal")</f>
        <v/>
      </c>
      <c r="F80" s="5">
        <f>IF(E80="anomaly",COUNTIFS($D$5:$D$88,"&gt;"&amp;D80,$D$5:$D$88,"&gt;="&amp;$L$5),"")</f>
        <v/>
      </c>
      <c r="G80" s="18">
        <f>IF(E80="anomaly",IF($L$6&gt;1,F80/($L$6-1)*100,0),"")</f>
        <v/>
      </c>
      <c r="H80" s="5">
        <f>IF(E80="anomaly",IF(G80&lt;=25,"CRITICAL",IF(G80&lt;=50,"HIGH",IF(G80&lt;=75,"MEDIUM","INFO"))),"")</f>
        <v/>
      </c>
      <c r="I80" s="27">
        <f>IF(E80="anomaly",100-G80*0.5,"")</f>
        <v/>
      </c>
    </row>
    <row r="81">
      <c r="A81" s="5" t="n">
        <v>5</v>
      </c>
      <c r="B81" s="5" t="n">
        <v>12</v>
      </c>
      <c r="C81" s="40">
        <f>Features_IF!C81</f>
        <v/>
      </c>
      <c r="D81" s="17">
        <f>Features_IF!S81</f>
        <v/>
      </c>
      <c r="E81" s="5">
        <f>IF(D81&gt;=$L$5,"anomaly","normal")</f>
        <v/>
      </c>
      <c r="F81" s="5">
        <f>IF(E81="anomaly",COUNTIFS($D$5:$D$88,"&gt;"&amp;D81,$D$5:$D$88,"&gt;="&amp;$L$5),"")</f>
        <v/>
      </c>
      <c r="G81" s="18">
        <f>IF(E81="anomaly",IF($L$6&gt;1,F81/($L$6-1)*100,0),"")</f>
        <v/>
      </c>
      <c r="H81" s="5">
        <f>IF(E81="anomaly",IF(G81&lt;=25,"CRITICAL",IF(G81&lt;=50,"HIGH",IF(G81&lt;=75,"MEDIUM","INFO"))),"")</f>
        <v/>
      </c>
      <c r="I81" s="27">
        <f>IF(E81="anomaly",100-G81*0.5,"")</f>
        <v/>
      </c>
    </row>
    <row r="82">
      <c r="A82" s="5" t="n">
        <v>6</v>
      </c>
      <c r="B82" s="5" t="n">
        <v>12</v>
      </c>
      <c r="C82" s="40">
        <f>Features_IF!C82</f>
        <v/>
      </c>
      <c r="D82" s="17">
        <f>Features_IF!S82</f>
        <v/>
      </c>
      <c r="E82" s="5">
        <f>IF(D82&gt;=$L$5,"anomaly","normal")</f>
        <v/>
      </c>
      <c r="F82" s="5">
        <f>IF(E82="anomaly",COUNTIFS($D$5:$D$88,"&gt;"&amp;D82,$D$5:$D$88,"&gt;="&amp;$L$5),"")</f>
        <v/>
      </c>
      <c r="G82" s="18">
        <f>IF(E82="anomaly",IF($L$6&gt;1,F82/($L$6-1)*100,0),"")</f>
        <v/>
      </c>
      <c r="H82" s="5">
        <f>IF(E82="anomaly",IF(G82&lt;=25,"CRITICAL",IF(G82&lt;=50,"HIGH",IF(G82&lt;=75,"MEDIUM","INFO"))),"")</f>
        <v/>
      </c>
      <c r="I82" s="27">
        <f>IF(E82="anomaly",100-G82*0.5,"")</f>
        <v/>
      </c>
    </row>
    <row r="83">
      <c r="A83" s="5" t="n">
        <v>1</v>
      </c>
      <c r="B83" s="5" t="n">
        <v>13</v>
      </c>
      <c r="C83" s="40">
        <f>Features_IF!C83</f>
        <v/>
      </c>
      <c r="D83" s="17">
        <f>Features_IF!S83</f>
        <v/>
      </c>
      <c r="E83" s="5">
        <f>IF(D83&gt;=$L$5,"anomaly","normal")</f>
        <v/>
      </c>
      <c r="F83" s="5">
        <f>IF(E83="anomaly",COUNTIFS($D$5:$D$88,"&gt;"&amp;D83,$D$5:$D$88,"&gt;="&amp;$L$5),"")</f>
        <v/>
      </c>
      <c r="G83" s="18">
        <f>IF(E83="anomaly",IF($L$6&gt;1,F83/($L$6-1)*100,0),"")</f>
        <v/>
      </c>
      <c r="H83" s="5">
        <f>IF(E83="anomaly",IF(G83&lt;=25,"CRITICAL",IF(G83&lt;=50,"HIGH",IF(G83&lt;=75,"MEDIUM","INFO"))),"")</f>
        <v/>
      </c>
      <c r="I83" s="27">
        <f>IF(E83="anomaly",100-G83*0.5,"")</f>
        <v/>
      </c>
    </row>
    <row r="84">
      <c r="A84" s="5" t="n">
        <v>2</v>
      </c>
      <c r="B84" s="5" t="n">
        <v>13</v>
      </c>
      <c r="C84" s="40">
        <f>Features_IF!C84</f>
        <v/>
      </c>
      <c r="D84" s="17">
        <f>Features_IF!S84</f>
        <v/>
      </c>
      <c r="E84" s="5">
        <f>IF(D84&gt;=$L$5,"anomaly","normal")</f>
        <v/>
      </c>
      <c r="F84" s="5">
        <f>IF(E84="anomaly",COUNTIFS($D$5:$D$88,"&gt;"&amp;D84,$D$5:$D$88,"&gt;="&amp;$L$5),"")</f>
        <v/>
      </c>
      <c r="G84" s="18">
        <f>IF(E84="anomaly",IF($L$6&gt;1,F84/($L$6-1)*100,0),"")</f>
        <v/>
      </c>
      <c r="H84" s="5">
        <f>IF(E84="anomaly",IF(G84&lt;=25,"CRITICAL",IF(G84&lt;=50,"HIGH",IF(G84&lt;=75,"MEDIUM","INFO"))),"")</f>
        <v/>
      </c>
      <c r="I84" s="27">
        <f>IF(E84="anomaly",100-G84*0.5,"")</f>
        <v/>
      </c>
    </row>
    <row r="85">
      <c r="A85" s="5" t="n">
        <v>3</v>
      </c>
      <c r="B85" s="5" t="n">
        <v>13</v>
      </c>
      <c r="C85" s="40">
        <f>Features_IF!C85</f>
        <v/>
      </c>
      <c r="D85" s="17">
        <f>Features_IF!S85</f>
        <v/>
      </c>
      <c r="E85" s="5">
        <f>IF(D85&gt;=$L$5,"anomaly","normal")</f>
        <v/>
      </c>
      <c r="F85" s="5">
        <f>IF(E85="anomaly",COUNTIFS($D$5:$D$88,"&gt;"&amp;D85,$D$5:$D$88,"&gt;="&amp;$L$5),"")</f>
        <v/>
      </c>
      <c r="G85" s="18">
        <f>IF(E85="anomaly",IF($L$6&gt;1,F85/($L$6-1)*100,0),"")</f>
        <v/>
      </c>
      <c r="H85" s="5">
        <f>IF(E85="anomaly",IF(G85&lt;=25,"CRITICAL",IF(G85&lt;=50,"HIGH",IF(G85&lt;=75,"MEDIUM","INFO"))),"")</f>
        <v/>
      </c>
      <c r="I85" s="27">
        <f>IF(E85="anomaly",100-G85*0.5,"")</f>
        <v/>
      </c>
    </row>
    <row r="86">
      <c r="A86" s="5" t="n">
        <v>4</v>
      </c>
      <c r="B86" s="5" t="n">
        <v>13</v>
      </c>
      <c r="C86" s="40">
        <f>Features_IF!C86</f>
        <v/>
      </c>
      <c r="D86" s="17">
        <f>Features_IF!S86</f>
        <v/>
      </c>
      <c r="E86" s="5">
        <f>IF(D86&gt;=$L$5,"anomaly","normal")</f>
        <v/>
      </c>
      <c r="F86" s="5">
        <f>IF(E86="anomaly",COUNTIFS($D$5:$D$88,"&gt;"&amp;D86,$D$5:$D$88,"&gt;="&amp;$L$5),"")</f>
        <v/>
      </c>
      <c r="G86" s="18">
        <f>IF(E86="anomaly",IF($L$6&gt;1,F86/($L$6-1)*100,0),"")</f>
        <v/>
      </c>
      <c r="H86" s="5">
        <f>IF(E86="anomaly",IF(G86&lt;=25,"CRITICAL",IF(G86&lt;=50,"HIGH",IF(G86&lt;=75,"MEDIUM","INFO"))),"")</f>
        <v/>
      </c>
      <c r="I86" s="27">
        <f>IF(E86="anomaly",100-G86*0.5,"")</f>
        <v/>
      </c>
    </row>
    <row r="87">
      <c r="A87" s="5" t="n">
        <v>5</v>
      </c>
      <c r="B87" s="5" t="n">
        <v>13</v>
      </c>
      <c r="C87" s="40">
        <f>Features_IF!C87</f>
        <v/>
      </c>
      <c r="D87" s="17">
        <f>Features_IF!S87</f>
        <v/>
      </c>
      <c r="E87" s="5">
        <f>IF(D87&gt;=$L$5,"anomaly","normal")</f>
        <v/>
      </c>
      <c r="F87" s="5">
        <f>IF(E87="anomaly",COUNTIFS($D$5:$D$88,"&gt;"&amp;D87,$D$5:$D$88,"&gt;="&amp;$L$5),"")</f>
        <v/>
      </c>
      <c r="G87" s="18">
        <f>IF(E87="anomaly",IF($L$6&gt;1,F87/($L$6-1)*100,0),"")</f>
        <v/>
      </c>
      <c r="H87" s="5">
        <f>IF(E87="anomaly",IF(G87&lt;=25,"CRITICAL",IF(G87&lt;=50,"HIGH",IF(G87&lt;=75,"MEDIUM","INFO"))),"")</f>
        <v/>
      </c>
      <c r="I87" s="27">
        <f>IF(E87="anomaly",100-G87*0.5,"")</f>
        <v/>
      </c>
    </row>
    <row r="88">
      <c r="A88" s="5" t="n">
        <v>6</v>
      </c>
      <c r="B88" s="5" t="n">
        <v>13</v>
      </c>
      <c r="C88" s="40">
        <f>Features_IF!C88</f>
        <v/>
      </c>
      <c r="D88" s="17">
        <f>Features_IF!S88</f>
        <v/>
      </c>
      <c r="E88" s="5">
        <f>IF(D88&gt;=$L$5,"anomaly","normal")</f>
        <v/>
      </c>
      <c r="F88" s="5">
        <f>IF(E88="anomaly",COUNTIFS($D$5:$D$88,"&gt;"&amp;D88,$D$5:$D$88,"&gt;="&amp;$L$5),"")</f>
        <v/>
      </c>
      <c r="G88" s="18">
        <f>IF(E88="anomaly",IF($L$6&gt;1,F88/($L$6-1)*100,0),"")</f>
        <v/>
      </c>
      <c r="H88" s="5">
        <f>IF(E88="anomaly",IF(G88&lt;=25,"CRITICAL",IF(G88&lt;=50,"HIGH",IF(G88&lt;=75,"MEDIUM","INFO"))),"")</f>
        <v/>
      </c>
      <c r="I88" s="27">
        <f>IF(E88="anomaly",100-G88*0.5,"")</f>
        <v/>
      </c>
    </row>
  </sheetData>
  <conditionalFormatting sqref="H5:H88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7">
      <formula>"MEDIUM"</formula>
    </cfRule>
    <cfRule type="cellIs" priority="4" operator="equal" dxfId="8">
      <formula>"INFO"</formula>
    </cfRule>
  </conditionalFormatting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s="23" t="inlineStr">
        <is>
          <t>IF_Summary — ringkasan per inverter (approx)</t>
        </is>
      </c>
    </row>
    <row r="2">
      <c r="A2" s="24" t="inlineStr">
        <is>
          <t>Mirror artifact AnomalySummary. n_flagged ≈ contamination × n_samples (PERCENTILE boundary + ties).</t>
        </is>
      </c>
    </row>
    <row r="4">
      <c r="A4" s="10" t="inlineStr">
        <is>
          <t>inverter_id</t>
        </is>
      </c>
      <c r="B4" s="10" t="inlineStr">
        <is>
          <t>n_samples</t>
        </is>
      </c>
      <c r="C4" s="10" t="inlineStr">
        <is>
          <t>n_flagged</t>
        </is>
      </c>
      <c r="D4" s="10" t="inlineStr">
        <is>
          <t>flagged_pct</t>
        </is>
      </c>
      <c r="E4" s="10" t="inlineStr">
        <is>
          <t>threshold_A</t>
        </is>
      </c>
      <c r="F4" s="10" t="inlineStr">
        <is>
          <t>max_A</t>
        </is>
      </c>
      <c r="G4" s="10" t="inlineStr">
        <is>
          <t>min_A</t>
        </is>
      </c>
    </row>
    <row r="5">
      <c r="A5" s="5" t="inlineStr">
        <is>
          <t>WB05-INV01</t>
        </is>
      </c>
      <c r="B5" s="5">
        <f>IF_Anomaly!L7</f>
        <v/>
      </c>
      <c r="C5" s="5">
        <f>IF_Anomaly!L6</f>
        <v/>
      </c>
      <c r="D5" s="15">
        <f>IF_Anomaly!L6/IF_Anomaly!L7*100</f>
        <v/>
      </c>
      <c r="E5" s="31">
        <f>IF_Anomaly!L5</f>
        <v/>
      </c>
      <c r="F5" s="17">
        <f>MAX(Features_IF!S5:S88)</f>
        <v/>
      </c>
      <c r="G5" s="17">
        <f>MIN(Features_IF!S5:S88)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23" t="inlineStr">
        <is>
          <t>Raw_Data_LI -- POA, elevasi matahari &amp; daya inverter per timestamp (SINTETIS)</t>
        </is>
      </c>
    </row>
    <row r="2">
      <c r="A2" s="24" t="inlineStr">
        <is>
          <t>WB05, 6 inverter, satu hari @5 menit; awan 11:00-13:00 (POA ~150, matahari tinggi). P = sum daya per-PV (kW). Sel kosong = tidak ada data (INV06 saat POA &lt; 250).</t>
        </is>
      </c>
    </row>
    <row r="3">
      <c r="A3" s="24" t="inlineStr">
        <is>
          <t>Skenario: semua x0,93 di cahaya rendah (cuaca, tidak di-flag); INV03 x0,83 lagi (cacat low-light); INV05 x0,80 hanya saat elevasi &lt; 30 derajat (bayangan pagi/sore).</t>
        </is>
      </c>
    </row>
    <row r="4">
      <c r="A4" s="24" t="inlineStr">
        <is>
          <t>Ganti dengan data Huawei aktual satu WB (paste over): semua inverter WB berbagi POA WS yang sama.</t>
        </is>
      </c>
    </row>
    <row r="6">
      <c r="A6" s="10" t="inlineStr">
        <is>
          <t>timestamp</t>
        </is>
      </c>
      <c r="B6" s="10" t="inlineStr">
        <is>
          <t>POA (W/m²)</t>
        </is>
      </c>
      <c r="C6" s="10" t="inlineStr">
        <is>
          <t>elev (°)</t>
        </is>
      </c>
      <c r="D6" s="10" t="inlineStr">
        <is>
          <t>WB05-INV01 P (kW)</t>
        </is>
      </c>
      <c r="E6" s="10" t="inlineStr">
        <is>
          <t>WB05-INV02 P (kW)</t>
        </is>
      </c>
      <c r="F6" s="10" t="inlineStr">
        <is>
          <t>WB05-INV03 P (kW)</t>
        </is>
      </c>
      <c r="G6" s="10" t="inlineStr">
        <is>
          <t>WB05-INV04 P (kW)</t>
        </is>
      </c>
      <c r="H6" s="10" t="inlineStr">
        <is>
          <t>WB05-INV05 P (kW)</t>
        </is>
      </c>
      <c r="I6" s="10" t="inlineStr">
        <is>
          <t>WB05-INV06 P (kW)</t>
        </is>
      </c>
    </row>
    <row r="7">
      <c r="A7" s="63" t="n">
        <v>46156.27083333334</v>
      </c>
      <c r="B7" s="64" t="n">
        <v>17.03708685546585</v>
      </c>
      <c r="C7" s="18" t="n">
        <v>11.09472633870438</v>
      </c>
      <c r="D7" s="17" t="n">
        <v>1.757559932496537</v>
      </c>
      <c r="E7" s="17" t="n">
        <v>1.91862771869991</v>
      </c>
      <c r="F7" s="17" t="n">
        <v>1.712033171349997</v>
      </c>
      <c r="G7" s="17" t="n">
        <v>2.201441098363471</v>
      </c>
      <c r="H7" s="17" t="n">
        <v>1.88310649288073</v>
      </c>
      <c r="I7" s="17" t="n"/>
    </row>
    <row r="8">
      <c r="A8" s="63" t="n">
        <v>46156.27430555555</v>
      </c>
      <c r="B8" s="64" t="n">
        <v>23.14152462588651</v>
      </c>
      <c r="C8" s="18" t="n">
        <v>12.93048782614291</v>
      </c>
      <c r="D8" s="17" t="n">
        <v>2.390576096792433</v>
      </c>
      <c r="E8" s="17" t="n">
        <v>2.600602002314279</v>
      </c>
      <c r="F8" s="17" t="n">
        <v>2.316924534407645</v>
      </c>
      <c r="G8" s="17" t="n">
        <v>2.984645143969128</v>
      </c>
      <c r="H8" s="17" t="n">
        <v>2.562154085483135</v>
      </c>
      <c r="I8" s="17" t="n"/>
    </row>
    <row r="9">
      <c r="A9" s="63" t="n">
        <v>46156.27777777778</v>
      </c>
      <c r="B9" s="64" t="n">
        <v>30.15368960704582</v>
      </c>
      <c r="C9" s="18" t="n">
        <v>14.76009510168908</v>
      </c>
      <c r="D9" s="17" t="n">
        <v>3.115129147572749</v>
      </c>
      <c r="E9" s="17" t="n">
        <v>3.378305626163559</v>
      </c>
      <c r="F9" s="17" t="n">
        <v>3.008786952131915</v>
      </c>
      <c r="G9" s="17" t="n">
        <v>3.886765247349626</v>
      </c>
      <c r="H9" s="17" t="n">
        <v>3.347758453546586</v>
      </c>
      <c r="I9" s="17" t="n"/>
    </row>
    <row r="10">
      <c r="A10" s="63" t="n">
        <v>46156.28125</v>
      </c>
      <c r="B10" s="64" t="n">
        <v>38.06023374435662</v>
      </c>
      <c r="C10" s="18" t="n">
        <v>16.5826773713709</v>
      </c>
      <c r="D10" s="17" t="n">
        <v>3.926973261022833</v>
      </c>
      <c r="E10" s="17" t="n">
        <v>4.248863767595139</v>
      </c>
      <c r="F10" s="17" t="n">
        <v>3.787760416119649</v>
      </c>
      <c r="G10" s="17" t="n">
        <v>4.909753815355801</v>
      </c>
      <c r="H10" s="17" t="n">
        <v>4.240202718615613</v>
      </c>
      <c r="I10" s="17" t="n"/>
    </row>
    <row r="11">
      <c r="A11" s="63" t="n">
        <v>46156.28472222222</v>
      </c>
      <c r="B11" s="64" t="n">
        <v>46.84610648167499</v>
      </c>
      <c r="C11" s="18" t="n">
        <v>18.39736718473874</v>
      </c>
      <c r="D11" s="17" t="n">
        <v>4.821799698939835</v>
      </c>
      <c r="E11" s="17" t="n">
        <v>5.210669213113786</v>
      </c>
      <c r="F11" s="17" t="n">
        <v>4.655121225289924</v>
      </c>
      <c r="G11" s="17" t="n">
        <v>6.055473775083681</v>
      </c>
      <c r="H11" s="17" t="n">
        <v>5.238248704996198</v>
      </c>
      <c r="I11" s="17" t="n"/>
    </row>
    <row r="12">
      <c r="A12" s="63" t="n">
        <v>46156.28819444445</v>
      </c>
      <c r="B12" s="64" t="n">
        <v>56.49458341088918</v>
      </c>
      <c r="C12" s="18" t="n">
        <v>20.20330084772472</v>
      </c>
      <c r="D12" s="17" t="n">
        <v>5.796010375343628</v>
      </c>
      <c r="E12" s="17" t="n">
        <v>6.263774924235365</v>
      </c>
      <c r="F12" s="17" t="n">
        <v>5.61290726465073</v>
      </c>
      <c r="G12" s="17" t="n">
        <v>7.324718619996766</v>
      </c>
      <c r="H12" s="17" t="n">
        <v>6.338648956978206</v>
      </c>
      <c r="I12" s="17" t="n"/>
    </row>
    <row r="13">
      <c r="A13" s="63" t="n">
        <v>46156.29166666666</v>
      </c>
      <c r="B13" s="64" t="n">
        <v>66.98729810778066</v>
      </c>
      <c r="C13" s="18" t="n">
        <v>21.99961883371426</v>
      </c>
      <c r="D13" s="17" t="n">
        <v>6.847433001009108</v>
      </c>
      <c r="E13" s="17" t="n">
        <v>7.409905423235188</v>
      </c>
      <c r="F13" s="17" t="n">
        <v>6.663230513546959</v>
      </c>
      <c r="G13" s="17" t="n">
        <v>8.716239017676708</v>
      </c>
      <c r="H13" s="17" t="n">
        <v>7.536013005454556</v>
      </c>
      <c r="I13" s="17" t="n"/>
    </row>
    <row r="14">
      <c r="A14" s="63" t="n">
        <v>46156.29513888889</v>
      </c>
      <c r="B14" s="64" t="n">
        <v>78.30427709355715</v>
      </c>
      <c r="C14" s="18" t="n">
        <v>23.78546619263432</v>
      </c>
      <c r="D14" s="17" t="n">
        <v>7.975799435884663</v>
      </c>
      <c r="E14" s="17" t="n">
        <v>8.652023425800845</v>
      </c>
      <c r="F14" s="17" t="n">
        <v>7.807389972295907</v>
      </c>
      <c r="G14" s="17" t="n">
        <v>10.22600884056244</v>
      </c>
      <c r="H14" s="17" t="n">
        <v>8.823117679475803</v>
      </c>
      <c r="I14" s="17" t="n"/>
    </row>
    <row r="15">
      <c r="A15" s="63" t="n">
        <v>46156.29861111111</v>
      </c>
      <c r="B15" s="64" t="n">
        <v>90.42397785550415</v>
      </c>
      <c r="C15" s="18" t="n">
        <v>25.55999295786322</v>
      </c>
      <c r="D15" s="17" t="n">
        <v>9.182839813600081</v>
      </c>
      <c r="E15" s="17" t="n">
        <v>9.993480550161674</v>
      </c>
      <c r="F15" s="17" t="n">
        <v>9.04495763425413</v>
      </c>
      <c r="G15" s="17" t="n">
        <v>11.84693901447755</v>
      </c>
      <c r="H15" s="17" t="n">
        <v>10.1916624923621</v>
      </c>
      <c r="I15" s="17" t="n"/>
    </row>
    <row r="16">
      <c r="A16" s="63" t="n">
        <v>46156.30208333334</v>
      </c>
      <c r="B16" s="64" t="n">
        <v>103.3233298543824</v>
      </c>
      <c r="C16" s="18" t="n">
        <v>27.32235455076874</v>
      </c>
      <c r="D16" s="17" t="n">
        <v>10.47191095190073</v>
      </c>
      <c r="E16" s="17" t="n">
        <v>11.43687644405261</v>
      </c>
      <c r="F16" s="17" t="n">
        <v>10.37303824264716</v>
      </c>
      <c r="G16" s="17" t="n">
        <v>13.5691755643646</v>
      </c>
      <c r="H16" s="17" t="n">
        <v>11.6333731635848</v>
      </c>
      <c r="I16" s="17" t="n"/>
    </row>
    <row r="17">
      <c r="A17" s="63" t="n">
        <v>46156.30555555555</v>
      </c>
      <c r="B17" s="64" t="n">
        <v>116.9777784405109</v>
      </c>
      <c r="C17" s="18" t="n">
        <v>29.07171218268183</v>
      </c>
      <c r="D17" s="17" t="n">
        <v>11.84716765075396</v>
      </c>
      <c r="E17" s="17" t="n">
        <v>12.98282961788712</v>
      </c>
      <c r="F17" s="17" t="n">
        <v>11.78589191128727</v>
      </c>
      <c r="G17" s="17" t="n">
        <v>15.38100978254571</v>
      </c>
      <c r="H17" s="17" t="n">
        <v>13.14126885112474</v>
      </c>
      <c r="I17" s="17" t="n"/>
    </row>
    <row r="18">
      <c r="A18" s="63" t="n">
        <v>46156.30902777778</v>
      </c>
      <c r="B18" s="64" t="n">
        <v>131.361331594938</v>
      </c>
      <c r="C18" s="18" t="n">
        <v>30.80723325411464</v>
      </c>
      <c r="D18" s="17" t="n">
        <v>13.31238319991314</v>
      </c>
      <c r="E18" s="17" t="n">
        <v>14.6289079927829</v>
      </c>
      <c r="F18" s="17" t="n">
        <v>13.27505628548387</v>
      </c>
      <c r="G18" s="17" t="n">
        <v>17.27030279746872</v>
      </c>
      <c r="H18" s="17" t="n">
        <v>18.38856321136544</v>
      </c>
      <c r="I18" s="17" t="n"/>
    </row>
    <row r="19">
      <c r="A19" s="63" t="n">
        <v>46156.3125</v>
      </c>
      <c r="B19" s="64" t="n">
        <v>146.4466094067263</v>
      </c>
      <c r="C19" s="18" t="n">
        <v>32.52809175103263</v>
      </c>
      <c r="D19" s="17" t="n">
        <v>14.86961157052845</v>
      </c>
      <c r="E19" s="17" t="n">
        <v>16.36896561715255</v>
      </c>
      <c r="F19" s="17" t="n">
        <v>14.83001890004717</v>
      </c>
      <c r="G19" s="17" t="n">
        <v>19.22620802808465</v>
      </c>
      <c r="H19" s="17" t="n">
        <v>20.42619237596394</v>
      </c>
      <c r="I19" s="17" t="n"/>
    </row>
    <row r="20">
      <c r="A20" s="63" t="n">
        <v>46156.31597222222</v>
      </c>
      <c r="B20" s="64" t="n">
        <v>162.2048961921698</v>
      </c>
      <c r="C20" s="18" t="n">
        <v>34.23346863799266</v>
      </c>
      <c r="D20" s="17" t="n">
        <v>16.51794005734793</v>
      </c>
      <c r="E20" s="17" t="n">
        <v>18.19308043271724</v>
      </c>
      <c r="F20" s="17" t="n">
        <v>16.43938506307984</v>
      </c>
      <c r="G20" s="17" t="n">
        <v>21.24088749792956</v>
      </c>
      <c r="H20" s="17" t="n">
        <v>22.54255650114067</v>
      </c>
      <c r="I20" s="17" t="n"/>
    </row>
    <row r="21">
      <c r="A21" s="63" t="n">
        <v>46156.31944444445</v>
      </c>
      <c r="B21" s="64" t="n">
        <v>178.6061951567304</v>
      </c>
      <c r="C21" s="18" t="n">
        <v>35.92255224795946</v>
      </c>
      <c r="D21" s="17" t="n">
        <v>18.25259378834465</v>
      </c>
      <c r="E21" s="17" t="n">
        <v>20.08819217720607</v>
      </c>
      <c r="F21" s="17" t="n">
        <v>18.09238110776155</v>
      </c>
      <c r="G21" s="17" t="n">
        <v>23.31088184086957</v>
      </c>
      <c r="H21" s="17" t="n">
        <v>24.744780400535</v>
      </c>
      <c r="I21" s="17" t="n"/>
    </row>
    <row r="22">
      <c r="A22" s="63" t="n">
        <v>46156.32291666666</v>
      </c>
      <c r="B22" s="64" t="n">
        <v>195.6192854956396</v>
      </c>
      <c r="C22" s="18" t="n">
        <v>37.59453866861511</v>
      </c>
      <c r="D22" s="17" t="n">
        <v>20.06461619407261</v>
      </c>
      <c r="E22" s="17" t="n">
        <v>22.03941431370873</v>
      </c>
      <c r="F22" s="17" t="n">
        <v>19.7804478187029</v>
      </c>
      <c r="G22" s="17" t="n">
        <v>25.43782066647688</v>
      </c>
      <c r="H22" s="17" t="n">
        <v>27.04264539263922</v>
      </c>
      <c r="I22" s="17" t="n"/>
    </row>
    <row r="23">
      <c r="A23" s="63" t="n">
        <v>46156.32638888889</v>
      </c>
      <c r="B23" s="64" t="n">
        <v>213.2117818244768</v>
      </c>
      <c r="C23" s="18" t="n">
        <v>39.24863212497787</v>
      </c>
      <c r="D23" s="17" t="n">
        <v>21.9412650259798</v>
      </c>
      <c r="E23" s="17" t="n">
        <v>24.03186085717472</v>
      </c>
      <c r="F23" s="17" t="n">
        <v>21.49863248132367</v>
      </c>
      <c r="G23" s="17" t="n">
        <v>27.62825014394991</v>
      </c>
      <c r="H23" s="17" t="n">
        <v>29.44646210761984</v>
      </c>
      <c r="I23" s="17" t="n"/>
    </row>
    <row r="24">
      <c r="A24" s="63" t="n">
        <v>46156.32986111111</v>
      </c>
      <c r="B24" s="64" t="n">
        <v>231.3501958265881</v>
      </c>
      <c r="C24" s="18" t="n">
        <v>40.88404535814795</v>
      </c>
      <c r="D24" s="17" t="n">
        <v>23.86714381429305</v>
      </c>
      <c r="E24" s="17" t="n">
        <v>26.0527128230261</v>
      </c>
      <c r="F24" s="17" t="n">
        <v>23.24649256369615</v>
      </c>
      <c r="G24" s="17" t="n">
        <v>29.89249656094806</v>
      </c>
      <c r="H24" s="17" t="n">
        <v>31.9645063560958</v>
      </c>
      <c r="I24" s="17" t="n"/>
    </row>
    <row r="25">
      <c r="A25" s="63" t="n">
        <v>46156.33333333334</v>
      </c>
      <c r="B25" s="64" t="n">
        <v>249.9999999999999</v>
      </c>
      <c r="C25" s="18" t="n">
        <v>42.49999999999999</v>
      </c>
      <c r="D25" s="17" t="n">
        <v>25.82595327731095</v>
      </c>
      <c r="E25" s="17" t="n">
        <v>28.09317312896036</v>
      </c>
      <c r="F25" s="17" t="n">
        <v>25.02828309236352</v>
      </c>
      <c r="G25" s="17" t="n">
        <v>32.24265595192222</v>
      </c>
      <c r="H25" s="17" t="n">
        <v>34.6004392301253</v>
      </c>
      <c r="I25" s="17" t="n"/>
    </row>
    <row r="26">
      <c r="A26" s="63" t="n">
        <v>46156.33680555555</v>
      </c>
      <c r="B26" s="18" t="n">
        <v>269.1256933824832</v>
      </c>
      <c r="C26" s="18" t="n">
        <v>44.09572694364433</v>
      </c>
      <c r="D26" s="17" t="n">
        <v>29.89529036544853</v>
      </c>
      <c r="E26" s="17" t="n">
        <v>32.41929114158297</v>
      </c>
      <c r="F26" s="17" t="n">
        <v>34.78728721528304</v>
      </c>
      <c r="G26" s="17" t="n">
        <v>37.30104434495549</v>
      </c>
      <c r="H26" s="17" t="n">
        <v>40.16256122820782</v>
      </c>
      <c r="I26" s="17" t="n">
        <v>43.25267459296244</v>
      </c>
    </row>
    <row r="27">
      <c r="A27" s="63" t="n">
        <v>46156.34027777778</v>
      </c>
      <c r="B27" s="18" t="n">
        <v>288.6908691296502</v>
      </c>
      <c r="C27" s="18" t="n">
        <v>45.67046670948002</v>
      </c>
      <c r="D27" s="17" t="n">
        <v>32.0273819959481</v>
      </c>
      <c r="E27" s="17" t="n">
        <v>34.65148722248665</v>
      </c>
      <c r="F27" s="17" t="n">
        <v>37.21913126115099</v>
      </c>
      <c r="G27" s="17" t="n">
        <v>40.04515922662529</v>
      </c>
      <c r="H27" s="17" t="n">
        <v>43.23191774943502</v>
      </c>
      <c r="I27" s="17" t="n">
        <v>46.53252267538885</v>
      </c>
    </row>
    <row r="28">
      <c r="A28" s="63" t="n">
        <v>46156.34375</v>
      </c>
      <c r="B28" s="18" t="n">
        <v>308.6582838174551</v>
      </c>
      <c r="C28" s="18" t="n">
        <v>47.22346980666619</v>
      </c>
      <c r="D28" s="17" t="n">
        <v>34.15917568006395</v>
      </c>
      <c r="E28" s="17" t="n">
        <v>36.91365201891463</v>
      </c>
      <c r="F28" s="17" t="n">
        <v>39.73448661353645</v>
      </c>
      <c r="G28" s="17" t="n">
        <v>42.90326938396649</v>
      </c>
      <c r="H28" s="17" t="n">
        <v>46.39237022982044</v>
      </c>
      <c r="I28" s="17" t="n">
        <v>49.84626239756467</v>
      </c>
    </row>
    <row r="29">
      <c r="A29" s="63" t="n">
        <v>46156.34722222222</v>
      </c>
      <c r="B29" s="18" t="n">
        <v>328.9899283371657</v>
      </c>
      <c r="C29" s="18" t="n">
        <v>48.75399708983893</v>
      </c>
      <c r="D29" s="17" t="n">
        <v>36.2905627691004</v>
      </c>
      <c r="E29" s="17" t="n">
        <v>39.21989538424891</v>
      </c>
      <c r="F29" s="17" t="n">
        <v>42.34545654389205</v>
      </c>
      <c r="G29" s="17" t="n">
        <v>45.86810588187395</v>
      </c>
      <c r="H29" s="17" t="n">
        <v>49.61629564111777</v>
      </c>
      <c r="I29" s="17" t="n">
        <v>53.16477030685032</v>
      </c>
    </row>
    <row r="30">
      <c r="A30" s="63" t="n">
        <v>46156.35069444445</v>
      </c>
      <c r="B30" s="18" t="n">
        <v>349.6471002478632</v>
      </c>
      <c r="C30" s="18" t="n">
        <v>50.26132011090449</v>
      </c>
      <c r="D30" s="17" t="n">
        <v>38.42844328600741</v>
      </c>
      <c r="E30" s="17" t="n">
        <v>41.58657559064341</v>
      </c>
      <c r="F30" s="17" t="n">
        <v>45.05841060272387</v>
      </c>
      <c r="G30" s="17" t="n">
        <v>48.92301489565194</v>
      </c>
      <c r="H30" s="17" t="n">
        <v>52.87172543250959</v>
      </c>
      <c r="I30" s="17" t="n">
        <v>56.46453770277051</v>
      </c>
    </row>
    <row r="31">
      <c r="A31" s="63" t="n">
        <v>46156.35416666666</v>
      </c>
      <c r="B31" s="18" t="n">
        <v>370.5904774487396</v>
      </c>
      <c r="C31" s="18" t="n">
        <v>51.74472146574126</v>
      </c>
      <c r="D31" s="17" t="n">
        <v>40.58572461484805</v>
      </c>
      <c r="E31" s="17" t="n">
        <v>44.02911549502564</v>
      </c>
      <c r="F31" s="17" t="n">
        <v>47.87144962082379</v>
      </c>
      <c r="G31" s="17" t="n">
        <v>52.04273161761211</v>
      </c>
      <c r="H31" s="17" t="n">
        <v>56.12617671110841</v>
      </c>
      <c r="I31" s="17" t="n">
        <v>59.73121300050524</v>
      </c>
    </row>
    <row r="32">
      <c r="A32" s="63" t="n">
        <v>46156.35763888889</v>
      </c>
      <c r="B32" s="18" t="n">
        <v>391.7801930309487</v>
      </c>
      <c r="C32" s="18" t="n">
        <v>53.20349513564503</v>
      </c>
      <c r="D32" s="17" t="n">
        <v>42.77919691123249</v>
      </c>
      <c r="E32" s="17" t="n">
        <v>46.55862155881562</v>
      </c>
      <c r="F32" s="17" t="n">
        <v>50.77296757278811</v>
      </c>
      <c r="G32" s="17" t="n">
        <v>55.19566076889704</v>
      </c>
      <c r="H32" s="17" t="n">
        <v>59.35096230825022</v>
      </c>
      <c r="I32" s="17" t="n">
        <v>62.96197441862888</v>
      </c>
    </row>
    <row r="33">
      <c r="A33" s="63" t="n">
        <v>46156.36111111111</v>
      </c>
      <c r="B33" s="18" t="n">
        <v>413.1759111665345</v>
      </c>
      <c r="C33" s="18" t="n">
        <v>54.63694682335583</v>
      </c>
      <c r="D33" s="17" t="n">
        <v>45.02653623084905</v>
      </c>
      <c r="E33" s="17" t="n">
        <v>49.17885829579722</v>
      </c>
      <c r="F33" s="17" t="n">
        <v>53.74166052684367</v>
      </c>
      <c r="G33" s="17" t="n">
        <v>58.34742659353097</v>
      </c>
      <c r="H33" s="17" t="n">
        <v>62.52530106850052</v>
      </c>
      <c r="I33" s="17" t="n">
        <v>66.16622171030029</v>
      </c>
    </row>
    <row r="34">
      <c r="A34" s="63" t="n">
        <v>46156.36458333334</v>
      </c>
      <c r="B34" s="18" t="n">
        <v>434.7369038899741</v>
      </c>
      <c r="C34" s="18" t="n">
        <v>56.04439428350585</v>
      </c>
      <c r="D34" s="17" t="n">
        <v>47.34285626324177</v>
      </c>
      <c r="E34" s="17" t="n">
        <v>51.88411862374622</v>
      </c>
      <c r="F34" s="17" t="n">
        <v>56.74811796209657</v>
      </c>
      <c r="G34" s="17" t="n">
        <v>61.46521919165885</v>
      </c>
      <c r="H34" s="17" t="n">
        <v>65.63952444726615</v>
      </c>
      <c r="I34" s="17" t="n">
        <v>69.36431628853609</v>
      </c>
    </row>
    <row r="35">
      <c r="A35" s="63" t="n">
        <v>46156.36805555555</v>
      </c>
      <c r="B35" s="18" t="n">
        <v>456.4221286261711</v>
      </c>
      <c r="C35" s="18" t="n">
        <v>57.42516764733113</v>
      </c>
      <c r="D35" s="17" t="n">
        <v>49.73734107626126</v>
      </c>
      <c r="E35" s="17" t="n">
        <v>54.65842549670158</v>
      </c>
      <c r="F35" s="17" t="n">
        <v>59.75787690544696</v>
      </c>
      <c r="G35" s="17" t="n">
        <v>64.52229011238244</v>
      </c>
      <c r="H35" s="17" t="n">
        <v>68.69676815387133</v>
      </c>
      <c r="I35" s="17" t="n">
        <v>72.5844046742437</v>
      </c>
    </row>
    <row r="36">
      <c r="A36" s="63" t="n">
        <v>46156.37152777778</v>
      </c>
      <c r="B36" s="18" t="n">
        <v>478.1903063173319</v>
      </c>
      <c r="C36" s="18" t="n">
        <v>58.77860974149289</v>
      </c>
      <c r="D36" s="17" t="n">
        <v>52.21052128515453</v>
      </c>
      <c r="E36" s="17" t="n">
        <v>57.47631350128351</v>
      </c>
      <c r="F36" s="17" t="n">
        <v>62.73556532195114</v>
      </c>
      <c r="G36" s="17" t="n">
        <v>67.501872327077</v>
      </c>
      <c r="H36" s="17" t="n">
        <v>71.71274059942346</v>
      </c>
      <c r="I36" s="17" t="n">
        <v>75.85768312204395</v>
      </c>
    </row>
    <row r="37">
      <c r="A37" s="63" t="n">
        <v>46156.375</v>
      </c>
      <c r="B37" s="18" t="n">
        <v>500.0000000000001</v>
      </c>
      <c r="C37" s="18" t="n">
        <v>60.10407640085654</v>
      </c>
      <c r="D37" s="17" t="n">
        <v>54.75269389450599</v>
      </c>
      <c r="E37" s="17" t="n">
        <v>60.30519687862345</v>
      </c>
      <c r="F37" s="17" t="n">
        <v>65.64955110268616</v>
      </c>
      <c r="G37" s="17" t="n">
        <v>70.399837808762</v>
      </c>
      <c r="H37" s="17" t="n">
        <v>74.71344643711201</v>
      </c>
      <c r="I37" s="17" t="n">
        <v>79.21274799593469</v>
      </c>
    </row>
    <row r="38">
      <c r="A38" s="63" t="n">
        <v>46156.37847222222</v>
      </c>
      <c r="B38" s="18" t="n">
        <v>521.809693682668</v>
      </c>
      <c r="C38" s="18" t="n">
        <v>61.40093677507923</v>
      </c>
      <c r="D38" s="17" t="n">
        <v>57.34383605492009</v>
      </c>
      <c r="E38" s="17" t="n">
        <v>63.10906978022873</v>
      </c>
      <c r="F38" s="17" t="n">
        <v>68.47638513924754</v>
      </c>
      <c r="G38" s="17" t="n">
        <v>73.22556125007723</v>
      </c>
      <c r="H38" s="17" t="n">
        <v>77.73107082034682</v>
      </c>
      <c r="I38" s="17" t="n">
        <v>82.66987627724046</v>
      </c>
    </row>
    <row r="39">
      <c r="A39" s="63" t="n">
        <v>46156.38194444445</v>
      </c>
      <c r="B39" s="18" t="n">
        <v>543.577871373829</v>
      </c>
      <c r="C39" s="18" t="n">
        <v>62.66857362886054</v>
      </c>
      <c r="D39" s="17" t="n">
        <v>59.95514455024719</v>
      </c>
      <c r="E39" s="17" t="n">
        <v>65.85304791068768</v>
      </c>
      <c r="F39" s="17" t="n">
        <v>71.20430807202153</v>
      </c>
      <c r="G39" s="17" t="n">
        <v>76.00071255355637</v>
      </c>
      <c r="H39" s="17" t="n">
        <v>80.79854600997793</v>
      </c>
      <c r="I39" s="17" t="n">
        <v>86.23615442843089</v>
      </c>
    </row>
    <row r="40">
      <c r="A40" s="63" t="n">
        <v>46156.38541666666</v>
      </c>
      <c r="B40" s="18" t="n">
        <v>565.2630961100258</v>
      </c>
      <c r="C40" s="18" t="n">
        <v>63.90638363571308</v>
      </c>
      <c r="D40" s="17" t="n">
        <v>62.55207802141366</v>
      </c>
      <c r="E40" s="17" t="n">
        <v>68.50808892845897</v>
      </c>
      <c r="F40" s="17" t="n">
        <v>73.83519034105997</v>
      </c>
      <c r="G40" s="17" t="n">
        <v>78.75601756110461</v>
      </c>
      <c r="H40" s="17" t="n">
        <v>83.94357335561773</v>
      </c>
      <c r="I40" s="17" t="n">
        <v>89.90230150900256</v>
      </c>
    </row>
    <row r="41">
      <c r="A41" s="63" t="n">
        <v>46156.38888888889</v>
      </c>
      <c r="B41" s="18" t="n">
        <v>586.8240888334652</v>
      </c>
      <c r="C41" s="18" t="n">
        <v>65.11377766511315</v>
      </c>
      <c r="D41" s="17" t="n">
        <v>65.09852766591311</v>
      </c>
      <c r="E41" s="17" t="n">
        <v>71.05515443590349</v>
      </c>
      <c r="F41" s="17" t="n">
        <v>76.38448485957794</v>
      </c>
      <c r="G41" s="17" t="n">
        <v>81.52635747654358</v>
      </c>
      <c r="H41" s="17" t="n">
        <v>87.18301493831713</v>
      </c>
      <c r="I41" s="17" t="n">
        <v>93.64181699400798</v>
      </c>
    </row>
    <row r="42">
      <c r="A42" s="63" t="n">
        <v>46156.39236111111</v>
      </c>
      <c r="B42" s="18" t="n">
        <v>608.2198069690513</v>
      </c>
      <c r="C42" s="18" t="n">
        <v>66.29018106289494</v>
      </c>
      <c r="D42" s="17" t="n">
        <v>67.56153596816868</v>
      </c>
      <c r="E42" s="17" t="n">
        <v>73.48811710065181</v>
      </c>
      <c r="F42" s="17" t="n">
        <v>78.87906296040643</v>
      </c>
      <c r="G42" s="17" t="n">
        <v>84.34486896828633</v>
      </c>
      <c r="H42" s="17" t="n">
        <v>90.51857054594126</v>
      </c>
      <c r="I42" s="17" t="n">
        <v>97.41275216042477</v>
      </c>
    </row>
    <row r="43">
      <c r="A43" s="63" t="n">
        <v>46156.39583333334</v>
      </c>
      <c r="B43" s="18" t="n">
        <v>629.4095225512604</v>
      </c>
      <c r="C43" s="18" t="n">
        <v>67.43503392475499</v>
      </c>
      <c r="D43" s="17" t="n">
        <v>69.91585823428542</v>
      </c>
      <c r="E43" s="17" t="n">
        <v>75.81487235025804</v>
      </c>
      <c r="F43" s="17" t="n">
        <v>81.35313424001929</v>
      </c>
      <c r="G43" s="17" t="n">
        <v>87.23690905644195</v>
      </c>
      <c r="H43" s="17" t="n">
        <v>93.93450892255473</v>
      </c>
      <c r="I43" s="17" t="n">
        <v>101.1620037878852</v>
      </c>
    </row>
    <row r="44">
      <c r="A44" s="63" t="n">
        <v>46156.39930555555</v>
      </c>
      <c r="B44" s="18" t="n">
        <v>650.3528997521368</v>
      </c>
      <c r="C44" s="18" t="n">
        <v>68.54779136273602</v>
      </c>
      <c r="D44" s="17" t="n">
        <v>72.14764315168561</v>
      </c>
      <c r="E44" s="17" t="n">
        <v>78.05636617241102</v>
      </c>
      <c r="F44" s="17" t="n">
        <v>83.84276796195137</v>
      </c>
      <c r="G44" s="17" t="n">
        <v>90.21482372846563</v>
      </c>
      <c r="H44" s="17" t="n">
        <v>97.39794306993277</v>
      </c>
      <c r="I44" s="17" t="n">
        <v>104.8316216131567</v>
      </c>
    </row>
    <row r="45">
      <c r="A45" s="63" t="n">
        <v>46156.40277777778</v>
      </c>
      <c r="B45" s="18" t="n">
        <v>671.0100716628342</v>
      </c>
      <c r="C45" s="18" t="n">
        <v>69.62792376456429</v>
      </c>
      <c r="D45" s="17" t="n">
        <v>74.25660496783063</v>
      </c>
      <c r="E45" s="17" t="n">
        <v>80.24356314202569</v>
      </c>
      <c r="F45" s="17" t="n">
        <v>86.37978571929516</v>
      </c>
      <c r="G45" s="17" t="n">
        <v>93.27438784392493</v>
      </c>
      <c r="H45" s="17" t="n">
        <v>100.8617659193451</v>
      </c>
      <c r="I45" s="17" t="n">
        <v>108.3662720923906</v>
      </c>
    </row>
    <row r="46">
      <c r="A46" s="63" t="n">
        <v>46156.40625</v>
      </c>
      <c r="B46" s="18" t="n">
        <v>691.3417161825447</v>
      </c>
      <c r="C46" s="18" t="n">
        <v>70.67491704571634</v>
      </c>
      <c r="D46" s="17" t="n">
        <v>76.25626158745168</v>
      </c>
      <c r="E46" s="17" t="n">
        <v>82.41270459933253</v>
      </c>
      <c r="F46" s="17" t="n">
        <v>88.9859380799053</v>
      </c>
      <c r="G46" s="17" t="n">
        <v>96.3935702268505</v>
      </c>
      <c r="H46" s="17" t="n">
        <v>104.2699502883425</v>
      </c>
      <c r="I46" s="17" t="n">
        <v>111.72076985592</v>
      </c>
    </row>
    <row r="47">
      <c r="A47" s="63" t="n">
        <v>46156.40972222222</v>
      </c>
      <c r="B47" s="18" t="n">
        <v>711.3091308703499</v>
      </c>
      <c r="C47" s="18" t="n">
        <v>71.68827289409529</v>
      </c>
      <c r="D47" s="17" t="n">
        <v>78.17209279580635</v>
      </c>
      <c r="E47" s="17" t="n">
        <v>84.59949426214675</v>
      </c>
      <c r="F47" s="17" t="n">
        <v>91.6682835359931</v>
      </c>
      <c r="G47" s="17" t="n">
        <v>99.53394910672458</v>
      </c>
      <c r="H47" s="17" t="n">
        <v>107.5645299691098</v>
      </c>
      <c r="I47" s="17" t="n">
        <v>114.8665177883888</v>
      </c>
    </row>
    <row r="48">
      <c r="A48" s="63" t="n">
        <v>46156.41319444445</v>
      </c>
      <c r="B48" s="18" t="n">
        <v>730.8743066175169</v>
      </c>
      <c r="C48" s="18" t="n">
        <v>72.66750900720047</v>
      </c>
      <c r="D48" s="17" t="n">
        <v>80.03778993258108</v>
      </c>
      <c r="E48" s="17" t="n">
        <v>86.83304966867</v>
      </c>
      <c r="F48" s="17" t="n">
        <v>94.41654873940914</v>
      </c>
      <c r="G48" s="17" t="n">
        <v>102.6447062830713</v>
      </c>
      <c r="H48" s="17" t="n">
        <v>110.6932801773676</v>
      </c>
      <c r="I48" s="17" t="n">
        <v>117.7958059370577</v>
      </c>
    </row>
    <row r="49">
      <c r="A49" s="63" t="n">
        <v>46156.41666666666</v>
      </c>
      <c r="B49" s="18" t="n">
        <v>749.9999999999999</v>
      </c>
      <c r="C49" s="18" t="n">
        <v>73.61215932167728</v>
      </c>
      <c r="D49" s="17" t="n">
        <v>81.8900738859397</v>
      </c>
      <c r="E49" s="17" t="n">
        <v>89.13053668436797</v>
      </c>
      <c r="F49" s="17" t="n">
        <v>97.20298019683737</v>
      </c>
      <c r="G49" s="17" t="n">
        <v>105.6687235938494</v>
      </c>
      <c r="H49" s="17" t="n">
        <v>113.6169570855209</v>
      </c>
      <c r="I49" s="17" t="n">
        <v>120.5231993737458</v>
      </c>
    </row>
    <row r="50">
      <c r="A50" s="63" t="n">
        <v>46156.42013888889</v>
      </c>
      <c r="B50" s="18" t="n">
        <v>768.6498041734121</v>
      </c>
      <c r="C50" s="18" t="n">
        <v>74.52177423513817</v>
      </c>
      <c r="D50" s="17" t="n">
        <v>83.76280325543475</v>
      </c>
      <c r="E50" s="17" t="n">
        <v>91.49334290584159</v>
      </c>
      <c r="F50" s="17" t="n">
        <v>99.98483619958112</v>
      </c>
      <c r="G50" s="17" t="n">
        <v>108.5499563314481</v>
      </c>
      <c r="H50" s="17" t="n">
        <v>116.3149691682754</v>
      </c>
      <c r="I50" s="17" t="n">
        <v>123.0836589102841</v>
      </c>
    </row>
    <row r="51">
      <c r="A51" s="63" t="n">
        <v>46156.42361111111</v>
      </c>
      <c r="B51" s="18" t="n">
        <v>786.788218175523</v>
      </c>
      <c r="C51" s="18" t="n">
        <v>75.39592082014883</v>
      </c>
      <c r="D51" s="17" t="n">
        <v>85.6812376251204</v>
      </c>
      <c r="E51" s="17" t="n">
        <v>93.9054478534738</v>
      </c>
      <c r="F51" s="17" t="n">
        <v>102.7092669327132</v>
      </c>
      <c r="G51" s="17" t="n">
        <v>111.2410227247673</v>
      </c>
      <c r="H51" s="17" t="n">
        <v>118.7885428963558</v>
      </c>
      <c r="I51" s="17" t="n">
        <v>125.5275265201122</v>
      </c>
    </row>
    <row r="52">
      <c r="A52" s="63" t="n">
        <v>46156.42708333334</v>
      </c>
      <c r="B52" s="18" t="n">
        <v>804.3807145043604</v>
      </c>
      <c r="C52" s="18" t="n">
        <v>76.23418303027852</v>
      </c>
      <c r="D52" s="17" t="n">
        <v>87.65733536514078</v>
      </c>
      <c r="E52" s="17" t="n">
        <v>96.33433893083507</v>
      </c>
      <c r="F52" s="17" t="n">
        <v>105.3199519681372</v>
      </c>
      <c r="G52" s="17" t="n">
        <v>113.7098682550642</v>
      </c>
      <c r="H52" s="17" t="n">
        <v>121.0607892929273</v>
      </c>
      <c r="I52" s="17" t="n">
        <v>127.9129956341915</v>
      </c>
    </row>
    <row r="53">
      <c r="A53" s="63" t="n">
        <v>46156.43055555555</v>
      </c>
      <c r="B53" s="18" t="n">
        <v>821.3938048432699</v>
      </c>
      <c r="C53" s="18" t="n">
        <v>77.03616189811525</v>
      </c>
      <c r="D53" s="17" t="n">
        <v>89.68684390309963</v>
      </c>
      <c r="E53" s="17" t="n">
        <v>98.73444637100908</v>
      </c>
      <c r="F53" s="17" t="n">
        <v>107.7645680274149</v>
      </c>
      <c r="G53" s="17" t="n">
        <v>115.9444571234214</v>
      </c>
      <c r="H53" s="17" t="n">
        <v>123.1735280854709</v>
      </c>
      <c r="I53" s="17" t="n">
        <v>130.2970985070648</v>
      </c>
    </row>
    <row r="54">
      <c r="A54" s="63" t="n">
        <v>46156.43402777778</v>
      </c>
      <c r="B54" s="18" t="n">
        <v>837.7951038078301</v>
      </c>
      <c r="C54" s="18" t="n">
        <v>77.801475725153</v>
      </c>
      <c r="D54" s="17" t="n">
        <v>91.74869686456611</v>
      </c>
      <c r="E54" s="17" t="n">
        <v>101.052684075042</v>
      </c>
      <c r="F54" s="17" t="n">
        <v>110.001995481412</v>
      </c>
      <c r="G54" s="17" t="n">
        <v>117.9547025501615</v>
      </c>
      <c r="H54" s="17" t="n">
        <v>125.1812161878033</v>
      </c>
      <c r="I54" s="17" t="n">
        <v>132.7265112334096</v>
      </c>
    </row>
    <row r="55">
      <c r="A55" s="63" t="n">
        <v>46156.4375</v>
      </c>
      <c r="B55" s="18" t="n">
        <v>853.5533905932738</v>
      </c>
      <c r="C55" s="18" t="n">
        <v>78.52976026345937</v>
      </c>
      <c r="D55" s="17" t="n">
        <v>93.80690048075623</v>
      </c>
      <c r="E55" s="17" t="n">
        <v>103.2353462685963</v>
      </c>
      <c r="F55" s="17" t="n">
        <v>112.0081699331549</v>
      </c>
      <c r="G55" s="17" t="n">
        <v>119.7712382614569</v>
      </c>
      <c r="H55" s="17" t="n">
        <v>127.1427820141325</v>
      </c>
      <c r="I55" s="17" t="n">
        <v>135.2295546954622</v>
      </c>
    </row>
    <row r="56">
      <c r="A56" s="63" t="n">
        <v>46156.44097222222</v>
      </c>
      <c r="B56" s="18" t="n">
        <v>868.638668405062</v>
      </c>
      <c r="C56" s="18" t="n">
        <v>79.22066888903788</v>
      </c>
      <c r="D56" s="17" t="n">
        <v>95.81471981455226</v>
      </c>
      <c r="E56" s="17" t="n">
        <v>105.23537637388</v>
      </c>
      <c r="F56" s="17" t="n">
        <v>113.7796513042732</v>
      </c>
      <c r="G56" s="17" t="n">
        <v>121.4410992343554</v>
      </c>
      <c r="H56" s="17" t="n">
        <v>129.1125147053747</v>
      </c>
      <c r="I56" s="17" t="n">
        <v>137.8106381098541</v>
      </c>
    </row>
    <row r="57">
      <c r="A57" s="63" t="n">
        <v>46156.44444444445</v>
      </c>
      <c r="B57" s="18" t="n">
        <v>883.0222215594888</v>
      </c>
      <c r="C57" s="18" t="n">
        <v>79.87387276680221</v>
      </c>
      <c r="D57" s="17" t="n">
        <v>97.72062004864668</v>
      </c>
      <c r="E57" s="17" t="n">
        <v>107.0189340184916</v>
      </c>
      <c r="F57" s="17" t="n">
        <v>115.3342968391058</v>
      </c>
      <c r="G57" s="17" t="n">
        <v>123.0208507299364</v>
      </c>
      <c r="H57" s="17" t="n">
        <v>131.1313403194559</v>
      </c>
      <c r="I57" s="17" t="n">
        <v>140.4480645059063</v>
      </c>
    </row>
    <row r="58">
      <c r="A58" s="63" t="n">
        <v>46156.44791666666</v>
      </c>
      <c r="B58" s="18" t="n">
        <v>896.6766701456174</v>
      </c>
      <c r="C58" s="18" t="n">
        <v>80.48906100708398</v>
      </c>
      <c r="D58" s="17" t="n">
        <v>99.47513479699393</v>
      </c>
      <c r="E58" s="17" t="n">
        <v>108.5702571107481</v>
      </c>
      <c r="F58" s="17" t="n">
        <v>116.7088423553931</v>
      </c>
      <c r="G58" s="17" t="n">
        <v>124.5681081415271</v>
      </c>
      <c r="H58" s="17" t="n">
        <v>133.2198019937941</v>
      </c>
      <c r="I58" s="17" t="n">
        <v>143.0956389885698</v>
      </c>
    </row>
    <row r="59">
      <c r="A59" s="63" t="n">
        <v>46156.45138888889</v>
      </c>
      <c r="B59" s="18" t="n">
        <v>909.5760221444959</v>
      </c>
      <c r="C59" s="18" t="n">
        <v>81.06594081359928</v>
      </c>
      <c r="D59" s="17" t="n">
        <v>101.0376679740534</v>
      </c>
      <c r="E59" s="17" t="n">
        <v>109.8940421814725</v>
      </c>
      <c r="F59" s="17" t="n">
        <v>117.9536564599037</v>
      </c>
      <c r="G59" s="17" t="n">
        <v>126.1326619714414</v>
      </c>
      <c r="H59" s="17" t="n">
        <v>135.3738445421497</v>
      </c>
      <c r="I59" s="17" t="n">
        <v>145.6879604260364</v>
      </c>
    </row>
    <row r="60">
      <c r="A60" s="63" t="n">
        <v>46156.45486111111</v>
      </c>
      <c r="B60" s="18" t="n">
        <v>921.6957229064427</v>
      </c>
      <c r="C60" s="18" t="n">
        <v>81.60423762280394</v>
      </c>
      <c r="D60" s="17" t="n">
        <v>102.3822169192846</v>
      </c>
      <c r="E60" s="17" t="n">
        <v>111.014917192394</v>
      </c>
      <c r="F60" s="17" t="n">
        <v>119.1253656099624</v>
      </c>
      <c r="G60" s="17" t="n">
        <v>127.7485168336148</v>
      </c>
      <c r="H60" s="17" t="n">
        <v>137.5641136540369</v>
      </c>
      <c r="I60" s="17" t="n">
        <v>148.1487192364738</v>
      </c>
    </row>
    <row r="61">
      <c r="A61" s="63" t="n">
        <v>46156.45833333334</v>
      </c>
      <c r="B61" s="64" t="n">
        <v>127.6484380459354</v>
      </c>
      <c r="C61" s="18" t="n">
        <v>82.10369523457081</v>
      </c>
      <c r="D61" s="17" t="n">
        <v>13.16909789855434</v>
      </c>
      <c r="E61" s="17" t="n">
        <v>14.24715383062028</v>
      </c>
      <c r="F61" s="17" t="n">
        <v>12.70213088812909</v>
      </c>
      <c r="G61" s="17" t="n">
        <v>16.46794131757396</v>
      </c>
      <c r="H61" s="17" t="n">
        <v>17.77986417558551</v>
      </c>
      <c r="I61" s="17" t="n"/>
    </row>
    <row r="62">
      <c r="A62" s="63" t="n">
        <v>46156.46180555555</v>
      </c>
      <c r="B62" s="64" t="n">
        <v>110.0097930656552</v>
      </c>
      <c r="C62" s="18" t="n">
        <v>82.56407593412722</v>
      </c>
      <c r="D62" s="17" t="n">
        <v>11.32131385159739</v>
      </c>
      <c r="E62" s="17" t="n">
        <v>12.23397587206406</v>
      </c>
      <c r="F62" s="17" t="n">
        <v>10.93123133923895</v>
      </c>
      <c r="G62" s="17" t="n">
        <v>14.22226366170105</v>
      </c>
      <c r="H62" s="17" t="n">
        <v>15.37944578475348</v>
      </c>
      <c r="I62" s="17" t="n"/>
    </row>
    <row r="63">
      <c r="A63" s="63" t="n">
        <v>46156.46527777778</v>
      </c>
      <c r="B63" s="64" t="n">
        <v>129.1379599165235</v>
      </c>
      <c r="C63" s="18" t="n">
        <v>82.98516060519434</v>
      </c>
      <c r="D63" s="17" t="n">
        <v>13.24619690714949</v>
      </c>
      <c r="E63" s="17" t="n">
        <v>14.3158118454381</v>
      </c>
      <c r="F63" s="17" t="n">
        <v>12.83063604990568</v>
      </c>
      <c r="G63" s="17" t="n">
        <v>16.74631870386922</v>
      </c>
      <c r="H63" s="17" t="n">
        <v>18.11456171453634</v>
      </c>
      <c r="I63" s="17" t="n"/>
    </row>
    <row r="64">
      <c r="A64" s="63" t="n">
        <v>46156.46875</v>
      </c>
      <c r="B64" s="64" t="n">
        <v>167.446590209913</v>
      </c>
      <c r="C64" s="18" t="n">
        <v>83.36674883427459</v>
      </c>
      <c r="D64" s="17" t="n">
        <v>17.1128807044458</v>
      </c>
      <c r="E64" s="17" t="n">
        <v>18.52059666360743</v>
      </c>
      <c r="F64" s="17" t="n">
        <v>16.65762262808184</v>
      </c>
      <c r="G64" s="17" t="n">
        <v>21.79223063352789</v>
      </c>
      <c r="H64" s="17" t="n">
        <v>23.54978469516283</v>
      </c>
      <c r="I64" s="17" t="n"/>
    </row>
    <row r="65">
      <c r="A65" s="63" t="n">
        <v>46156.47222222222</v>
      </c>
      <c r="B65" s="64" t="n">
        <v>189.7149059233815</v>
      </c>
      <c r="C65" s="18" t="n">
        <v>83.70865900603769</v>
      </c>
      <c r="D65" s="17" t="n">
        <v>19.32013825411789</v>
      </c>
      <c r="E65" s="17" t="n">
        <v>20.96156090096621</v>
      </c>
      <c r="F65" s="17" t="n">
        <v>18.91869396707604</v>
      </c>
      <c r="G65" s="17" t="n">
        <v>24.78028136082835</v>
      </c>
      <c r="H65" s="17" t="n">
        <v>26.7220720488645</v>
      </c>
      <c r="I65" s="17" t="n"/>
    </row>
    <row r="66">
      <c r="A66" s="63" t="n">
        <v>46156.47569444445</v>
      </c>
      <c r="B66" s="64" t="n">
        <v>175.4695202855655</v>
      </c>
      <c r="C66" s="18" t="n">
        <v>84.01072838975966</v>
      </c>
      <c r="D66" s="17" t="n">
        <v>17.81700222675097</v>
      </c>
      <c r="E66" s="17" t="n">
        <v>19.39356777675595</v>
      </c>
      <c r="F66" s="17" t="n">
        <v>17.55534430978456</v>
      </c>
      <c r="G66" s="17" t="n">
        <v>22.9928308153659</v>
      </c>
      <c r="H66" s="17" t="n">
        <v>24.72082331536276</v>
      </c>
      <c r="I66" s="17" t="n"/>
    </row>
    <row r="67">
      <c r="A67" s="63" t="n">
        <v>46156.47916666666</v>
      </c>
      <c r="B67" s="64" t="n">
        <v>137.8075751559113</v>
      </c>
      <c r="C67" s="18" t="n">
        <v>84.27281321677388</v>
      </c>
      <c r="D67" s="17" t="n">
        <v>13.96587171052949</v>
      </c>
      <c r="E67" s="17" t="n">
        <v>15.25579007549852</v>
      </c>
      <c r="F67" s="17" t="n">
        <v>13.8378706640577</v>
      </c>
      <c r="G67" s="17" t="n">
        <v>18.09970165344891</v>
      </c>
      <c r="H67" s="17" t="n">
        <v>19.3931895657434</v>
      </c>
      <c r="I67" s="17" t="n"/>
    </row>
    <row r="68">
      <c r="A68" s="63" t="n">
        <v>46156.48263888889</v>
      </c>
      <c r="B68" s="64" t="n">
        <v>111.3552891996643</v>
      </c>
      <c r="C68" s="18" t="n">
        <v>84.49478874889716</v>
      </c>
      <c r="D68" s="17" t="n">
        <v>11.2777333199667</v>
      </c>
      <c r="E68" s="17" t="n">
        <v>12.36095005944287</v>
      </c>
      <c r="F68" s="17" t="n">
        <v>11.22148708931997</v>
      </c>
      <c r="G68" s="17" t="n">
        <v>14.64215245739959</v>
      </c>
      <c r="H68" s="17" t="n">
        <v>15.63464999548925</v>
      </c>
      <c r="I68" s="17" t="n"/>
    </row>
    <row r="69">
      <c r="A69" s="63" t="n">
        <v>46156.48611111111</v>
      </c>
      <c r="B69" s="64" t="n">
        <v>120.4327721340311</v>
      </c>
      <c r="C69" s="18" t="n">
        <v>84.67654933779838</v>
      </c>
      <c r="D69" s="17" t="n">
        <v>12.20576991228631</v>
      </c>
      <c r="E69" s="17" t="n">
        <v>13.41455246976057</v>
      </c>
      <c r="F69" s="17" t="n">
        <v>12.17236923325448</v>
      </c>
      <c r="G69" s="17" t="n">
        <v>15.83278699677244</v>
      </c>
      <c r="H69" s="17" t="n">
        <v>16.85550045387438</v>
      </c>
      <c r="I69" s="17" t="n"/>
    </row>
    <row r="70">
      <c r="A70" s="63" t="n">
        <v>46156.48958333334</v>
      </c>
      <c r="B70" s="64" t="n">
        <v>156.6942280121123</v>
      </c>
      <c r="C70" s="18" t="n">
        <v>84.81800847528129</v>
      </c>
      <c r="D70" s="17" t="n">
        <v>15.91231883182419</v>
      </c>
      <c r="E70" s="17" t="n">
        <v>17.51791115036306</v>
      </c>
      <c r="F70" s="17" t="n">
        <v>15.86901412451418</v>
      </c>
      <c r="G70" s="17" t="n">
        <v>20.56922210411339</v>
      </c>
      <c r="H70" s="17" t="n">
        <v>21.85105025915751</v>
      </c>
      <c r="I70" s="17" t="n"/>
    </row>
    <row r="71">
      <c r="A71" s="63" t="n">
        <v>46156.49305555555</v>
      </c>
      <c r="B71" s="64" t="n">
        <v>186.8010415278716</v>
      </c>
      <c r="C71" s="18" t="n">
        <v>84.91909883445791</v>
      </c>
      <c r="D71" s="17" t="n">
        <v>19.02615435816423</v>
      </c>
      <c r="E71" s="17" t="n">
        <v>20.95547322571249</v>
      </c>
      <c r="F71" s="17" t="n">
        <v>18.93232143274846</v>
      </c>
      <c r="G71" s="17" t="n">
        <v>24.45768552063592</v>
      </c>
      <c r="H71" s="17" t="n">
        <v>25.95590943120505</v>
      </c>
      <c r="I71" s="17" t="n"/>
    </row>
    <row r="72">
      <c r="A72" s="63" t="n">
        <v>46156.49652777778</v>
      </c>
      <c r="B72" s="64" t="n">
        <v>183.0731471796041</v>
      </c>
      <c r="C72" s="18" t="n">
        <v>84.97977230179228</v>
      </c>
      <c r="D72" s="17" t="n">
        <v>18.71290453757476</v>
      </c>
      <c r="E72" s="17" t="n">
        <v>20.59317239406168</v>
      </c>
      <c r="F72" s="17" t="n">
        <v>18.54363353016394</v>
      </c>
      <c r="G72" s="17" t="n">
        <v>23.88914888506745</v>
      </c>
      <c r="H72" s="17" t="n">
        <v>25.35988411791213</v>
      </c>
      <c r="I72" s="17" t="n"/>
    </row>
    <row r="73">
      <c r="A73" s="63" t="n">
        <v>46156.5</v>
      </c>
      <c r="B73" s="64" t="n">
        <v>148.9379538390413</v>
      </c>
      <c r="C73" s="18" t="n">
        <v>85</v>
      </c>
      <c r="D73" s="17" t="n">
        <v>15.27952098077169</v>
      </c>
      <c r="E73" s="17" t="n">
        <v>16.78105374945336</v>
      </c>
      <c r="F73" s="17" t="n">
        <v>15.05818572100553</v>
      </c>
      <c r="G73" s="17" t="n">
        <v>19.36357421023268</v>
      </c>
      <c r="H73" s="17" t="n">
        <v>20.58757061537413</v>
      </c>
      <c r="I73" s="17" t="n"/>
    </row>
    <row r="74">
      <c r="A74" s="63" t="n">
        <v>46156.50347222222</v>
      </c>
      <c r="B74" s="64" t="n">
        <v>115.7792008409871</v>
      </c>
      <c r="C74" s="18" t="n">
        <v>84.97977230179228</v>
      </c>
      <c r="D74" s="17" t="n">
        <v>11.91657434251078</v>
      </c>
      <c r="E74" s="17" t="n">
        <v>13.0496857332304</v>
      </c>
      <c r="F74" s="17" t="n">
        <v>11.67219152189192</v>
      </c>
      <c r="G74" s="17" t="n">
        <v>15.00011764760486</v>
      </c>
      <c r="H74" s="17" t="n">
        <v>15.98993191489988</v>
      </c>
      <c r="I74" s="17" t="n"/>
    </row>
    <row r="75">
      <c r="A75" s="63" t="n">
        <v>46156.50694444445</v>
      </c>
      <c r="B75" s="64" t="n">
        <v>114.0828927724284</v>
      </c>
      <c r="C75" s="18" t="n">
        <v>84.91909883445791</v>
      </c>
      <c r="D75" s="17" t="n">
        <v>11.77056747512785</v>
      </c>
      <c r="E75" s="17" t="n">
        <v>12.84593234386563</v>
      </c>
      <c r="F75" s="17" t="n">
        <v>11.46093634413649</v>
      </c>
      <c r="G75" s="17" t="n">
        <v>14.73857582572936</v>
      </c>
      <c r="H75" s="17" t="n">
        <v>15.76324202907942</v>
      </c>
      <c r="I75" s="17" t="n"/>
    </row>
    <row r="76">
      <c r="A76" s="63" t="n">
        <v>46156.51041666666</v>
      </c>
      <c r="B76" s="64" t="n">
        <v>145.4086074486725</v>
      </c>
      <c r="C76" s="18" t="n">
        <v>84.81800847528129</v>
      </c>
      <c r="D76" s="17" t="n">
        <v>15.02181929353074</v>
      </c>
      <c r="E76" s="17" t="n">
        <v>16.33753966512468</v>
      </c>
      <c r="F76" s="17" t="n">
        <v>14.55441755892133</v>
      </c>
      <c r="G76" s="17" t="n">
        <v>18.75220165016042</v>
      </c>
      <c r="H76" s="17" t="n">
        <v>20.12739699276234</v>
      </c>
      <c r="I76" s="17" t="n"/>
    </row>
    <row r="77">
      <c r="A77" s="63" t="n">
        <v>46156.51388888889</v>
      </c>
      <c r="B77" s="64" t="n">
        <v>180.9556272623156</v>
      </c>
      <c r="C77" s="18" t="n">
        <v>84.67654933779838</v>
      </c>
      <c r="D77" s="17" t="n">
        <v>18.69331721408634</v>
      </c>
      <c r="E77" s="17" t="n">
        <v>20.26849026205232</v>
      </c>
      <c r="F77" s="17" t="n">
        <v>18.05201222561675</v>
      </c>
      <c r="G77" s="17" t="n">
        <v>23.32517301999461</v>
      </c>
      <c r="H77" s="17" t="n">
        <v>25.11877440636374</v>
      </c>
      <c r="I77" s="17" t="n"/>
    </row>
    <row r="78">
      <c r="A78" s="63" t="n">
        <v>46156.51736111111</v>
      </c>
      <c r="B78" s="64" t="n">
        <v>188.042186130175</v>
      </c>
      <c r="C78" s="18" t="n">
        <v>84.49478874889716</v>
      </c>
      <c r="D78" s="17" t="n">
        <v>19.39903594828561</v>
      </c>
      <c r="E78" s="17" t="n">
        <v>20.98641745649773</v>
      </c>
      <c r="F78" s="17" t="n">
        <v>18.71113148137382</v>
      </c>
      <c r="G78" s="17" t="n">
        <v>24.26002903465457</v>
      </c>
      <c r="H78" s="17" t="n">
        <v>26.193741396254</v>
      </c>
      <c r="I78" s="17" t="n"/>
    </row>
    <row r="79">
      <c r="A79" s="63" t="n">
        <v>46156.52083333334</v>
      </c>
      <c r="B79" s="64" t="n">
        <v>160.1529345104815</v>
      </c>
      <c r="C79" s="18" t="n">
        <v>84.27281321677388</v>
      </c>
      <c r="D79" s="17" t="n">
        <v>16.48074141724483</v>
      </c>
      <c r="E79" s="17" t="n">
        <v>17.80915850449484</v>
      </c>
      <c r="F79" s="17" t="n">
        <v>15.91352719648386</v>
      </c>
      <c r="G79" s="17" t="n">
        <v>20.70586992865194</v>
      </c>
      <c r="H79" s="17" t="n">
        <v>22.39097749834661</v>
      </c>
      <c r="I79" s="17" t="n"/>
    </row>
    <row r="80">
      <c r="A80" s="63" t="n">
        <v>46156.52430555555</v>
      </c>
      <c r="B80" s="64" t="n">
        <v>122.9291217245077</v>
      </c>
      <c r="C80" s="18" t="n">
        <v>84.01072838975966</v>
      </c>
      <c r="D80" s="17" t="n">
        <v>12.60850509130532</v>
      </c>
      <c r="E80" s="17" t="n">
        <v>13.62682509931143</v>
      </c>
      <c r="F80" s="17" t="n">
        <v>12.21388562780764</v>
      </c>
      <c r="G80" s="17" t="n">
        <v>15.9421712098951</v>
      </c>
      <c r="H80" s="17" t="n">
        <v>17.24460033065791</v>
      </c>
      <c r="I80" s="17" t="n"/>
    </row>
    <row r="81">
      <c r="A81" s="63" t="n">
        <v>46156.52777777778</v>
      </c>
      <c r="B81" s="64" t="n">
        <v>110.5941495812701</v>
      </c>
      <c r="C81" s="18" t="n">
        <v>83.70865900603769</v>
      </c>
      <c r="D81" s="17" t="n">
        <v>11.30184890267761</v>
      </c>
      <c r="E81" s="17" t="n">
        <v>12.23199609822832</v>
      </c>
      <c r="F81" s="17" t="n">
        <v>11.00231294585071</v>
      </c>
      <c r="G81" s="17" t="n">
        <v>14.39418619764294</v>
      </c>
      <c r="H81" s="17" t="n">
        <v>15.55462716908315</v>
      </c>
      <c r="I81" s="17" t="n"/>
    </row>
    <row r="82">
      <c r="A82" s="63" t="n">
        <v>46156.53125</v>
      </c>
      <c r="B82" s="64" t="n">
        <v>134.4887345836228</v>
      </c>
      <c r="C82" s="18" t="n">
        <v>83.36674883427459</v>
      </c>
      <c r="D82" s="17" t="n">
        <v>13.69519453491259</v>
      </c>
      <c r="E82" s="17" t="n">
        <v>14.85953197612438</v>
      </c>
      <c r="F82" s="17" t="n">
        <v>13.41216721957876</v>
      </c>
      <c r="G82" s="17" t="n">
        <v>17.56784890255919</v>
      </c>
      <c r="H82" s="17" t="n">
        <v>18.94355809324697</v>
      </c>
      <c r="I82" s="17" t="n"/>
    </row>
    <row r="83">
      <c r="A83" s="63" t="n">
        <v>46156.53472222222</v>
      </c>
      <c r="B83" s="64" t="n">
        <v>172.6443054759272</v>
      </c>
      <c r="C83" s="18" t="n">
        <v>82.98516060519434</v>
      </c>
      <c r="D83" s="17" t="n">
        <v>17.52933138276527</v>
      </c>
      <c r="E83" s="17" t="n">
        <v>19.08166621176932</v>
      </c>
      <c r="F83" s="17" t="n">
        <v>17.27381580628991</v>
      </c>
      <c r="G83" s="17" t="n">
        <v>22.62379680432591</v>
      </c>
      <c r="H83" s="17" t="n">
        <v>24.32258359914271</v>
      </c>
      <c r="I83" s="17" t="n"/>
    </row>
    <row r="84">
      <c r="A84" s="63" t="n">
        <v>46156.53819444445</v>
      </c>
      <c r="B84" s="64" t="n">
        <v>189.9808063432293</v>
      </c>
      <c r="C84" s="18" t="n">
        <v>82.56407593412722</v>
      </c>
      <c r="D84" s="17" t="n">
        <v>19.25281334940477</v>
      </c>
      <c r="E84" s="17" t="n">
        <v>21.0324173944373</v>
      </c>
      <c r="F84" s="17" t="n">
        <v>19.07811243210232</v>
      </c>
      <c r="G84" s="17" t="n">
        <v>24.95296289296381</v>
      </c>
      <c r="H84" s="17" t="n">
        <v>26.73448460787102</v>
      </c>
      <c r="I84" s="17" t="n"/>
    </row>
    <row r="85">
      <c r="A85" s="63" t="n">
        <v>46156.54166666666</v>
      </c>
      <c r="B85" s="18" t="n">
        <v>933.0127018922194</v>
      </c>
      <c r="C85" s="18" t="n">
        <v>82.10369523457081</v>
      </c>
      <c r="D85" s="17" t="n">
        <v>101.6051966984628</v>
      </c>
      <c r="E85" s="17" t="n">
        <v>111.3706690738324</v>
      </c>
      <c r="F85" s="17" t="n">
        <v>121.8127461294471</v>
      </c>
      <c r="G85" s="17" t="n">
        <v>131.9175220061744</v>
      </c>
      <c r="H85" s="17" t="n">
        <v>140.8508419522345</v>
      </c>
      <c r="I85" s="17" t="n">
        <v>148.837337096242</v>
      </c>
    </row>
    <row r="86">
      <c r="A86" s="63" t="n">
        <v>46156.54513888889</v>
      </c>
      <c r="B86" s="18" t="n">
        <v>921.6957229064427</v>
      </c>
      <c r="C86" s="18" t="n">
        <v>81.60423762280394</v>
      </c>
      <c r="D86" s="17" t="n">
        <v>100.4468311818959</v>
      </c>
      <c r="E86" s="17" t="n">
        <v>110.3990282620072</v>
      </c>
      <c r="F86" s="17" t="n">
        <v>120.6916462098722</v>
      </c>
      <c r="G86" s="17" t="n">
        <v>130.2897785770275</v>
      </c>
      <c r="H86" s="17" t="n">
        <v>138.6991159075165</v>
      </c>
      <c r="I86" s="17" t="n">
        <v>146.5526746818822</v>
      </c>
    </row>
    <row r="87">
      <c r="A87" s="63" t="n">
        <v>46156.54861111111</v>
      </c>
      <c r="B87" s="18" t="n">
        <v>909.5760221444959</v>
      </c>
      <c r="C87" s="18" t="n">
        <v>81.06594081359928</v>
      </c>
      <c r="D87" s="17" t="n">
        <v>99.32461299701515</v>
      </c>
      <c r="E87" s="17" t="n">
        <v>109.3489045496713</v>
      </c>
      <c r="F87" s="17" t="n">
        <v>119.34000788602</v>
      </c>
      <c r="G87" s="17" t="n">
        <v>128.3819919078001</v>
      </c>
      <c r="H87" s="17" t="n">
        <v>136.3784614625452</v>
      </c>
      <c r="I87" s="17" t="n">
        <v>144.2752642306481</v>
      </c>
    </row>
    <row r="88">
      <c r="A88" s="63" t="n">
        <v>46156.55208333334</v>
      </c>
      <c r="B88" s="18" t="n">
        <v>896.6766701456175</v>
      </c>
      <c r="C88" s="18" t="n">
        <v>80.48906100708399</v>
      </c>
      <c r="D88" s="17" t="n">
        <v>98.20902932482301</v>
      </c>
      <c r="E88" s="17" t="n">
        <v>108.16735017083</v>
      </c>
      <c r="F88" s="17" t="n">
        <v>117.733483800347</v>
      </c>
      <c r="G88" s="17" t="n">
        <v>126.2305702220293</v>
      </c>
      <c r="H88" s="17" t="n">
        <v>133.9623064652777</v>
      </c>
      <c r="I88" s="17" t="n">
        <v>142.0515263316668</v>
      </c>
    </row>
    <row r="89">
      <c r="A89" s="63" t="n">
        <v>46156.55555555555</v>
      </c>
      <c r="B89" s="18" t="n">
        <v>883.0222215594888</v>
      </c>
      <c r="C89" s="18" t="n">
        <v>79.87387276680221</v>
      </c>
      <c r="D89" s="17" t="n">
        <v>97.05876590968305</v>
      </c>
      <c r="E89" s="17" t="n">
        <v>106.8083152101353</v>
      </c>
      <c r="F89" s="17" t="n">
        <v>115.8699261339808</v>
      </c>
      <c r="G89" s="17" t="n">
        <v>123.8898995043357</v>
      </c>
      <c r="H89" s="17" t="n">
        <v>131.5194830677909</v>
      </c>
      <c r="I89" s="17" t="n">
        <v>139.9022566733798</v>
      </c>
    </row>
    <row r="90">
      <c r="A90" s="63" t="n">
        <v>46156.55902777778</v>
      </c>
      <c r="B90" s="18" t="n">
        <v>868.638668405062</v>
      </c>
      <c r="C90" s="18" t="n">
        <v>79.22066888903788</v>
      </c>
      <c r="D90" s="17" t="n">
        <v>95.8272090053092</v>
      </c>
      <c r="E90" s="17" t="n">
        <v>105.2393507517976</v>
      </c>
      <c r="F90" s="17" t="n">
        <v>113.7695439769259</v>
      </c>
      <c r="G90" s="17" t="n">
        <v>121.4247002798402</v>
      </c>
      <c r="H90" s="17" t="n">
        <v>129.1051904498635</v>
      </c>
      <c r="I90" s="17" t="n">
        <v>137.8209375062555</v>
      </c>
    </row>
    <row r="91">
      <c r="A91" s="63" t="n">
        <v>46156.5625</v>
      </c>
      <c r="B91" s="18" t="n">
        <v>853.553390593274</v>
      </c>
      <c r="C91" s="18" t="n">
        <v>78.52976026345938</v>
      </c>
      <c r="D91" s="17" t="n">
        <v>94.46955035850755</v>
      </c>
      <c r="E91" s="17" t="n">
        <v>103.4462183012589</v>
      </c>
      <c r="F91" s="17" t="n">
        <v>111.4718966580119</v>
      </c>
      <c r="G91" s="17" t="n">
        <v>118.9011446408031</v>
      </c>
      <c r="H91" s="17" t="n">
        <v>126.7541726067228</v>
      </c>
      <c r="I91" s="17" t="n">
        <v>135.7760187457827</v>
      </c>
    </row>
    <row r="92">
      <c r="A92" s="63" t="n">
        <v>46156.56597222222</v>
      </c>
      <c r="B92" s="18" t="n">
        <v>837.7951038078301</v>
      </c>
      <c r="C92" s="18" t="n">
        <v>77.801475725153</v>
      </c>
      <c r="D92" s="17" t="n">
        <v>92.94945247442848</v>
      </c>
      <c r="E92" s="17" t="n">
        <v>101.4347950278756</v>
      </c>
      <c r="F92" s="17" t="n">
        <v>109.0302407657356</v>
      </c>
      <c r="G92" s="17" t="n">
        <v>116.3780482245755</v>
      </c>
      <c r="H92" s="17" t="n">
        <v>124.4770359839589</v>
      </c>
      <c r="I92" s="17" t="n">
        <v>133.71673215707</v>
      </c>
    </row>
    <row r="93">
      <c r="A93" s="63" t="n">
        <v>46156.56944444445</v>
      </c>
      <c r="B93" s="18" t="n">
        <v>821.3938048432699</v>
      </c>
      <c r="C93" s="18" t="n">
        <v>77.03616189811525</v>
      </c>
      <c r="D93" s="17" t="n">
        <v>91.24432324318417</v>
      </c>
      <c r="E93" s="17" t="n">
        <v>99.23007588110275</v>
      </c>
      <c r="F93" s="17" t="n">
        <v>106.5041217876766</v>
      </c>
      <c r="G93" s="17" t="n">
        <v>113.8994060585868</v>
      </c>
      <c r="H93" s="17" t="n">
        <v>122.2601481185766</v>
      </c>
      <c r="I93" s="17" t="n">
        <v>131.5814969458922</v>
      </c>
    </row>
    <row r="94">
      <c r="A94" s="63" t="n">
        <v>46156.57291666666</v>
      </c>
      <c r="B94" s="18" t="n">
        <v>804.3807145043604</v>
      </c>
      <c r="C94" s="18" t="n">
        <v>76.23418303027852</v>
      </c>
      <c r="D94" s="17" t="n">
        <v>89.34847918344691</v>
      </c>
      <c r="E94" s="17" t="n">
        <v>96.8725038750452</v>
      </c>
      <c r="F94" s="17" t="n">
        <v>103.9513329362309</v>
      </c>
      <c r="G94" s="17" t="n">
        <v>111.489308805314</v>
      </c>
      <c r="H94" s="17" t="n">
        <v>120.0690221182217</v>
      </c>
      <c r="I94" s="17" t="n">
        <v>129.3076224675382</v>
      </c>
    </row>
    <row r="95">
      <c r="A95" s="63" t="n">
        <v>46156.57638888889</v>
      </c>
      <c r="B95" s="18" t="n">
        <v>786.7882181755233</v>
      </c>
      <c r="C95" s="18" t="n">
        <v>75.39592082014886</v>
      </c>
      <c r="D95" s="17" t="n">
        <v>87.27380710061109</v>
      </c>
      <c r="E95" s="17" t="n">
        <v>94.41224393648622</v>
      </c>
      <c r="F95" s="17" t="n">
        <v>101.4204227373256</v>
      </c>
      <c r="G95" s="17" t="n">
        <v>109.1498964941629</v>
      </c>
      <c r="H95" s="17" t="n">
        <v>117.8545844049889</v>
      </c>
      <c r="I95" s="17" t="n">
        <v>126.8408625595703</v>
      </c>
    </row>
    <row r="96">
      <c r="A96" s="63" t="n">
        <v>46156.57986111111</v>
      </c>
      <c r="B96" s="18" t="n">
        <v>768.6498041734121</v>
      </c>
      <c r="C96" s="18" t="n">
        <v>74.52177423513817</v>
      </c>
      <c r="D96" s="17" t="n">
        <v>85.04791264329745</v>
      </c>
      <c r="E96" s="17" t="n">
        <v>91.90229737472629</v>
      </c>
      <c r="F96" s="17" t="n">
        <v>98.94481515153564</v>
      </c>
      <c r="G96" s="17" t="n">
        <v>106.8625411250705</v>
      </c>
      <c r="H96" s="17" t="n">
        <v>115.5613198967043</v>
      </c>
      <c r="I96" s="17" t="n">
        <v>124.1434434281344</v>
      </c>
    </row>
    <row r="97">
      <c r="A97" s="63" t="n">
        <v>46156.58333333334</v>
      </c>
      <c r="B97" s="18" t="n">
        <v>750.0000000000001</v>
      </c>
      <c r="C97" s="18" t="n">
        <v>73.6121593216773</v>
      </c>
      <c r="D97" s="17" t="n">
        <v>82.71011292459633</v>
      </c>
      <c r="E97" s="17" t="n">
        <v>89.39149394815102</v>
      </c>
      <c r="F97" s="17" t="n">
        <v>96.53933407575484</v>
      </c>
      <c r="G97" s="17" t="n">
        <v>104.5919698507663</v>
      </c>
      <c r="H97" s="17" t="n">
        <v>113.1360471879042</v>
      </c>
      <c r="I97" s="17" t="n">
        <v>121.1994567300527</v>
      </c>
    </row>
    <row r="98">
      <c r="A98" s="63" t="n">
        <v>46156.58680555555</v>
      </c>
      <c r="B98" s="18" t="n">
        <v>730.8743066175168</v>
      </c>
      <c r="C98" s="18" t="n">
        <v>72.66750900720045</v>
      </c>
      <c r="D98" s="17" t="n">
        <v>80.30593402578327</v>
      </c>
      <c r="E98" s="17" t="n">
        <v>86.91837993413668</v>
      </c>
      <c r="F98" s="17" t="n">
        <v>94.19954347629829</v>
      </c>
      <c r="G98" s="17" t="n">
        <v>102.2926191964442</v>
      </c>
      <c r="H98" s="17" t="n">
        <v>110.5360277267773</v>
      </c>
      <c r="I98" s="17" t="n">
        <v>118.0169349407149</v>
      </c>
    </row>
    <row r="99">
      <c r="A99" s="63" t="n">
        <v>46156.59027777778</v>
      </c>
      <c r="B99" s="18" t="n">
        <v>711.3091308703499</v>
      </c>
      <c r="C99" s="18" t="n">
        <v>71.68827289409529</v>
      </c>
      <c r="D99" s="17" t="n">
        <v>77.88096925796447</v>
      </c>
      <c r="E99" s="17" t="n">
        <v>84.50685135336217</v>
      </c>
      <c r="F99" s="17" t="n">
        <v>91.90388574215282</v>
      </c>
      <c r="G99" s="17" t="n">
        <v>99.91620939470353</v>
      </c>
      <c r="H99" s="17" t="n">
        <v>107.7352586590594</v>
      </c>
      <c r="I99" s="17" t="n">
        <v>114.626438444871</v>
      </c>
    </row>
    <row r="100">
      <c r="A100" s="63" t="n">
        <v>46156.59375</v>
      </c>
      <c r="B100" s="18" t="n">
        <v>691.3417161825447</v>
      </c>
      <c r="C100" s="18" t="n">
        <v>70.67491704571634</v>
      </c>
      <c r="D100" s="17" t="n">
        <v>75.47501478443057</v>
      </c>
      <c r="E100" s="17" t="n">
        <v>82.16409201085185</v>
      </c>
      <c r="F100" s="17" t="n">
        <v>89.61819018741774</v>
      </c>
      <c r="G100" s="17" t="n">
        <v>97.41938775476086</v>
      </c>
      <c r="H100" s="17" t="n">
        <v>104.7281105738208</v>
      </c>
      <c r="I100" s="17" t="n">
        <v>111.0765030921087</v>
      </c>
    </row>
    <row r="101">
      <c r="A101" s="63" t="n">
        <v>46156.59722222222</v>
      </c>
      <c r="B101" s="18" t="n">
        <v>671.0100716628342</v>
      </c>
      <c r="C101" s="18" t="n">
        <v>69.62792376456429</v>
      </c>
      <c r="D101" s="17" t="n">
        <v>73.11732112309163</v>
      </c>
      <c r="E101" s="17" t="n">
        <v>79.88101406718856</v>
      </c>
      <c r="F101" s="17" t="n">
        <v>87.30179219548889</v>
      </c>
      <c r="G101" s="17" t="n">
        <v>94.77032655711895</v>
      </c>
      <c r="H101" s="17" t="n">
        <v>101.5298961562024</v>
      </c>
      <c r="I101" s="17" t="n">
        <v>107.4267447716079</v>
      </c>
    </row>
    <row r="102">
      <c r="A102" s="63" t="n">
        <v>46156.60069444445</v>
      </c>
      <c r="B102" s="18" t="n">
        <v>650.3528997521369</v>
      </c>
      <c r="C102" s="18" t="n">
        <v>68.54779136273604</v>
      </c>
      <c r="D102" s="17" t="n">
        <v>70.82359897020204</v>
      </c>
      <c r="E102" s="17" t="n">
        <v>77.63502166264985</v>
      </c>
      <c r="F102" s="17" t="n">
        <v>84.91429839375009</v>
      </c>
      <c r="G102" s="17" t="n">
        <v>91.95336233603659</v>
      </c>
      <c r="H102" s="17" t="n">
        <v>98.17442555642565</v>
      </c>
      <c r="I102" s="17" t="n">
        <v>103.7397289402538</v>
      </c>
    </row>
    <row r="103">
      <c r="A103" s="63" t="n">
        <v>46156.60416666666</v>
      </c>
      <c r="B103" s="18" t="n">
        <v>629.4095225512604</v>
      </c>
      <c r="C103" s="18" t="n">
        <v>67.43503392475499</v>
      </c>
      <c r="D103" s="17" t="n">
        <v>68.5951305581099</v>
      </c>
      <c r="E103" s="17" t="n">
        <v>75.39458323677646</v>
      </c>
      <c r="F103" s="17" t="n">
        <v>82.42198067047232</v>
      </c>
      <c r="G103" s="17" t="n">
        <v>88.97109292071889</v>
      </c>
      <c r="H103" s="17" t="n">
        <v>94.70904645258459</v>
      </c>
      <c r="I103" s="17" t="n">
        <v>100.072846120276</v>
      </c>
    </row>
    <row r="104">
      <c r="A104" s="63" t="n">
        <v>46156.60763888889</v>
      </c>
      <c r="B104" s="18" t="n">
        <v>608.2198069690513</v>
      </c>
      <c r="C104" s="18" t="n">
        <v>66.29018106289494</v>
      </c>
      <c r="D104" s="17" t="n">
        <v>66.4200102814283</v>
      </c>
      <c r="E104" s="17" t="n">
        <v>73.12485461471233</v>
      </c>
      <c r="F104" s="17" t="n">
        <v>79.80288372796697</v>
      </c>
      <c r="G104" s="17" t="n">
        <v>85.84375133617556</v>
      </c>
      <c r="H104" s="17" t="n">
        <v>91.18801550558186</v>
      </c>
      <c r="I104" s="17" t="n">
        <v>96.47137607138393</v>
      </c>
    </row>
    <row r="105">
      <c r="A105" s="63" t="n">
        <v>46156.61111111111</v>
      </c>
      <c r="B105" s="18" t="n">
        <v>586.8240888334657</v>
      </c>
      <c r="C105" s="18" t="n">
        <v>65.11377766511316</v>
      </c>
      <c r="D105" s="17" t="n">
        <v>64.2762218918601</v>
      </c>
      <c r="E105" s="17" t="n">
        <v>70.79347583930722</v>
      </c>
      <c r="F105" s="17" t="n">
        <v>77.04996541790375</v>
      </c>
      <c r="G105" s="17" t="n">
        <v>82.60608756063939</v>
      </c>
      <c r="H105" s="17" t="n">
        <v>87.6652541573882</v>
      </c>
      <c r="I105" s="17" t="n">
        <v>92.9636903407356</v>
      </c>
    </row>
    <row r="106">
      <c r="A106" s="63" t="n">
        <v>46156.61458333334</v>
      </c>
      <c r="B106" s="18" t="n">
        <v>565.2630961100258</v>
      </c>
      <c r="C106" s="18" t="n">
        <v>63.90638363571308</v>
      </c>
      <c r="D106" s="17" t="n">
        <v>62.13600176181613</v>
      </c>
      <c r="E106" s="17" t="n">
        <v>68.37568288787885</v>
      </c>
      <c r="F106" s="17" t="n">
        <v>74.17191503676324</v>
      </c>
      <c r="G106" s="17" t="n">
        <v>79.30234724641277</v>
      </c>
      <c r="H106" s="17" t="n">
        <v>84.18758026501024</v>
      </c>
      <c r="I106" s="17" t="n">
        <v>89.55917805015063</v>
      </c>
    </row>
    <row r="107">
      <c r="A107" s="63" t="n">
        <v>46156.61805555555</v>
      </c>
      <c r="B107" s="18" t="n">
        <v>543.5778713738292</v>
      </c>
      <c r="C107" s="18" t="n">
        <v>62.66857362886055</v>
      </c>
      <c r="D107" s="17" t="n">
        <v>59.97077519239384</v>
      </c>
      <c r="E107" s="17" t="n">
        <v>65.85802197827897</v>
      </c>
      <c r="F107" s="17" t="n">
        <v>71.19165841201558</v>
      </c>
      <c r="G107" s="17" t="n">
        <v>75.98018871061139</v>
      </c>
      <c r="H107" s="17" t="n">
        <v>80.78937945794804</v>
      </c>
      <c r="I107" s="17" t="n">
        <v>86.24904446931576</v>
      </c>
    </row>
    <row r="108">
      <c r="A108" s="63" t="n">
        <v>46156.62152777778</v>
      </c>
      <c r="B108" s="18" t="n">
        <v>521.809693682668</v>
      </c>
      <c r="C108" s="18" t="n">
        <v>61.40093677507923</v>
      </c>
      <c r="D108" s="17" t="n">
        <v>57.75590591031192</v>
      </c>
      <c r="E108" s="17" t="n">
        <v>63.24020088116591</v>
      </c>
      <c r="F108" s="17" t="n">
        <v>68.14290277041566</v>
      </c>
      <c r="G108" s="17" t="n">
        <v>72.68449218105863</v>
      </c>
      <c r="H108" s="17" t="n">
        <v>77.48941345694608</v>
      </c>
      <c r="I108" s="17" t="n">
        <v>83.00969579543988</v>
      </c>
    </row>
    <row r="109">
      <c r="A109" s="63" t="n">
        <v>46156.625</v>
      </c>
      <c r="B109" s="18" t="n">
        <v>500.0000000000001</v>
      </c>
      <c r="C109" s="18" t="n">
        <v>60.10407640085654</v>
      </c>
      <c r="D109" s="17" t="n">
        <v>55.4745694195374</v>
      </c>
      <c r="E109" s="17" t="n">
        <v>60.5349160174985</v>
      </c>
      <c r="F109" s="17" t="n">
        <v>65.06534733980634</v>
      </c>
      <c r="G109" s="17" t="n">
        <v>69.45197784481319</v>
      </c>
      <c r="H109" s="17" t="n">
        <v>74.29010429305555</v>
      </c>
      <c r="I109" s="17" t="n">
        <v>79.80805335473821</v>
      </c>
    </row>
    <row r="110">
      <c r="A110" s="63" t="n">
        <v>46156.62847222222</v>
      </c>
      <c r="B110" s="18" t="n">
        <v>478.190306317332</v>
      </c>
      <c r="C110" s="18" t="n">
        <v>58.7786097414929</v>
      </c>
      <c r="D110" s="17" t="n">
        <v>53.12023215709114</v>
      </c>
      <c r="E110" s="17" t="n">
        <v>57.76580662146858</v>
      </c>
      <c r="F110" s="17" t="n">
        <v>61.99934904076487</v>
      </c>
      <c r="G110" s="17" t="n">
        <v>66.30737482109755</v>
      </c>
      <c r="H110" s="17" t="n">
        <v>71.17924287350966</v>
      </c>
      <c r="I110" s="17" t="n">
        <v>76.60788968570616</v>
      </c>
    </row>
    <row r="111">
      <c r="A111" s="63" t="n">
        <v>46156.63194444445</v>
      </c>
      <c r="B111" s="18" t="n">
        <v>456.4221286261711</v>
      </c>
      <c r="C111" s="18" t="n">
        <v>57.42516764733113</v>
      </c>
      <c r="D111" s="17" t="n">
        <v>50.69745898299802</v>
      </c>
      <c r="E111" s="17" t="n">
        <v>54.96395941647881</v>
      </c>
      <c r="F111" s="17" t="n">
        <v>58.98086691622548</v>
      </c>
      <c r="G111" s="17" t="n">
        <v>63.2616055581769</v>
      </c>
      <c r="H111" s="17" t="n">
        <v>68.13370934512831</v>
      </c>
      <c r="I111" s="17" t="n">
        <v>73.37618014680693</v>
      </c>
    </row>
    <row r="112">
      <c r="A112" s="63" t="n">
        <v>46156.63541666666</v>
      </c>
      <c r="B112" s="18" t="n">
        <v>434.7369038899743</v>
      </c>
      <c r="C112" s="18" t="n">
        <v>56.04439428350586</v>
      </c>
      <c r="D112" s="17" t="n">
        <v>48.22104066111892</v>
      </c>
      <c r="E112" s="17" t="n">
        <v>52.16357921862521</v>
      </c>
      <c r="F112" s="17" t="n">
        <v>56.03741561528987</v>
      </c>
      <c r="G112" s="17" t="n">
        <v>60.31211757947166</v>
      </c>
      <c r="H112" s="17" t="n">
        <v>65.12451534530493</v>
      </c>
      <c r="I112" s="17" t="n">
        <v>70.08852407775451</v>
      </c>
    </row>
    <row r="113">
      <c r="A113" s="63" t="n">
        <v>46156.63888888889</v>
      </c>
      <c r="B113" s="18" t="n">
        <v>413.1759111665345</v>
      </c>
      <c r="C113" s="18" t="n">
        <v>54.63694682335583</v>
      </c>
      <c r="D113" s="17" t="n">
        <v>45.71368746288432</v>
      </c>
      <c r="E113" s="17" t="n">
        <v>49.39752728210647</v>
      </c>
      <c r="F113" s="17" t="n">
        <v>53.18555864846922</v>
      </c>
      <c r="G113" s="17" t="n">
        <v>57.4451614253138</v>
      </c>
      <c r="H113" s="17" t="n">
        <v>62.1223229015261</v>
      </c>
      <c r="I113" s="17" t="n">
        <v>66.73289116584283</v>
      </c>
    </row>
    <row r="114">
      <c r="A114" s="63" t="n">
        <v>46156.64236111111</v>
      </c>
      <c r="B114" s="18" t="n">
        <v>391.7801930309487</v>
      </c>
      <c r="C114" s="18" t="n">
        <v>53.20349513564503</v>
      </c>
      <c r="D114" s="17" t="n">
        <v>43.20273614509342</v>
      </c>
      <c r="E114" s="17" t="n">
        <v>46.69340250748139</v>
      </c>
      <c r="F114" s="17" t="n">
        <v>50.43020319642555</v>
      </c>
      <c r="G114" s="17" t="n">
        <v>54.63953181173249</v>
      </c>
      <c r="H114" s="17" t="n">
        <v>59.10257875577155</v>
      </c>
      <c r="I114" s="17" t="n">
        <v>63.31125232990032</v>
      </c>
    </row>
    <row r="115">
      <c r="A115" s="63" t="n">
        <v>46156.64583333334</v>
      </c>
      <c r="B115" s="18" t="n">
        <v>370.5904774487399</v>
      </c>
      <c r="C115" s="18" t="n">
        <v>51.74472146574127</v>
      </c>
      <c r="D115" s="17" t="n">
        <v>40.71643702944723</v>
      </c>
      <c r="E115" s="17" t="n">
        <v>44.07071150746935</v>
      </c>
      <c r="F115" s="17" t="n">
        <v>47.76566589244406</v>
      </c>
      <c r="G115" s="17" t="n">
        <v>51.87109944517603</v>
      </c>
      <c r="H115" s="17" t="n">
        <v>56.04952073382098</v>
      </c>
      <c r="I115" s="17" t="n">
        <v>59.83900693197239</v>
      </c>
    </row>
    <row r="116">
      <c r="A116" s="63" t="n">
        <v>46156.64930555555</v>
      </c>
      <c r="B116" s="18" t="n">
        <v>349.6471002478632</v>
      </c>
      <c r="C116" s="18" t="n">
        <v>50.26132011090449</v>
      </c>
      <c r="D116" s="17" t="n">
        <v>38.28041187226913</v>
      </c>
      <c r="E116" s="17" t="n">
        <v>41.53946823250305</v>
      </c>
      <c r="F116" s="17" t="n">
        <v>45.17821035480241</v>
      </c>
      <c r="G116" s="17" t="n">
        <v>49.11738781123616</v>
      </c>
      <c r="H116" s="17" t="n">
        <v>52.9585380946745</v>
      </c>
      <c r="I116" s="17" t="n">
        <v>56.34246140178244</v>
      </c>
    </row>
    <row r="117">
      <c r="A117" s="63" t="n">
        <v>46156.65277777778</v>
      </c>
      <c r="B117" s="18" t="n">
        <v>328.989928337166</v>
      </c>
      <c r="C117" s="18" t="n">
        <v>48.75399708983894</v>
      </c>
      <c r="D117" s="17" t="n">
        <v>35.91480369626107</v>
      </c>
      <c r="E117" s="17" t="n">
        <v>39.10031929717577</v>
      </c>
      <c r="F117" s="17" t="n">
        <v>42.64955310441673</v>
      </c>
      <c r="G117" s="17" t="n">
        <v>46.36149701217922</v>
      </c>
      <c r="H117" s="17" t="n">
        <v>49.8366586344989</v>
      </c>
      <c r="I117" s="17" t="n">
        <v>52.85489501405586</v>
      </c>
    </row>
    <row r="118">
      <c r="A118" s="63" t="n">
        <v>46156.65625</v>
      </c>
      <c r="B118" s="18" t="n">
        <v>308.6582838174554</v>
      </c>
      <c r="C118" s="18" t="n">
        <v>47.22346980666622</v>
      </c>
      <c r="D118" s="17" t="n">
        <v>33.63249357311689</v>
      </c>
      <c r="E118" s="17" t="n">
        <v>36.74604838660767</v>
      </c>
      <c r="F118" s="17" t="n">
        <v>40.16072307404895</v>
      </c>
      <c r="G118" s="17" t="n">
        <v>43.59483027721281</v>
      </c>
      <c r="H118" s="17" t="n">
        <v>46.70124166909176</v>
      </c>
      <c r="I118" s="17" t="n">
        <v>49.41192618615504</v>
      </c>
    </row>
    <row r="119">
      <c r="A119" s="63" t="n">
        <v>46156.65972222222</v>
      </c>
      <c r="B119" s="18" t="n">
        <v>288.6908691296502</v>
      </c>
      <c r="C119" s="18" t="n">
        <v>45.67046670948002</v>
      </c>
      <c r="D119" s="17" t="n">
        <v>31.43856460107511</v>
      </c>
      <c r="E119" s="17" t="n">
        <v>34.4641105623637</v>
      </c>
      <c r="F119" s="17" t="n">
        <v>37.69565294086708</v>
      </c>
      <c r="G119" s="17" t="n">
        <v>40.81830697207968</v>
      </c>
      <c r="H119" s="17" t="n">
        <v>43.57722827702552</v>
      </c>
      <c r="I119" s="17" t="n">
        <v>46.04694567718082</v>
      </c>
    </row>
    <row r="120">
      <c r="A120" s="63" t="n">
        <v>46156.66319444445</v>
      </c>
      <c r="B120" s="18" t="n">
        <v>269.1256933824834</v>
      </c>
      <c r="C120" s="18" t="n">
        <v>44.09572694364435</v>
      </c>
      <c r="D120" s="17" t="n">
        <v>29.33098426367821</v>
      </c>
      <c r="E120" s="17" t="n">
        <v>32.2397145978915</v>
      </c>
      <c r="F120" s="17" t="n">
        <v>35.24397224842077</v>
      </c>
      <c r="G120" s="17" t="n">
        <v>38.0420074926628</v>
      </c>
      <c r="H120" s="17" t="n">
        <v>40.49349716763758</v>
      </c>
      <c r="I120" s="17" t="n">
        <v>42.7873111961708</v>
      </c>
    </row>
    <row r="121">
      <c r="A121" s="63" t="n">
        <v>46156.66666666666</v>
      </c>
      <c r="B121" s="64" t="n">
        <v>249.9999999999999</v>
      </c>
      <c r="C121" s="18" t="n">
        <v>42.49999999999999</v>
      </c>
      <c r="D121" s="17" t="n">
        <v>25.39112735164316</v>
      </c>
      <c r="E121" s="17" t="n">
        <v>27.954800468105</v>
      </c>
      <c r="F121" s="17" t="n">
        <v>25.32035887901423</v>
      </c>
      <c r="G121" s="17" t="n">
        <v>32.81360492018035</v>
      </c>
      <c r="H121" s="17" t="n">
        <v>34.85544183553367</v>
      </c>
      <c r="I121" s="17" t="n"/>
    </row>
    <row r="122">
      <c r="A122" s="63" t="n">
        <v>46156.67013888889</v>
      </c>
      <c r="B122" s="64" t="n">
        <v>231.3501958265884</v>
      </c>
      <c r="C122" s="18" t="n">
        <v>40.88404535814798</v>
      </c>
      <c r="D122" s="17" t="n">
        <v>23.56796978288507</v>
      </c>
      <c r="E122" s="17" t="n">
        <v>25.95750804258169</v>
      </c>
      <c r="F122" s="17" t="n">
        <v>23.44744997081205</v>
      </c>
      <c r="G122" s="17" t="n">
        <v>30.28532756406663</v>
      </c>
      <c r="H122" s="17" t="n">
        <v>32.13995623839621</v>
      </c>
      <c r="I122" s="17" t="n"/>
    </row>
    <row r="123">
      <c r="A123" s="63" t="n">
        <v>46156.67361111111</v>
      </c>
      <c r="B123" s="64" t="n">
        <v>213.2117818244769</v>
      </c>
      <c r="C123" s="18" t="n">
        <v>39.24863212497788</v>
      </c>
      <c r="D123" s="17" t="n">
        <v>21.79798608435572</v>
      </c>
      <c r="E123" s="17" t="n">
        <v>23.98626585644745</v>
      </c>
      <c r="F123" s="17" t="n">
        <v>21.59487400491974</v>
      </c>
      <c r="G123" s="17" t="n">
        <v>27.81638281742784</v>
      </c>
      <c r="H123" s="17" t="n">
        <v>29.53048769408456</v>
      </c>
      <c r="I123" s="17" t="n"/>
    </row>
    <row r="124">
      <c r="A124" s="63" t="n">
        <v>46156.67708333334</v>
      </c>
      <c r="B124" s="64" t="n">
        <v>195.61928549564</v>
      </c>
      <c r="C124" s="18" t="n">
        <v>37.59453866861514</v>
      </c>
      <c r="D124" s="17" t="n">
        <v>20.07246284115856</v>
      </c>
      <c r="E124" s="17" t="n">
        <v>22.04191131623779</v>
      </c>
      <c r="F124" s="17" t="n">
        <v>19.77517716788637</v>
      </c>
      <c r="G124" s="17" t="n">
        <v>25.42751761232692</v>
      </c>
      <c r="H124" s="17" t="n">
        <v>27.03804374556049</v>
      </c>
      <c r="I124" s="17" t="n"/>
    </row>
    <row r="125">
      <c r="A125" s="63" t="n">
        <v>46156.68055555555</v>
      </c>
      <c r="B125" s="64" t="n">
        <v>178.6061951567304</v>
      </c>
      <c r="C125" s="18" t="n">
        <v>35.92255224795946</v>
      </c>
      <c r="D125" s="17" t="n">
        <v>18.38597647258866</v>
      </c>
      <c r="E125" s="17" t="n">
        <v>20.13063793731693</v>
      </c>
      <c r="F125" s="17" t="n">
        <v>18.00278697335864</v>
      </c>
      <c r="G125" s="17" t="n">
        <v>23.13574346604598</v>
      </c>
      <c r="H125" s="17" t="n">
        <v>24.66655845011577</v>
      </c>
      <c r="I125" s="17" t="n"/>
    </row>
    <row r="126">
      <c r="A126" s="63" t="n">
        <v>46156.68402777778</v>
      </c>
      <c r="B126" s="64" t="n">
        <v>162.2048961921699</v>
      </c>
      <c r="C126" s="18" t="n">
        <v>34.23346863799267</v>
      </c>
      <c r="D126" s="17" t="n">
        <v>16.73730723823958</v>
      </c>
      <c r="E126" s="17" t="n">
        <v>18.2628886449983</v>
      </c>
      <c r="F126" s="17" t="n">
        <v>16.29203450704787</v>
      </c>
      <c r="G126" s="17" t="n">
        <v>20.9528470242448</v>
      </c>
      <c r="H126" s="17" t="n">
        <v>22.41390915201462</v>
      </c>
      <c r="I126" s="17" t="n"/>
    </row>
    <row r="127">
      <c r="A127" s="63" t="n">
        <v>46156.6875</v>
      </c>
      <c r="B127" s="64" t="n">
        <v>146.4466094067263</v>
      </c>
      <c r="C127" s="18" t="n">
        <v>32.52809175103264</v>
      </c>
      <c r="D127" s="17" t="n">
        <v>15.12955079849193</v>
      </c>
      <c r="E127" s="17" t="n">
        <v>16.45168488596974</v>
      </c>
      <c r="F127" s="17" t="n">
        <v>14.65541580026142</v>
      </c>
      <c r="G127" s="17" t="n">
        <v>18.88489435460111</v>
      </c>
      <c r="H127" s="17" t="n">
        <v>20.27375164861605</v>
      </c>
      <c r="I127" s="17" t="n"/>
    </row>
    <row r="128">
      <c r="A128" s="63" t="n">
        <v>46156.69097222222</v>
      </c>
      <c r="B128" s="64" t="n">
        <v>131.3613315949384</v>
      </c>
      <c r="C128" s="18" t="n">
        <v>30.80723325411468</v>
      </c>
      <c r="D128" s="17" t="n">
        <v>13.56949799245377</v>
      </c>
      <c r="E128" s="17" t="n">
        <v>14.71072845446419</v>
      </c>
      <c r="F128" s="17" t="n">
        <v>13.10235037983788</v>
      </c>
      <c r="G128" s="17" t="n">
        <v>16.93269775402637</v>
      </c>
      <c r="H128" s="17" t="n">
        <v>18.23777886729449</v>
      </c>
      <c r="I128" s="17" t="n"/>
    </row>
    <row r="129">
      <c r="A129" s="63" t="n">
        <v>46156.69444444445</v>
      </c>
      <c r="B129" s="64" t="n">
        <v>116.9777784405108</v>
      </c>
      <c r="C129" s="18" t="n">
        <v>29.07171218268182</v>
      </c>
      <c r="D129" s="17" t="n">
        <v>12.06646944954803</v>
      </c>
      <c r="E129" s="17" t="n">
        <v>13.05261702392299</v>
      </c>
      <c r="F129" s="17" t="n">
        <v>11.63858527289323</v>
      </c>
      <c r="G129" s="17" t="n">
        <v>15.09305515894238</v>
      </c>
      <c r="H129" s="17" t="n">
        <v>13.03838164636141</v>
      </c>
      <c r="I129" s="17" t="n"/>
    </row>
    <row r="130">
      <c r="A130" s="63" t="n">
        <v>46156.69791666666</v>
      </c>
      <c r="B130" s="64" t="n">
        <v>103.3233298543825</v>
      </c>
      <c r="C130" s="18" t="n">
        <v>27.32235455076875</v>
      </c>
      <c r="D130" s="17" t="n">
        <v>10.63086514129116</v>
      </c>
      <c r="E130" s="17" t="n">
        <v>11.48745970701304</v>
      </c>
      <c r="F130" s="17" t="n">
        <v>10.26626753932186</v>
      </c>
      <c r="G130" s="17" t="n">
        <v>13.36046047845205</v>
      </c>
      <c r="H130" s="17" t="n">
        <v>11.55879852570346</v>
      </c>
      <c r="I130" s="17" t="n"/>
    </row>
    <row r="131">
      <c r="A131" s="63" t="n">
        <v>46156.70138888889</v>
      </c>
      <c r="B131" s="64" t="n">
        <v>90.42397785550448</v>
      </c>
      <c r="C131" s="18" t="n">
        <v>25.55999295786327</v>
      </c>
      <c r="D131" s="17" t="n">
        <v>9.272710654961763</v>
      </c>
      <c r="E131" s="17" t="n">
        <v>10.0220797359932</v>
      </c>
      <c r="F131" s="17" t="n">
        <v>8.984590726169388</v>
      </c>
      <c r="G131" s="17" t="n">
        <v>11.72893394365961</v>
      </c>
      <c r="H131" s="17" t="n">
        <v>10.1494988634805</v>
      </c>
      <c r="I131" s="17" t="n"/>
    </row>
    <row r="132">
      <c r="A132" s="63" t="n">
        <v>46156.70486111111</v>
      </c>
      <c r="B132" s="64" t="n">
        <v>78.30427709355705</v>
      </c>
      <c r="C132" s="18" t="n">
        <v>23.78546619263431</v>
      </c>
      <c r="D132" s="17" t="n">
        <v>8.000452210295007</v>
      </c>
      <c r="E132" s="17" t="n">
        <v>8.659868565180208</v>
      </c>
      <c r="F132" s="17" t="n">
        <v>7.790830521596245</v>
      </c>
      <c r="G132" s="17" t="n">
        <v>10.19363847052831</v>
      </c>
      <c r="H132" s="17" t="n">
        <v>8.811551631852426</v>
      </c>
      <c r="I132" s="17" t="n"/>
    </row>
    <row r="133">
      <c r="A133" s="63" t="n">
        <v>46156.70833333334</v>
      </c>
      <c r="B133" s="64" t="n">
        <v>66.98729810778082</v>
      </c>
      <c r="C133" s="18" t="n">
        <v>21.99961883371429</v>
      </c>
      <c r="D133" s="17" t="n">
        <v>6.82018069706494</v>
      </c>
      <c r="E133" s="17" t="n">
        <v>7.401233047489891</v>
      </c>
      <c r="F133" s="17" t="n">
        <v>6.681536087439143</v>
      </c>
      <c r="G133" s="17" t="n">
        <v>8.752022704667549</v>
      </c>
      <c r="H133" s="17" t="n">
        <v>7.548798643290633</v>
      </c>
      <c r="I133" s="17" t="n"/>
    </row>
    <row r="134">
      <c r="A134" s="63" t="n">
        <v>46156.71180555555</v>
      </c>
      <c r="B134" s="64" t="n">
        <v>56.49458341088928</v>
      </c>
      <c r="C134" s="18" t="n">
        <v>20.20330084772474</v>
      </c>
      <c r="D134" s="17" t="n">
        <v>5.735367583262351</v>
      </c>
      <c r="E134" s="17" t="n">
        <v>6.244476846529686</v>
      </c>
      <c r="F134" s="17" t="n">
        <v>5.653641476104752</v>
      </c>
      <c r="G134" s="17" t="n">
        <v>7.404345747836339</v>
      </c>
      <c r="H134" s="17" t="n">
        <v>6.367100011190254</v>
      </c>
      <c r="I134" s="17" t="n"/>
    </row>
    <row r="135">
      <c r="A135" s="63" t="n">
        <v>46156.71527777778</v>
      </c>
      <c r="B135" s="64" t="n">
        <v>46.84610648167477</v>
      </c>
      <c r="C135" s="18" t="n">
        <v>18.3973671847387</v>
      </c>
      <c r="D135" s="17" t="n">
        <v>4.747092239360875</v>
      </c>
      <c r="E135" s="17" t="n">
        <v>5.186895400750099</v>
      </c>
      <c r="F135" s="17" t="n">
        <v>4.70530277780815</v>
      </c>
      <c r="G135" s="17" t="n">
        <v>6.153568540022688</v>
      </c>
      <c r="H135" s="17" t="n">
        <v>5.273298311216064</v>
      </c>
      <c r="I135" s="17" t="n"/>
    </row>
    <row r="136">
      <c r="A136" s="63" t="n">
        <v>46156.71875</v>
      </c>
      <c r="B136" s="64" t="n">
        <v>38.06023374435658</v>
      </c>
      <c r="C136" s="18" t="n">
        <v>16.5826773713709</v>
      </c>
      <c r="D136" s="17" t="n">
        <v>3.854650568113292</v>
      </c>
      <c r="E136" s="17" t="n">
        <v>4.225848848595656</v>
      </c>
      <c r="F136" s="17" t="n">
        <v>3.836340103248028</v>
      </c>
      <c r="G136" s="17" t="n">
        <v>5.004717258105751</v>
      </c>
      <c r="H136" s="17" t="n">
        <v>4.274133492349962</v>
      </c>
      <c r="I136" s="17" t="n"/>
    </row>
    <row r="137">
      <c r="A137" s="63" t="n">
        <v>46156.72222222222</v>
      </c>
      <c r="B137" s="64" t="n">
        <v>30.15368960704593</v>
      </c>
      <c r="C137" s="18" t="n">
        <v>14.76009510168911</v>
      </c>
      <c r="D137" s="17" t="n">
        <v>3.056374505131866</v>
      </c>
      <c r="E137" s="17" t="n">
        <v>3.359608405661675</v>
      </c>
      <c r="F137" s="17" t="n">
        <v>3.048252879523329</v>
      </c>
      <c r="G137" s="17" t="n">
        <v>3.963913136888388</v>
      </c>
      <c r="H137" s="17" t="n">
        <v>3.375323667151108</v>
      </c>
      <c r="I137" s="17" t="n"/>
    </row>
    <row r="138">
      <c r="A138" s="63" t="n">
        <v>46156.72569444445</v>
      </c>
      <c r="B138" s="64" t="n">
        <v>23.14152462588652</v>
      </c>
      <c r="C138" s="18" t="n">
        <v>12.93048782614291</v>
      </c>
      <c r="D138" s="17" t="n">
        <v>2.350470123115551</v>
      </c>
      <c r="E138" s="17" t="n">
        <v>2.587839262177885</v>
      </c>
      <c r="F138" s="17" t="n">
        <v>2.343864013218798</v>
      </c>
      <c r="G138" s="17" t="n">
        <v>3.037306365253569</v>
      </c>
      <c r="H138" s="17" t="n">
        <v>2.580970125974443</v>
      </c>
      <c r="I138" s="17" t="n"/>
    </row>
    <row r="139">
      <c r="A139" s="63" t="n">
        <v>46156.72916666666</v>
      </c>
      <c r="B139" s="64" t="n">
        <v>17.03708685546596</v>
      </c>
      <c r="C139" s="18" t="n">
        <v>11.09472633870442</v>
      </c>
      <c r="D139" s="17" t="n">
        <v>1.735700011374506</v>
      </c>
      <c r="E139" s="17" t="n">
        <v>1.911671336218589</v>
      </c>
      <c r="F139" s="17" t="n">
        <v>1.726716641863036</v>
      </c>
      <c r="G139" s="17" t="n">
        <v>2.230144307335366</v>
      </c>
      <c r="H139" s="17" t="n">
        <v>1.893362250895319</v>
      </c>
      <c r="I139" s="17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K139"/>
  <sheetViews>
    <sheetView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23" t="inlineStr">
        <is>
          <t>Helpers_LI -- efisiensi relatif &amp; deviasi terhadap median tetangga se-WB</t>
        </is>
      </c>
    </row>
    <row r="2">
      <c r="A2" s="24" t="inlineStr">
        <is>
          <t>pr=P/POA; midpr=pr bila POA di pita menengah; e=pr/median(midpr) (baris 5) bila n_mid (baris 4) &gt;= min; peer=MEDIAN(e) bila COUNT &gt;= min_peers; dev=e/peer; lowdev=dev bila pita rendah &amp; elevasi &gt;= batas.</t>
        </is>
      </c>
    </row>
    <row r="3">
      <c r="A3" s="24" t="inlineStr">
        <is>
          <t>Sel "" = tidak ada nilai; MEDIAN/COUNT mengabaikannya (sama dengan NaN di Python).</t>
        </is>
      </c>
    </row>
    <row r="4">
      <c r="K4" s="24" t="inlineStr">
        <is>
          <t>n_mid</t>
        </is>
      </c>
      <c r="L4" s="5">
        <f>COUNT(L7:L139)</f>
        <v/>
      </c>
      <c r="M4" s="5">
        <f>COUNT(M7:M139)</f>
        <v/>
      </c>
      <c r="N4" s="5">
        <f>COUNT(N7:N139)</f>
        <v/>
      </c>
      <c r="O4" s="5">
        <f>COUNT(O7:O139)</f>
        <v/>
      </c>
      <c r="P4" s="5">
        <f>COUNT(P7:P139)</f>
        <v/>
      </c>
      <c r="Q4" s="5">
        <f>COUNT(Q7:Q139)</f>
        <v/>
      </c>
    </row>
    <row r="5">
      <c r="K5" s="24" t="inlineStr">
        <is>
          <t>median mid</t>
        </is>
      </c>
      <c r="L5" s="37">
        <f>MEDIAN(L7:L139)</f>
        <v/>
      </c>
      <c r="M5" s="37">
        <f>MEDIAN(M7:M139)</f>
        <v/>
      </c>
      <c r="N5" s="37">
        <f>MEDIAN(N7:N139)</f>
        <v/>
      </c>
      <c r="O5" s="37">
        <f>MEDIAN(O7:O139)</f>
        <v/>
      </c>
      <c r="P5" s="37">
        <f>MEDIAN(P7:P139)</f>
        <v/>
      </c>
      <c r="Q5" s="37">
        <f>MEDIAN(Q7:Q139)</f>
        <v/>
      </c>
    </row>
    <row r="6">
      <c r="A6" s="10" t="inlineStr">
        <is>
          <t>timestamp</t>
        </is>
      </c>
      <c r="B6" s="10" t="inlineStr">
        <is>
          <t>POA</t>
        </is>
      </c>
      <c r="C6" s="10" t="inlineStr">
        <is>
          <t>elev</t>
        </is>
      </c>
      <c r="D6" s="10" t="inlineStr">
        <is>
          <t>in_mid</t>
        </is>
      </c>
      <c r="E6" s="10" t="inlineStr">
        <is>
          <t>in_low_hs</t>
        </is>
      </c>
      <c r="F6" s="10" t="inlineStr">
        <is>
          <t>pr_1</t>
        </is>
      </c>
      <c r="G6" s="10" t="inlineStr">
        <is>
          <t>pr_2</t>
        </is>
      </c>
      <c r="H6" s="10" t="inlineStr">
        <is>
          <t>pr_3</t>
        </is>
      </c>
      <c r="I6" s="10" t="inlineStr">
        <is>
          <t>pr_4</t>
        </is>
      </c>
      <c r="J6" s="10" t="inlineStr">
        <is>
          <t>pr_5</t>
        </is>
      </c>
      <c r="K6" s="10" t="inlineStr">
        <is>
          <t>pr_6</t>
        </is>
      </c>
      <c r="L6" s="10" t="inlineStr">
        <is>
          <t>midpr_1</t>
        </is>
      </c>
      <c r="M6" s="10" t="inlineStr">
        <is>
          <t>midpr_2</t>
        </is>
      </c>
      <c r="N6" s="10" t="inlineStr">
        <is>
          <t>midpr_3</t>
        </is>
      </c>
      <c r="O6" s="10" t="inlineStr">
        <is>
          <t>midpr_4</t>
        </is>
      </c>
      <c r="P6" s="10" t="inlineStr">
        <is>
          <t>midpr_5</t>
        </is>
      </c>
      <c r="Q6" s="10" t="inlineStr">
        <is>
          <t>midpr_6</t>
        </is>
      </c>
      <c r="R6" s="10" t="inlineStr">
        <is>
          <t>e_1</t>
        </is>
      </c>
      <c r="S6" s="10" t="inlineStr">
        <is>
          <t>e_2</t>
        </is>
      </c>
      <c r="T6" s="10" t="inlineStr">
        <is>
          <t>e_3</t>
        </is>
      </c>
      <c r="U6" s="10" t="inlineStr">
        <is>
          <t>e_4</t>
        </is>
      </c>
      <c r="V6" s="10" t="inlineStr">
        <is>
          <t>e_5</t>
        </is>
      </c>
      <c r="W6" s="10" t="inlineStr">
        <is>
          <t>e_6</t>
        </is>
      </c>
      <c r="X6" s="10" t="inlineStr">
        <is>
          <t>n_peers</t>
        </is>
      </c>
      <c r="Y6" s="10" t="inlineStr">
        <is>
          <t>peer_median</t>
        </is>
      </c>
      <c r="Z6" s="10" t="inlineStr">
        <is>
          <t>dev_1</t>
        </is>
      </c>
      <c r="AA6" s="10" t="inlineStr">
        <is>
          <t>dev_2</t>
        </is>
      </c>
      <c r="AB6" s="10" t="inlineStr">
        <is>
          <t>dev_3</t>
        </is>
      </c>
      <c r="AC6" s="10" t="inlineStr">
        <is>
          <t>dev_4</t>
        </is>
      </c>
      <c r="AD6" s="10" t="inlineStr">
        <is>
          <t>dev_5</t>
        </is>
      </c>
      <c r="AE6" s="10" t="inlineStr">
        <is>
          <t>dev_6</t>
        </is>
      </c>
      <c r="AF6" s="10" t="inlineStr">
        <is>
          <t>lowdev_1</t>
        </is>
      </c>
      <c r="AG6" s="10" t="inlineStr">
        <is>
          <t>lowdev_2</t>
        </is>
      </c>
      <c r="AH6" s="10" t="inlineStr">
        <is>
          <t>lowdev_3</t>
        </is>
      </c>
      <c r="AI6" s="10" t="inlineStr">
        <is>
          <t>lowdev_4</t>
        </is>
      </c>
      <c r="AJ6" s="10" t="inlineStr">
        <is>
          <t>lowdev_5</t>
        </is>
      </c>
      <c r="AK6" s="10" t="inlineStr">
        <is>
          <t>lowdev_6</t>
        </is>
      </c>
    </row>
    <row r="7">
      <c r="A7" s="65">
        <f>Raw_Data_LI!A7</f>
        <v/>
      </c>
      <c r="B7" s="66">
        <f>Raw_Data_LI!B7</f>
        <v/>
      </c>
      <c r="C7" s="66">
        <f>Raw_Data_LI!C7</f>
        <v/>
      </c>
      <c r="D7">
        <f>IF(AND(B7&gt;=cfg_li_poa_mid_min,B7&lt;=cfg_li_poa_mid_max),1,0)</f>
        <v/>
      </c>
      <c r="E7">
        <f>IF(AND(B7&gt;=cfg_li_poa_low_min,B7&lt;=cfg_li_poa_low_max,C7&gt;=cfg_li_low_elev_min),1,0)</f>
        <v/>
      </c>
      <c r="F7" s="67">
        <f>IF(Raw_Data_LI!D7="","",Raw_Data_LI!D7/B7)</f>
        <v/>
      </c>
      <c r="G7" s="67">
        <f>IF(Raw_Data_LI!E7="","",Raw_Data_LI!E7/B7)</f>
        <v/>
      </c>
      <c r="H7" s="67">
        <f>IF(Raw_Data_LI!F7="","",Raw_Data_LI!F7/B7)</f>
        <v/>
      </c>
      <c r="I7" s="67">
        <f>IF(Raw_Data_LI!G7="","",Raw_Data_LI!G7/B7)</f>
        <v/>
      </c>
      <c r="J7" s="67">
        <f>IF(Raw_Data_LI!H7="","",Raw_Data_LI!H7/B7)</f>
        <v/>
      </c>
      <c r="K7" s="67">
        <f>IF(Raw_Data_LI!I7="","",Raw_Data_LI!I7/B7)</f>
        <v/>
      </c>
      <c r="L7" s="67">
        <f>IF(AND(D7=1,ISNUMBER(F7),F7&gt;0),F7,"")</f>
        <v/>
      </c>
      <c r="M7" s="67">
        <f>IF(AND(D7=1,ISNUMBER(G7),G7&gt;0),G7,"")</f>
        <v/>
      </c>
      <c r="N7" s="67">
        <f>IF(AND(D7=1,ISNUMBER(H7),H7&gt;0),H7,"")</f>
        <v/>
      </c>
      <c r="O7" s="67">
        <f>IF(AND(D7=1,ISNUMBER(I7),I7&gt;0),I7,"")</f>
        <v/>
      </c>
      <c r="P7" s="67">
        <f>IF(AND(D7=1,ISNUMBER(J7),J7&gt;0),J7,"")</f>
        <v/>
      </c>
      <c r="Q7" s="67">
        <f>IF(AND(D7=1,ISNUMBER(K7),K7&gt;0),K7,"")</f>
        <v/>
      </c>
      <c r="R7" s="68">
        <f>IF(AND(ISNUMBER(F7),L$4&gt;=cfg_li_min_mid_samples),F7/L$5,"")</f>
        <v/>
      </c>
      <c r="S7" s="68">
        <f>IF(AND(ISNUMBER(G7),M$4&gt;=cfg_li_min_mid_samples),G7/M$5,"")</f>
        <v/>
      </c>
      <c r="T7" s="68">
        <f>IF(AND(ISNUMBER(H7),N$4&gt;=cfg_li_min_mid_samples),H7/N$5,"")</f>
        <v/>
      </c>
      <c r="U7" s="68">
        <f>IF(AND(ISNUMBER(I7),O$4&gt;=cfg_li_min_mid_samples),I7/O$5,"")</f>
        <v/>
      </c>
      <c r="V7" s="68">
        <f>IF(AND(ISNUMBER(J7),P$4&gt;=cfg_li_min_mid_samples),J7/P$5,"")</f>
        <v/>
      </c>
      <c r="W7" s="68">
        <f>IF(AND(ISNUMBER(K7),Q$4&gt;=cfg_li_min_mid_samples),K7/Q$5,"")</f>
        <v/>
      </c>
      <c r="X7">
        <f>COUNT(R7:W7)</f>
        <v/>
      </c>
      <c r="Y7" s="68">
        <f>IF(X7&gt;=cfg_li_min_peers,MEDIAN(R7:W7),"")</f>
        <v/>
      </c>
      <c r="Z7" s="68">
        <f>IF(AND(ISNUMBER(R7),ISNUMBER(Y7)),R7/Y7,"")</f>
        <v/>
      </c>
      <c r="AA7" s="68">
        <f>IF(AND(ISNUMBER(S7),ISNUMBER(Y7)),S7/Y7,"")</f>
        <v/>
      </c>
      <c r="AB7" s="68">
        <f>IF(AND(ISNUMBER(T7),ISNUMBER(Y7)),T7/Y7,"")</f>
        <v/>
      </c>
      <c r="AC7" s="68">
        <f>IF(AND(ISNUMBER(U7),ISNUMBER(Y7)),U7/Y7,"")</f>
        <v/>
      </c>
      <c r="AD7" s="68">
        <f>IF(AND(ISNUMBER(V7),ISNUMBER(Y7)),V7/Y7,"")</f>
        <v/>
      </c>
      <c r="AE7" s="68">
        <f>IF(AND(ISNUMBER(W7),ISNUMBER(Y7)),W7/Y7,"")</f>
        <v/>
      </c>
      <c r="AF7" s="68">
        <f>IF(AND(E7=1,ISNUMBER(Z7)),Z7,"")</f>
        <v/>
      </c>
      <c r="AG7" s="68">
        <f>IF(AND(E7=1,ISNUMBER(AA7)),AA7,"")</f>
        <v/>
      </c>
      <c r="AH7" s="68">
        <f>IF(AND(E7=1,ISNUMBER(AB7)),AB7,"")</f>
        <v/>
      </c>
      <c r="AI7" s="68">
        <f>IF(AND(E7=1,ISNUMBER(AC7)),AC7,"")</f>
        <v/>
      </c>
      <c r="AJ7" s="68">
        <f>IF(AND(E7=1,ISNUMBER(AD7)),AD7,"")</f>
        <v/>
      </c>
      <c r="AK7" s="68">
        <f>IF(AND(E7=1,ISNUMBER(AE7)),AE7,"")</f>
        <v/>
      </c>
    </row>
    <row r="8">
      <c r="A8" s="65">
        <f>Raw_Data_LI!A8</f>
        <v/>
      </c>
      <c r="B8" s="66">
        <f>Raw_Data_LI!B8</f>
        <v/>
      </c>
      <c r="C8" s="66">
        <f>Raw_Data_LI!C8</f>
        <v/>
      </c>
      <c r="D8">
        <f>IF(AND(B8&gt;=cfg_li_poa_mid_min,B8&lt;=cfg_li_poa_mid_max),1,0)</f>
        <v/>
      </c>
      <c r="E8">
        <f>IF(AND(B8&gt;=cfg_li_poa_low_min,B8&lt;=cfg_li_poa_low_max,C8&gt;=cfg_li_low_elev_min),1,0)</f>
        <v/>
      </c>
      <c r="F8" s="67">
        <f>IF(Raw_Data_LI!D8="","",Raw_Data_LI!D8/B8)</f>
        <v/>
      </c>
      <c r="G8" s="67">
        <f>IF(Raw_Data_LI!E8="","",Raw_Data_LI!E8/B8)</f>
        <v/>
      </c>
      <c r="H8" s="67">
        <f>IF(Raw_Data_LI!F8="","",Raw_Data_LI!F8/B8)</f>
        <v/>
      </c>
      <c r="I8" s="67">
        <f>IF(Raw_Data_LI!G8="","",Raw_Data_LI!G8/B8)</f>
        <v/>
      </c>
      <c r="J8" s="67">
        <f>IF(Raw_Data_LI!H8="","",Raw_Data_LI!H8/B8)</f>
        <v/>
      </c>
      <c r="K8" s="67">
        <f>IF(Raw_Data_LI!I8="","",Raw_Data_LI!I8/B8)</f>
        <v/>
      </c>
      <c r="L8" s="67">
        <f>IF(AND(D8=1,ISNUMBER(F8),F8&gt;0),F8,"")</f>
        <v/>
      </c>
      <c r="M8" s="67">
        <f>IF(AND(D8=1,ISNUMBER(G8),G8&gt;0),G8,"")</f>
        <v/>
      </c>
      <c r="N8" s="67">
        <f>IF(AND(D8=1,ISNUMBER(H8),H8&gt;0),H8,"")</f>
        <v/>
      </c>
      <c r="O8" s="67">
        <f>IF(AND(D8=1,ISNUMBER(I8),I8&gt;0),I8,"")</f>
        <v/>
      </c>
      <c r="P8" s="67">
        <f>IF(AND(D8=1,ISNUMBER(J8),J8&gt;0),J8,"")</f>
        <v/>
      </c>
      <c r="Q8" s="67">
        <f>IF(AND(D8=1,ISNUMBER(K8),K8&gt;0),K8,"")</f>
        <v/>
      </c>
      <c r="R8" s="68">
        <f>IF(AND(ISNUMBER(F8),L$4&gt;=cfg_li_min_mid_samples),F8/L$5,"")</f>
        <v/>
      </c>
      <c r="S8" s="68">
        <f>IF(AND(ISNUMBER(G8),M$4&gt;=cfg_li_min_mid_samples),G8/M$5,"")</f>
        <v/>
      </c>
      <c r="T8" s="68">
        <f>IF(AND(ISNUMBER(H8),N$4&gt;=cfg_li_min_mid_samples),H8/N$5,"")</f>
        <v/>
      </c>
      <c r="U8" s="68">
        <f>IF(AND(ISNUMBER(I8),O$4&gt;=cfg_li_min_mid_samples),I8/O$5,"")</f>
        <v/>
      </c>
      <c r="V8" s="68">
        <f>IF(AND(ISNUMBER(J8),P$4&gt;=cfg_li_min_mid_samples),J8/P$5,"")</f>
        <v/>
      </c>
      <c r="W8" s="68">
        <f>IF(AND(ISNUMBER(K8),Q$4&gt;=cfg_li_min_mid_samples),K8/Q$5,"")</f>
        <v/>
      </c>
      <c r="X8">
        <f>COUNT(R8:W8)</f>
        <v/>
      </c>
      <c r="Y8" s="68">
        <f>IF(X8&gt;=cfg_li_min_peers,MEDIAN(R8:W8),"")</f>
        <v/>
      </c>
      <c r="Z8" s="68">
        <f>IF(AND(ISNUMBER(R8),ISNUMBER(Y8)),R8/Y8,"")</f>
        <v/>
      </c>
      <c r="AA8" s="68">
        <f>IF(AND(ISNUMBER(S8),ISNUMBER(Y8)),S8/Y8,"")</f>
        <v/>
      </c>
      <c r="AB8" s="68">
        <f>IF(AND(ISNUMBER(T8),ISNUMBER(Y8)),T8/Y8,"")</f>
        <v/>
      </c>
      <c r="AC8" s="68">
        <f>IF(AND(ISNUMBER(U8),ISNUMBER(Y8)),U8/Y8,"")</f>
        <v/>
      </c>
      <c r="AD8" s="68">
        <f>IF(AND(ISNUMBER(V8),ISNUMBER(Y8)),V8/Y8,"")</f>
        <v/>
      </c>
      <c r="AE8" s="68">
        <f>IF(AND(ISNUMBER(W8),ISNUMBER(Y8)),W8/Y8,"")</f>
        <v/>
      </c>
      <c r="AF8" s="68">
        <f>IF(AND(E8=1,ISNUMBER(Z8)),Z8,"")</f>
        <v/>
      </c>
      <c r="AG8" s="68">
        <f>IF(AND(E8=1,ISNUMBER(AA8)),AA8,"")</f>
        <v/>
      </c>
      <c r="AH8" s="68">
        <f>IF(AND(E8=1,ISNUMBER(AB8)),AB8,"")</f>
        <v/>
      </c>
      <c r="AI8" s="68">
        <f>IF(AND(E8=1,ISNUMBER(AC8)),AC8,"")</f>
        <v/>
      </c>
      <c r="AJ8" s="68">
        <f>IF(AND(E8=1,ISNUMBER(AD8)),AD8,"")</f>
        <v/>
      </c>
      <c r="AK8" s="68">
        <f>IF(AND(E8=1,ISNUMBER(AE8)),AE8,"")</f>
        <v/>
      </c>
    </row>
    <row r="9">
      <c r="A9" s="65">
        <f>Raw_Data_LI!A9</f>
        <v/>
      </c>
      <c r="B9" s="66">
        <f>Raw_Data_LI!B9</f>
        <v/>
      </c>
      <c r="C9" s="66">
        <f>Raw_Data_LI!C9</f>
        <v/>
      </c>
      <c r="D9">
        <f>IF(AND(B9&gt;=cfg_li_poa_mid_min,B9&lt;=cfg_li_poa_mid_max),1,0)</f>
        <v/>
      </c>
      <c r="E9">
        <f>IF(AND(B9&gt;=cfg_li_poa_low_min,B9&lt;=cfg_li_poa_low_max,C9&gt;=cfg_li_low_elev_min),1,0)</f>
        <v/>
      </c>
      <c r="F9" s="67">
        <f>IF(Raw_Data_LI!D9="","",Raw_Data_LI!D9/B9)</f>
        <v/>
      </c>
      <c r="G9" s="67">
        <f>IF(Raw_Data_LI!E9="","",Raw_Data_LI!E9/B9)</f>
        <v/>
      </c>
      <c r="H9" s="67">
        <f>IF(Raw_Data_LI!F9="","",Raw_Data_LI!F9/B9)</f>
        <v/>
      </c>
      <c r="I9" s="67">
        <f>IF(Raw_Data_LI!G9="","",Raw_Data_LI!G9/B9)</f>
        <v/>
      </c>
      <c r="J9" s="67">
        <f>IF(Raw_Data_LI!H9="","",Raw_Data_LI!H9/B9)</f>
        <v/>
      </c>
      <c r="K9" s="67">
        <f>IF(Raw_Data_LI!I9="","",Raw_Data_LI!I9/B9)</f>
        <v/>
      </c>
      <c r="L9" s="67">
        <f>IF(AND(D9=1,ISNUMBER(F9),F9&gt;0),F9,"")</f>
        <v/>
      </c>
      <c r="M9" s="67">
        <f>IF(AND(D9=1,ISNUMBER(G9),G9&gt;0),G9,"")</f>
        <v/>
      </c>
      <c r="N9" s="67">
        <f>IF(AND(D9=1,ISNUMBER(H9),H9&gt;0),H9,"")</f>
        <v/>
      </c>
      <c r="O9" s="67">
        <f>IF(AND(D9=1,ISNUMBER(I9),I9&gt;0),I9,"")</f>
        <v/>
      </c>
      <c r="P9" s="67">
        <f>IF(AND(D9=1,ISNUMBER(J9),J9&gt;0),J9,"")</f>
        <v/>
      </c>
      <c r="Q9" s="67">
        <f>IF(AND(D9=1,ISNUMBER(K9),K9&gt;0),K9,"")</f>
        <v/>
      </c>
      <c r="R9" s="68">
        <f>IF(AND(ISNUMBER(F9),L$4&gt;=cfg_li_min_mid_samples),F9/L$5,"")</f>
        <v/>
      </c>
      <c r="S9" s="68">
        <f>IF(AND(ISNUMBER(G9),M$4&gt;=cfg_li_min_mid_samples),G9/M$5,"")</f>
        <v/>
      </c>
      <c r="T9" s="68">
        <f>IF(AND(ISNUMBER(H9),N$4&gt;=cfg_li_min_mid_samples),H9/N$5,"")</f>
        <v/>
      </c>
      <c r="U9" s="68">
        <f>IF(AND(ISNUMBER(I9),O$4&gt;=cfg_li_min_mid_samples),I9/O$5,"")</f>
        <v/>
      </c>
      <c r="V9" s="68">
        <f>IF(AND(ISNUMBER(J9),P$4&gt;=cfg_li_min_mid_samples),J9/P$5,"")</f>
        <v/>
      </c>
      <c r="W9" s="68">
        <f>IF(AND(ISNUMBER(K9),Q$4&gt;=cfg_li_min_mid_samples),K9/Q$5,"")</f>
        <v/>
      </c>
      <c r="X9">
        <f>COUNT(R9:W9)</f>
        <v/>
      </c>
      <c r="Y9" s="68">
        <f>IF(X9&gt;=cfg_li_min_peers,MEDIAN(R9:W9),"")</f>
        <v/>
      </c>
      <c r="Z9" s="68">
        <f>IF(AND(ISNUMBER(R9),ISNUMBER(Y9)),R9/Y9,"")</f>
        <v/>
      </c>
      <c r="AA9" s="68">
        <f>IF(AND(ISNUMBER(S9),ISNUMBER(Y9)),S9/Y9,"")</f>
        <v/>
      </c>
      <c r="AB9" s="68">
        <f>IF(AND(ISNUMBER(T9),ISNUMBER(Y9)),T9/Y9,"")</f>
        <v/>
      </c>
      <c r="AC9" s="68">
        <f>IF(AND(ISNUMBER(U9),ISNUMBER(Y9)),U9/Y9,"")</f>
        <v/>
      </c>
      <c r="AD9" s="68">
        <f>IF(AND(ISNUMBER(V9),ISNUMBER(Y9)),V9/Y9,"")</f>
        <v/>
      </c>
      <c r="AE9" s="68">
        <f>IF(AND(ISNUMBER(W9),ISNUMBER(Y9)),W9/Y9,"")</f>
        <v/>
      </c>
      <c r="AF9" s="68">
        <f>IF(AND(E9=1,ISNUMBER(Z9)),Z9,"")</f>
        <v/>
      </c>
      <c r="AG9" s="68">
        <f>IF(AND(E9=1,ISNUMBER(AA9)),AA9,"")</f>
        <v/>
      </c>
      <c r="AH9" s="68">
        <f>IF(AND(E9=1,ISNUMBER(AB9)),AB9,"")</f>
        <v/>
      </c>
      <c r="AI9" s="68">
        <f>IF(AND(E9=1,ISNUMBER(AC9)),AC9,"")</f>
        <v/>
      </c>
      <c r="AJ9" s="68">
        <f>IF(AND(E9=1,ISNUMBER(AD9)),AD9,"")</f>
        <v/>
      </c>
      <c r="AK9" s="68">
        <f>IF(AND(E9=1,ISNUMBER(AE9)),AE9,"")</f>
        <v/>
      </c>
    </row>
    <row r="10">
      <c r="A10" s="65">
        <f>Raw_Data_LI!A10</f>
        <v/>
      </c>
      <c r="B10" s="66">
        <f>Raw_Data_LI!B10</f>
        <v/>
      </c>
      <c r="C10" s="66">
        <f>Raw_Data_LI!C10</f>
        <v/>
      </c>
      <c r="D10">
        <f>IF(AND(B10&gt;=cfg_li_poa_mid_min,B10&lt;=cfg_li_poa_mid_max),1,0)</f>
        <v/>
      </c>
      <c r="E10">
        <f>IF(AND(B10&gt;=cfg_li_poa_low_min,B10&lt;=cfg_li_poa_low_max,C10&gt;=cfg_li_low_elev_min),1,0)</f>
        <v/>
      </c>
      <c r="F10" s="67">
        <f>IF(Raw_Data_LI!D10="","",Raw_Data_LI!D10/B10)</f>
        <v/>
      </c>
      <c r="G10" s="67">
        <f>IF(Raw_Data_LI!E10="","",Raw_Data_LI!E10/B10)</f>
        <v/>
      </c>
      <c r="H10" s="67">
        <f>IF(Raw_Data_LI!F10="","",Raw_Data_LI!F10/B10)</f>
        <v/>
      </c>
      <c r="I10" s="67">
        <f>IF(Raw_Data_LI!G10="","",Raw_Data_LI!G10/B10)</f>
        <v/>
      </c>
      <c r="J10" s="67">
        <f>IF(Raw_Data_LI!H10="","",Raw_Data_LI!H10/B10)</f>
        <v/>
      </c>
      <c r="K10" s="67">
        <f>IF(Raw_Data_LI!I10="","",Raw_Data_LI!I10/B10)</f>
        <v/>
      </c>
      <c r="L10" s="67">
        <f>IF(AND(D10=1,ISNUMBER(F10),F10&gt;0),F10,"")</f>
        <v/>
      </c>
      <c r="M10" s="67">
        <f>IF(AND(D10=1,ISNUMBER(G10),G10&gt;0),G10,"")</f>
        <v/>
      </c>
      <c r="N10" s="67">
        <f>IF(AND(D10=1,ISNUMBER(H10),H10&gt;0),H10,"")</f>
        <v/>
      </c>
      <c r="O10" s="67">
        <f>IF(AND(D10=1,ISNUMBER(I10),I10&gt;0),I10,"")</f>
        <v/>
      </c>
      <c r="P10" s="67">
        <f>IF(AND(D10=1,ISNUMBER(J10),J10&gt;0),J10,"")</f>
        <v/>
      </c>
      <c r="Q10" s="67">
        <f>IF(AND(D10=1,ISNUMBER(K10),K10&gt;0),K10,"")</f>
        <v/>
      </c>
      <c r="R10" s="68">
        <f>IF(AND(ISNUMBER(F10),L$4&gt;=cfg_li_min_mid_samples),F10/L$5,"")</f>
        <v/>
      </c>
      <c r="S10" s="68">
        <f>IF(AND(ISNUMBER(G10),M$4&gt;=cfg_li_min_mid_samples),G10/M$5,"")</f>
        <v/>
      </c>
      <c r="T10" s="68">
        <f>IF(AND(ISNUMBER(H10),N$4&gt;=cfg_li_min_mid_samples),H10/N$5,"")</f>
        <v/>
      </c>
      <c r="U10" s="68">
        <f>IF(AND(ISNUMBER(I10),O$4&gt;=cfg_li_min_mid_samples),I10/O$5,"")</f>
        <v/>
      </c>
      <c r="V10" s="68">
        <f>IF(AND(ISNUMBER(J10),P$4&gt;=cfg_li_min_mid_samples),J10/P$5,"")</f>
        <v/>
      </c>
      <c r="W10" s="68">
        <f>IF(AND(ISNUMBER(K10),Q$4&gt;=cfg_li_min_mid_samples),K10/Q$5,"")</f>
        <v/>
      </c>
      <c r="X10">
        <f>COUNT(R10:W10)</f>
        <v/>
      </c>
      <c r="Y10" s="68">
        <f>IF(X10&gt;=cfg_li_min_peers,MEDIAN(R10:W10),"")</f>
        <v/>
      </c>
      <c r="Z10" s="68">
        <f>IF(AND(ISNUMBER(R10),ISNUMBER(Y10)),R10/Y10,"")</f>
        <v/>
      </c>
      <c r="AA10" s="68">
        <f>IF(AND(ISNUMBER(S10),ISNUMBER(Y10)),S10/Y10,"")</f>
        <v/>
      </c>
      <c r="AB10" s="68">
        <f>IF(AND(ISNUMBER(T10),ISNUMBER(Y10)),T10/Y10,"")</f>
        <v/>
      </c>
      <c r="AC10" s="68">
        <f>IF(AND(ISNUMBER(U10),ISNUMBER(Y10)),U10/Y10,"")</f>
        <v/>
      </c>
      <c r="AD10" s="68">
        <f>IF(AND(ISNUMBER(V10),ISNUMBER(Y10)),V10/Y10,"")</f>
        <v/>
      </c>
      <c r="AE10" s="68">
        <f>IF(AND(ISNUMBER(W10),ISNUMBER(Y10)),W10/Y10,"")</f>
        <v/>
      </c>
      <c r="AF10" s="68">
        <f>IF(AND(E10=1,ISNUMBER(Z10)),Z10,"")</f>
        <v/>
      </c>
      <c r="AG10" s="68">
        <f>IF(AND(E10=1,ISNUMBER(AA10)),AA10,"")</f>
        <v/>
      </c>
      <c r="AH10" s="68">
        <f>IF(AND(E10=1,ISNUMBER(AB10)),AB10,"")</f>
        <v/>
      </c>
      <c r="AI10" s="68">
        <f>IF(AND(E10=1,ISNUMBER(AC10)),AC10,"")</f>
        <v/>
      </c>
      <c r="AJ10" s="68">
        <f>IF(AND(E10=1,ISNUMBER(AD10)),AD10,"")</f>
        <v/>
      </c>
      <c r="AK10" s="68">
        <f>IF(AND(E10=1,ISNUMBER(AE10)),AE10,"")</f>
        <v/>
      </c>
    </row>
    <row r="11">
      <c r="A11" s="65">
        <f>Raw_Data_LI!A11</f>
        <v/>
      </c>
      <c r="B11" s="66">
        <f>Raw_Data_LI!B11</f>
        <v/>
      </c>
      <c r="C11" s="66">
        <f>Raw_Data_LI!C11</f>
        <v/>
      </c>
      <c r="D11">
        <f>IF(AND(B11&gt;=cfg_li_poa_mid_min,B11&lt;=cfg_li_poa_mid_max),1,0)</f>
        <v/>
      </c>
      <c r="E11">
        <f>IF(AND(B11&gt;=cfg_li_poa_low_min,B11&lt;=cfg_li_poa_low_max,C11&gt;=cfg_li_low_elev_min),1,0)</f>
        <v/>
      </c>
      <c r="F11" s="67">
        <f>IF(Raw_Data_LI!D11="","",Raw_Data_LI!D11/B11)</f>
        <v/>
      </c>
      <c r="G11" s="67">
        <f>IF(Raw_Data_LI!E11="","",Raw_Data_LI!E11/B11)</f>
        <v/>
      </c>
      <c r="H11" s="67">
        <f>IF(Raw_Data_LI!F11="","",Raw_Data_LI!F11/B11)</f>
        <v/>
      </c>
      <c r="I11" s="67">
        <f>IF(Raw_Data_LI!G11="","",Raw_Data_LI!G11/B11)</f>
        <v/>
      </c>
      <c r="J11" s="67">
        <f>IF(Raw_Data_LI!H11="","",Raw_Data_LI!H11/B11)</f>
        <v/>
      </c>
      <c r="K11" s="67">
        <f>IF(Raw_Data_LI!I11="","",Raw_Data_LI!I11/B11)</f>
        <v/>
      </c>
      <c r="L11" s="67">
        <f>IF(AND(D11=1,ISNUMBER(F11),F11&gt;0),F11,"")</f>
        <v/>
      </c>
      <c r="M11" s="67">
        <f>IF(AND(D11=1,ISNUMBER(G11),G11&gt;0),G11,"")</f>
        <v/>
      </c>
      <c r="N11" s="67">
        <f>IF(AND(D11=1,ISNUMBER(H11),H11&gt;0),H11,"")</f>
        <v/>
      </c>
      <c r="O11" s="67">
        <f>IF(AND(D11=1,ISNUMBER(I11),I11&gt;0),I11,"")</f>
        <v/>
      </c>
      <c r="P11" s="67">
        <f>IF(AND(D11=1,ISNUMBER(J11),J11&gt;0),J11,"")</f>
        <v/>
      </c>
      <c r="Q11" s="67">
        <f>IF(AND(D11=1,ISNUMBER(K11),K11&gt;0),K11,"")</f>
        <v/>
      </c>
      <c r="R11" s="68">
        <f>IF(AND(ISNUMBER(F11),L$4&gt;=cfg_li_min_mid_samples),F11/L$5,"")</f>
        <v/>
      </c>
      <c r="S11" s="68">
        <f>IF(AND(ISNUMBER(G11),M$4&gt;=cfg_li_min_mid_samples),G11/M$5,"")</f>
        <v/>
      </c>
      <c r="T11" s="68">
        <f>IF(AND(ISNUMBER(H11),N$4&gt;=cfg_li_min_mid_samples),H11/N$5,"")</f>
        <v/>
      </c>
      <c r="U11" s="68">
        <f>IF(AND(ISNUMBER(I11),O$4&gt;=cfg_li_min_mid_samples),I11/O$5,"")</f>
        <v/>
      </c>
      <c r="V11" s="68">
        <f>IF(AND(ISNUMBER(J11),P$4&gt;=cfg_li_min_mid_samples),J11/P$5,"")</f>
        <v/>
      </c>
      <c r="W11" s="68">
        <f>IF(AND(ISNUMBER(K11),Q$4&gt;=cfg_li_min_mid_samples),K11/Q$5,"")</f>
        <v/>
      </c>
      <c r="X11">
        <f>COUNT(R11:W11)</f>
        <v/>
      </c>
      <c r="Y11" s="68">
        <f>IF(X11&gt;=cfg_li_min_peers,MEDIAN(R11:W11),"")</f>
        <v/>
      </c>
      <c r="Z11" s="68">
        <f>IF(AND(ISNUMBER(R11),ISNUMBER(Y11)),R11/Y11,"")</f>
        <v/>
      </c>
      <c r="AA11" s="68">
        <f>IF(AND(ISNUMBER(S11),ISNUMBER(Y11)),S11/Y11,"")</f>
        <v/>
      </c>
      <c r="AB11" s="68">
        <f>IF(AND(ISNUMBER(T11),ISNUMBER(Y11)),T11/Y11,"")</f>
        <v/>
      </c>
      <c r="AC11" s="68">
        <f>IF(AND(ISNUMBER(U11),ISNUMBER(Y11)),U11/Y11,"")</f>
        <v/>
      </c>
      <c r="AD11" s="68">
        <f>IF(AND(ISNUMBER(V11),ISNUMBER(Y11)),V11/Y11,"")</f>
        <v/>
      </c>
      <c r="AE11" s="68">
        <f>IF(AND(ISNUMBER(W11),ISNUMBER(Y11)),W11/Y11,"")</f>
        <v/>
      </c>
      <c r="AF11" s="68">
        <f>IF(AND(E11=1,ISNUMBER(Z11)),Z11,"")</f>
        <v/>
      </c>
      <c r="AG11" s="68">
        <f>IF(AND(E11=1,ISNUMBER(AA11)),AA11,"")</f>
        <v/>
      </c>
      <c r="AH11" s="68">
        <f>IF(AND(E11=1,ISNUMBER(AB11)),AB11,"")</f>
        <v/>
      </c>
      <c r="AI11" s="68">
        <f>IF(AND(E11=1,ISNUMBER(AC11)),AC11,"")</f>
        <v/>
      </c>
      <c r="AJ11" s="68">
        <f>IF(AND(E11=1,ISNUMBER(AD11)),AD11,"")</f>
        <v/>
      </c>
      <c r="AK11" s="68">
        <f>IF(AND(E11=1,ISNUMBER(AE11)),AE11,"")</f>
        <v/>
      </c>
    </row>
    <row r="12">
      <c r="A12" s="65">
        <f>Raw_Data_LI!A12</f>
        <v/>
      </c>
      <c r="B12" s="66">
        <f>Raw_Data_LI!B12</f>
        <v/>
      </c>
      <c r="C12" s="66">
        <f>Raw_Data_LI!C12</f>
        <v/>
      </c>
      <c r="D12">
        <f>IF(AND(B12&gt;=cfg_li_poa_mid_min,B12&lt;=cfg_li_poa_mid_max),1,0)</f>
        <v/>
      </c>
      <c r="E12">
        <f>IF(AND(B12&gt;=cfg_li_poa_low_min,B12&lt;=cfg_li_poa_low_max,C12&gt;=cfg_li_low_elev_min),1,0)</f>
        <v/>
      </c>
      <c r="F12" s="67">
        <f>IF(Raw_Data_LI!D12="","",Raw_Data_LI!D12/B12)</f>
        <v/>
      </c>
      <c r="G12" s="67">
        <f>IF(Raw_Data_LI!E12="","",Raw_Data_LI!E12/B12)</f>
        <v/>
      </c>
      <c r="H12" s="67">
        <f>IF(Raw_Data_LI!F12="","",Raw_Data_LI!F12/B12)</f>
        <v/>
      </c>
      <c r="I12" s="67">
        <f>IF(Raw_Data_LI!G12="","",Raw_Data_LI!G12/B12)</f>
        <v/>
      </c>
      <c r="J12" s="67">
        <f>IF(Raw_Data_LI!H12="","",Raw_Data_LI!H12/B12)</f>
        <v/>
      </c>
      <c r="K12" s="67">
        <f>IF(Raw_Data_LI!I12="","",Raw_Data_LI!I12/B12)</f>
        <v/>
      </c>
      <c r="L12" s="67">
        <f>IF(AND(D12=1,ISNUMBER(F12),F12&gt;0),F12,"")</f>
        <v/>
      </c>
      <c r="M12" s="67">
        <f>IF(AND(D12=1,ISNUMBER(G12),G12&gt;0),G12,"")</f>
        <v/>
      </c>
      <c r="N12" s="67">
        <f>IF(AND(D12=1,ISNUMBER(H12),H12&gt;0),H12,"")</f>
        <v/>
      </c>
      <c r="O12" s="67">
        <f>IF(AND(D12=1,ISNUMBER(I12),I12&gt;0),I12,"")</f>
        <v/>
      </c>
      <c r="P12" s="67">
        <f>IF(AND(D12=1,ISNUMBER(J12),J12&gt;0),J12,"")</f>
        <v/>
      </c>
      <c r="Q12" s="67">
        <f>IF(AND(D12=1,ISNUMBER(K12),K12&gt;0),K12,"")</f>
        <v/>
      </c>
      <c r="R12" s="68">
        <f>IF(AND(ISNUMBER(F12),L$4&gt;=cfg_li_min_mid_samples),F12/L$5,"")</f>
        <v/>
      </c>
      <c r="S12" s="68">
        <f>IF(AND(ISNUMBER(G12),M$4&gt;=cfg_li_min_mid_samples),G12/M$5,"")</f>
        <v/>
      </c>
      <c r="T12" s="68">
        <f>IF(AND(ISNUMBER(H12),N$4&gt;=cfg_li_min_mid_samples),H12/N$5,"")</f>
        <v/>
      </c>
      <c r="U12" s="68">
        <f>IF(AND(ISNUMBER(I12),O$4&gt;=cfg_li_min_mid_samples),I12/O$5,"")</f>
        <v/>
      </c>
      <c r="V12" s="68">
        <f>IF(AND(ISNUMBER(J12),P$4&gt;=cfg_li_min_mid_samples),J12/P$5,"")</f>
        <v/>
      </c>
      <c r="W12" s="68">
        <f>IF(AND(ISNUMBER(K12),Q$4&gt;=cfg_li_min_mid_samples),K12/Q$5,"")</f>
        <v/>
      </c>
      <c r="X12">
        <f>COUNT(R12:W12)</f>
        <v/>
      </c>
      <c r="Y12" s="68">
        <f>IF(X12&gt;=cfg_li_min_peers,MEDIAN(R12:W12),"")</f>
        <v/>
      </c>
      <c r="Z12" s="68">
        <f>IF(AND(ISNUMBER(R12),ISNUMBER(Y12)),R12/Y12,"")</f>
        <v/>
      </c>
      <c r="AA12" s="68">
        <f>IF(AND(ISNUMBER(S12),ISNUMBER(Y12)),S12/Y12,"")</f>
        <v/>
      </c>
      <c r="AB12" s="68">
        <f>IF(AND(ISNUMBER(T12),ISNUMBER(Y12)),T12/Y12,"")</f>
        <v/>
      </c>
      <c r="AC12" s="68">
        <f>IF(AND(ISNUMBER(U12),ISNUMBER(Y12)),U12/Y12,"")</f>
        <v/>
      </c>
      <c r="AD12" s="68">
        <f>IF(AND(ISNUMBER(V12),ISNUMBER(Y12)),V12/Y12,"")</f>
        <v/>
      </c>
      <c r="AE12" s="68">
        <f>IF(AND(ISNUMBER(W12),ISNUMBER(Y12)),W12/Y12,"")</f>
        <v/>
      </c>
      <c r="AF12" s="68">
        <f>IF(AND(E12=1,ISNUMBER(Z12)),Z12,"")</f>
        <v/>
      </c>
      <c r="AG12" s="68">
        <f>IF(AND(E12=1,ISNUMBER(AA12)),AA12,"")</f>
        <v/>
      </c>
      <c r="AH12" s="68">
        <f>IF(AND(E12=1,ISNUMBER(AB12)),AB12,"")</f>
        <v/>
      </c>
      <c r="AI12" s="68">
        <f>IF(AND(E12=1,ISNUMBER(AC12)),AC12,"")</f>
        <v/>
      </c>
      <c r="AJ12" s="68">
        <f>IF(AND(E12=1,ISNUMBER(AD12)),AD12,"")</f>
        <v/>
      </c>
      <c r="AK12" s="68">
        <f>IF(AND(E12=1,ISNUMBER(AE12)),AE12,"")</f>
        <v/>
      </c>
    </row>
    <row r="13">
      <c r="A13" s="65">
        <f>Raw_Data_LI!A13</f>
        <v/>
      </c>
      <c r="B13" s="66">
        <f>Raw_Data_LI!B13</f>
        <v/>
      </c>
      <c r="C13" s="66">
        <f>Raw_Data_LI!C13</f>
        <v/>
      </c>
      <c r="D13">
        <f>IF(AND(B13&gt;=cfg_li_poa_mid_min,B13&lt;=cfg_li_poa_mid_max),1,0)</f>
        <v/>
      </c>
      <c r="E13">
        <f>IF(AND(B13&gt;=cfg_li_poa_low_min,B13&lt;=cfg_li_poa_low_max,C13&gt;=cfg_li_low_elev_min),1,0)</f>
        <v/>
      </c>
      <c r="F13" s="67">
        <f>IF(Raw_Data_LI!D13="","",Raw_Data_LI!D13/B13)</f>
        <v/>
      </c>
      <c r="G13" s="67">
        <f>IF(Raw_Data_LI!E13="","",Raw_Data_LI!E13/B13)</f>
        <v/>
      </c>
      <c r="H13" s="67">
        <f>IF(Raw_Data_LI!F13="","",Raw_Data_LI!F13/B13)</f>
        <v/>
      </c>
      <c r="I13" s="67">
        <f>IF(Raw_Data_LI!G13="","",Raw_Data_LI!G13/B13)</f>
        <v/>
      </c>
      <c r="J13" s="67">
        <f>IF(Raw_Data_LI!H13="","",Raw_Data_LI!H13/B13)</f>
        <v/>
      </c>
      <c r="K13" s="67">
        <f>IF(Raw_Data_LI!I13="","",Raw_Data_LI!I13/B13)</f>
        <v/>
      </c>
      <c r="L13" s="67">
        <f>IF(AND(D13=1,ISNUMBER(F13),F13&gt;0),F13,"")</f>
        <v/>
      </c>
      <c r="M13" s="67">
        <f>IF(AND(D13=1,ISNUMBER(G13),G13&gt;0),G13,"")</f>
        <v/>
      </c>
      <c r="N13" s="67">
        <f>IF(AND(D13=1,ISNUMBER(H13),H13&gt;0),H13,"")</f>
        <v/>
      </c>
      <c r="O13" s="67">
        <f>IF(AND(D13=1,ISNUMBER(I13),I13&gt;0),I13,"")</f>
        <v/>
      </c>
      <c r="P13" s="67">
        <f>IF(AND(D13=1,ISNUMBER(J13),J13&gt;0),J13,"")</f>
        <v/>
      </c>
      <c r="Q13" s="67">
        <f>IF(AND(D13=1,ISNUMBER(K13),K13&gt;0),K13,"")</f>
        <v/>
      </c>
      <c r="R13" s="68">
        <f>IF(AND(ISNUMBER(F13),L$4&gt;=cfg_li_min_mid_samples),F13/L$5,"")</f>
        <v/>
      </c>
      <c r="S13" s="68">
        <f>IF(AND(ISNUMBER(G13),M$4&gt;=cfg_li_min_mid_samples),G13/M$5,"")</f>
        <v/>
      </c>
      <c r="T13" s="68">
        <f>IF(AND(ISNUMBER(H13),N$4&gt;=cfg_li_min_mid_samples),H13/N$5,"")</f>
        <v/>
      </c>
      <c r="U13" s="68">
        <f>IF(AND(ISNUMBER(I13),O$4&gt;=cfg_li_min_mid_samples),I13/O$5,"")</f>
        <v/>
      </c>
      <c r="V13" s="68">
        <f>IF(AND(ISNUMBER(J13),P$4&gt;=cfg_li_min_mid_samples),J13/P$5,"")</f>
        <v/>
      </c>
      <c r="W13" s="68">
        <f>IF(AND(ISNUMBER(K13),Q$4&gt;=cfg_li_min_mid_samples),K13/Q$5,"")</f>
        <v/>
      </c>
      <c r="X13">
        <f>COUNT(R13:W13)</f>
        <v/>
      </c>
      <c r="Y13" s="68">
        <f>IF(X13&gt;=cfg_li_min_peers,MEDIAN(R13:W13),"")</f>
        <v/>
      </c>
      <c r="Z13" s="68">
        <f>IF(AND(ISNUMBER(R13),ISNUMBER(Y13)),R13/Y13,"")</f>
        <v/>
      </c>
      <c r="AA13" s="68">
        <f>IF(AND(ISNUMBER(S13),ISNUMBER(Y13)),S13/Y13,"")</f>
        <v/>
      </c>
      <c r="AB13" s="68">
        <f>IF(AND(ISNUMBER(T13),ISNUMBER(Y13)),T13/Y13,"")</f>
        <v/>
      </c>
      <c r="AC13" s="68">
        <f>IF(AND(ISNUMBER(U13),ISNUMBER(Y13)),U13/Y13,"")</f>
        <v/>
      </c>
      <c r="AD13" s="68">
        <f>IF(AND(ISNUMBER(V13),ISNUMBER(Y13)),V13/Y13,"")</f>
        <v/>
      </c>
      <c r="AE13" s="68">
        <f>IF(AND(ISNUMBER(W13),ISNUMBER(Y13)),W13/Y13,"")</f>
        <v/>
      </c>
      <c r="AF13" s="68">
        <f>IF(AND(E13=1,ISNUMBER(Z13)),Z13,"")</f>
        <v/>
      </c>
      <c r="AG13" s="68">
        <f>IF(AND(E13=1,ISNUMBER(AA13)),AA13,"")</f>
        <v/>
      </c>
      <c r="AH13" s="68">
        <f>IF(AND(E13=1,ISNUMBER(AB13)),AB13,"")</f>
        <v/>
      </c>
      <c r="AI13" s="68">
        <f>IF(AND(E13=1,ISNUMBER(AC13)),AC13,"")</f>
        <v/>
      </c>
      <c r="AJ13" s="68">
        <f>IF(AND(E13=1,ISNUMBER(AD13)),AD13,"")</f>
        <v/>
      </c>
      <c r="AK13" s="68">
        <f>IF(AND(E13=1,ISNUMBER(AE13)),AE13,"")</f>
        <v/>
      </c>
    </row>
    <row r="14">
      <c r="A14" s="65">
        <f>Raw_Data_LI!A14</f>
        <v/>
      </c>
      <c r="B14" s="66">
        <f>Raw_Data_LI!B14</f>
        <v/>
      </c>
      <c r="C14" s="66">
        <f>Raw_Data_LI!C14</f>
        <v/>
      </c>
      <c r="D14">
        <f>IF(AND(B14&gt;=cfg_li_poa_mid_min,B14&lt;=cfg_li_poa_mid_max),1,0)</f>
        <v/>
      </c>
      <c r="E14">
        <f>IF(AND(B14&gt;=cfg_li_poa_low_min,B14&lt;=cfg_li_poa_low_max,C14&gt;=cfg_li_low_elev_min),1,0)</f>
        <v/>
      </c>
      <c r="F14" s="67">
        <f>IF(Raw_Data_LI!D14="","",Raw_Data_LI!D14/B14)</f>
        <v/>
      </c>
      <c r="G14" s="67">
        <f>IF(Raw_Data_LI!E14="","",Raw_Data_LI!E14/B14)</f>
        <v/>
      </c>
      <c r="H14" s="67">
        <f>IF(Raw_Data_LI!F14="","",Raw_Data_LI!F14/B14)</f>
        <v/>
      </c>
      <c r="I14" s="67">
        <f>IF(Raw_Data_LI!G14="","",Raw_Data_LI!G14/B14)</f>
        <v/>
      </c>
      <c r="J14" s="67">
        <f>IF(Raw_Data_LI!H14="","",Raw_Data_LI!H14/B14)</f>
        <v/>
      </c>
      <c r="K14" s="67">
        <f>IF(Raw_Data_LI!I14="","",Raw_Data_LI!I14/B14)</f>
        <v/>
      </c>
      <c r="L14" s="67">
        <f>IF(AND(D14=1,ISNUMBER(F14),F14&gt;0),F14,"")</f>
        <v/>
      </c>
      <c r="M14" s="67">
        <f>IF(AND(D14=1,ISNUMBER(G14),G14&gt;0),G14,"")</f>
        <v/>
      </c>
      <c r="N14" s="67">
        <f>IF(AND(D14=1,ISNUMBER(H14),H14&gt;0),H14,"")</f>
        <v/>
      </c>
      <c r="O14" s="67">
        <f>IF(AND(D14=1,ISNUMBER(I14),I14&gt;0),I14,"")</f>
        <v/>
      </c>
      <c r="P14" s="67">
        <f>IF(AND(D14=1,ISNUMBER(J14),J14&gt;0),J14,"")</f>
        <v/>
      </c>
      <c r="Q14" s="67">
        <f>IF(AND(D14=1,ISNUMBER(K14),K14&gt;0),K14,"")</f>
        <v/>
      </c>
      <c r="R14" s="68">
        <f>IF(AND(ISNUMBER(F14),L$4&gt;=cfg_li_min_mid_samples),F14/L$5,"")</f>
        <v/>
      </c>
      <c r="S14" s="68">
        <f>IF(AND(ISNUMBER(G14),M$4&gt;=cfg_li_min_mid_samples),G14/M$5,"")</f>
        <v/>
      </c>
      <c r="T14" s="68">
        <f>IF(AND(ISNUMBER(H14),N$4&gt;=cfg_li_min_mid_samples),H14/N$5,"")</f>
        <v/>
      </c>
      <c r="U14" s="68">
        <f>IF(AND(ISNUMBER(I14),O$4&gt;=cfg_li_min_mid_samples),I14/O$5,"")</f>
        <v/>
      </c>
      <c r="V14" s="68">
        <f>IF(AND(ISNUMBER(J14),P$4&gt;=cfg_li_min_mid_samples),J14/P$5,"")</f>
        <v/>
      </c>
      <c r="W14" s="68">
        <f>IF(AND(ISNUMBER(K14),Q$4&gt;=cfg_li_min_mid_samples),K14/Q$5,"")</f>
        <v/>
      </c>
      <c r="X14">
        <f>COUNT(R14:W14)</f>
        <v/>
      </c>
      <c r="Y14" s="68">
        <f>IF(X14&gt;=cfg_li_min_peers,MEDIAN(R14:W14),"")</f>
        <v/>
      </c>
      <c r="Z14" s="68">
        <f>IF(AND(ISNUMBER(R14),ISNUMBER(Y14)),R14/Y14,"")</f>
        <v/>
      </c>
      <c r="AA14" s="68">
        <f>IF(AND(ISNUMBER(S14),ISNUMBER(Y14)),S14/Y14,"")</f>
        <v/>
      </c>
      <c r="AB14" s="68">
        <f>IF(AND(ISNUMBER(T14),ISNUMBER(Y14)),T14/Y14,"")</f>
        <v/>
      </c>
      <c r="AC14" s="68">
        <f>IF(AND(ISNUMBER(U14),ISNUMBER(Y14)),U14/Y14,"")</f>
        <v/>
      </c>
      <c r="AD14" s="68">
        <f>IF(AND(ISNUMBER(V14),ISNUMBER(Y14)),V14/Y14,"")</f>
        <v/>
      </c>
      <c r="AE14" s="68">
        <f>IF(AND(ISNUMBER(W14),ISNUMBER(Y14)),W14/Y14,"")</f>
        <v/>
      </c>
      <c r="AF14" s="68">
        <f>IF(AND(E14=1,ISNUMBER(Z14)),Z14,"")</f>
        <v/>
      </c>
      <c r="AG14" s="68">
        <f>IF(AND(E14=1,ISNUMBER(AA14)),AA14,"")</f>
        <v/>
      </c>
      <c r="AH14" s="68">
        <f>IF(AND(E14=1,ISNUMBER(AB14)),AB14,"")</f>
        <v/>
      </c>
      <c r="AI14" s="68">
        <f>IF(AND(E14=1,ISNUMBER(AC14)),AC14,"")</f>
        <v/>
      </c>
      <c r="AJ14" s="68">
        <f>IF(AND(E14=1,ISNUMBER(AD14)),AD14,"")</f>
        <v/>
      </c>
      <c r="AK14" s="68">
        <f>IF(AND(E14=1,ISNUMBER(AE14)),AE14,"")</f>
        <v/>
      </c>
    </row>
    <row r="15">
      <c r="A15" s="65">
        <f>Raw_Data_LI!A15</f>
        <v/>
      </c>
      <c r="B15" s="66">
        <f>Raw_Data_LI!B15</f>
        <v/>
      </c>
      <c r="C15" s="66">
        <f>Raw_Data_LI!C15</f>
        <v/>
      </c>
      <c r="D15">
        <f>IF(AND(B15&gt;=cfg_li_poa_mid_min,B15&lt;=cfg_li_poa_mid_max),1,0)</f>
        <v/>
      </c>
      <c r="E15">
        <f>IF(AND(B15&gt;=cfg_li_poa_low_min,B15&lt;=cfg_li_poa_low_max,C15&gt;=cfg_li_low_elev_min),1,0)</f>
        <v/>
      </c>
      <c r="F15" s="67">
        <f>IF(Raw_Data_LI!D15="","",Raw_Data_LI!D15/B15)</f>
        <v/>
      </c>
      <c r="G15" s="67">
        <f>IF(Raw_Data_LI!E15="","",Raw_Data_LI!E15/B15)</f>
        <v/>
      </c>
      <c r="H15" s="67">
        <f>IF(Raw_Data_LI!F15="","",Raw_Data_LI!F15/B15)</f>
        <v/>
      </c>
      <c r="I15" s="67">
        <f>IF(Raw_Data_LI!G15="","",Raw_Data_LI!G15/B15)</f>
        <v/>
      </c>
      <c r="J15" s="67">
        <f>IF(Raw_Data_LI!H15="","",Raw_Data_LI!H15/B15)</f>
        <v/>
      </c>
      <c r="K15" s="67">
        <f>IF(Raw_Data_LI!I15="","",Raw_Data_LI!I15/B15)</f>
        <v/>
      </c>
      <c r="L15" s="67">
        <f>IF(AND(D15=1,ISNUMBER(F15),F15&gt;0),F15,"")</f>
        <v/>
      </c>
      <c r="M15" s="67">
        <f>IF(AND(D15=1,ISNUMBER(G15),G15&gt;0),G15,"")</f>
        <v/>
      </c>
      <c r="N15" s="67">
        <f>IF(AND(D15=1,ISNUMBER(H15),H15&gt;0),H15,"")</f>
        <v/>
      </c>
      <c r="O15" s="67">
        <f>IF(AND(D15=1,ISNUMBER(I15),I15&gt;0),I15,"")</f>
        <v/>
      </c>
      <c r="P15" s="67">
        <f>IF(AND(D15=1,ISNUMBER(J15),J15&gt;0),J15,"")</f>
        <v/>
      </c>
      <c r="Q15" s="67">
        <f>IF(AND(D15=1,ISNUMBER(K15),K15&gt;0),K15,"")</f>
        <v/>
      </c>
      <c r="R15" s="68">
        <f>IF(AND(ISNUMBER(F15),L$4&gt;=cfg_li_min_mid_samples),F15/L$5,"")</f>
        <v/>
      </c>
      <c r="S15" s="68">
        <f>IF(AND(ISNUMBER(G15),M$4&gt;=cfg_li_min_mid_samples),G15/M$5,"")</f>
        <v/>
      </c>
      <c r="T15" s="68">
        <f>IF(AND(ISNUMBER(H15),N$4&gt;=cfg_li_min_mid_samples),H15/N$5,"")</f>
        <v/>
      </c>
      <c r="U15" s="68">
        <f>IF(AND(ISNUMBER(I15),O$4&gt;=cfg_li_min_mid_samples),I15/O$5,"")</f>
        <v/>
      </c>
      <c r="V15" s="68">
        <f>IF(AND(ISNUMBER(J15),P$4&gt;=cfg_li_min_mid_samples),J15/P$5,"")</f>
        <v/>
      </c>
      <c r="W15" s="68">
        <f>IF(AND(ISNUMBER(K15),Q$4&gt;=cfg_li_min_mid_samples),K15/Q$5,"")</f>
        <v/>
      </c>
      <c r="X15">
        <f>COUNT(R15:W15)</f>
        <v/>
      </c>
      <c r="Y15" s="68">
        <f>IF(X15&gt;=cfg_li_min_peers,MEDIAN(R15:W15),"")</f>
        <v/>
      </c>
      <c r="Z15" s="68">
        <f>IF(AND(ISNUMBER(R15),ISNUMBER(Y15)),R15/Y15,"")</f>
        <v/>
      </c>
      <c r="AA15" s="68">
        <f>IF(AND(ISNUMBER(S15),ISNUMBER(Y15)),S15/Y15,"")</f>
        <v/>
      </c>
      <c r="AB15" s="68">
        <f>IF(AND(ISNUMBER(T15),ISNUMBER(Y15)),T15/Y15,"")</f>
        <v/>
      </c>
      <c r="AC15" s="68">
        <f>IF(AND(ISNUMBER(U15),ISNUMBER(Y15)),U15/Y15,"")</f>
        <v/>
      </c>
      <c r="AD15" s="68">
        <f>IF(AND(ISNUMBER(V15),ISNUMBER(Y15)),V15/Y15,"")</f>
        <v/>
      </c>
      <c r="AE15" s="68">
        <f>IF(AND(ISNUMBER(W15),ISNUMBER(Y15)),W15/Y15,"")</f>
        <v/>
      </c>
      <c r="AF15" s="68">
        <f>IF(AND(E15=1,ISNUMBER(Z15)),Z15,"")</f>
        <v/>
      </c>
      <c r="AG15" s="68">
        <f>IF(AND(E15=1,ISNUMBER(AA15)),AA15,"")</f>
        <v/>
      </c>
      <c r="AH15" s="68">
        <f>IF(AND(E15=1,ISNUMBER(AB15)),AB15,"")</f>
        <v/>
      </c>
      <c r="AI15" s="68">
        <f>IF(AND(E15=1,ISNUMBER(AC15)),AC15,"")</f>
        <v/>
      </c>
      <c r="AJ15" s="68">
        <f>IF(AND(E15=1,ISNUMBER(AD15)),AD15,"")</f>
        <v/>
      </c>
      <c r="AK15" s="68">
        <f>IF(AND(E15=1,ISNUMBER(AE15)),AE15,"")</f>
        <v/>
      </c>
    </row>
    <row r="16">
      <c r="A16" s="65">
        <f>Raw_Data_LI!A16</f>
        <v/>
      </c>
      <c r="B16" s="66">
        <f>Raw_Data_LI!B16</f>
        <v/>
      </c>
      <c r="C16" s="66">
        <f>Raw_Data_LI!C16</f>
        <v/>
      </c>
      <c r="D16">
        <f>IF(AND(B16&gt;=cfg_li_poa_mid_min,B16&lt;=cfg_li_poa_mid_max),1,0)</f>
        <v/>
      </c>
      <c r="E16">
        <f>IF(AND(B16&gt;=cfg_li_poa_low_min,B16&lt;=cfg_li_poa_low_max,C16&gt;=cfg_li_low_elev_min),1,0)</f>
        <v/>
      </c>
      <c r="F16" s="67">
        <f>IF(Raw_Data_LI!D16="","",Raw_Data_LI!D16/B16)</f>
        <v/>
      </c>
      <c r="G16" s="67">
        <f>IF(Raw_Data_LI!E16="","",Raw_Data_LI!E16/B16)</f>
        <v/>
      </c>
      <c r="H16" s="67">
        <f>IF(Raw_Data_LI!F16="","",Raw_Data_LI!F16/B16)</f>
        <v/>
      </c>
      <c r="I16" s="67">
        <f>IF(Raw_Data_LI!G16="","",Raw_Data_LI!G16/B16)</f>
        <v/>
      </c>
      <c r="J16" s="67">
        <f>IF(Raw_Data_LI!H16="","",Raw_Data_LI!H16/B16)</f>
        <v/>
      </c>
      <c r="K16" s="67">
        <f>IF(Raw_Data_LI!I16="","",Raw_Data_LI!I16/B16)</f>
        <v/>
      </c>
      <c r="L16" s="67">
        <f>IF(AND(D16=1,ISNUMBER(F16),F16&gt;0),F16,"")</f>
        <v/>
      </c>
      <c r="M16" s="67">
        <f>IF(AND(D16=1,ISNUMBER(G16),G16&gt;0),G16,"")</f>
        <v/>
      </c>
      <c r="N16" s="67">
        <f>IF(AND(D16=1,ISNUMBER(H16),H16&gt;0),H16,"")</f>
        <v/>
      </c>
      <c r="O16" s="67">
        <f>IF(AND(D16=1,ISNUMBER(I16),I16&gt;0),I16,"")</f>
        <v/>
      </c>
      <c r="P16" s="67">
        <f>IF(AND(D16=1,ISNUMBER(J16),J16&gt;0),J16,"")</f>
        <v/>
      </c>
      <c r="Q16" s="67">
        <f>IF(AND(D16=1,ISNUMBER(K16),K16&gt;0),K16,"")</f>
        <v/>
      </c>
      <c r="R16" s="68">
        <f>IF(AND(ISNUMBER(F16),L$4&gt;=cfg_li_min_mid_samples),F16/L$5,"")</f>
        <v/>
      </c>
      <c r="S16" s="68">
        <f>IF(AND(ISNUMBER(G16),M$4&gt;=cfg_li_min_mid_samples),G16/M$5,"")</f>
        <v/>
      </c>
      <c r="T16" s="68">
        <f>IF(AND(ISNUMBER(H16),N$4&gt;=cfg_li_min_mid_samples),H16/N$5,"")</f>
        <v/>
      </c>
      <c r="U16" s="68">
        <f>IF(AND(ISNUMBER(I16),O$4&gt;=cfg_li_min_mid_samples),I16/O$5,"")</f>
        <v/>
      </c>
      <c r="V16" s="68">
        <f>IF(AND(ISNUMBER(J16),P$4&gt;=cfg_li_min_mid_samples),J16/P$5,"")</f>
        <v/>
      </c>
      <c r="W16" s="68">
        <f>IF(AND(ISNUMBER(K16),Q$4&gt;=cfg_li_min_mid_samples),K16/Q$5,"")</f>
        <v/>
      </c>
      <c r="X16">
        <f>COUNT(R16:W16)</f>
        <v/>
      </c>
      <c r="Y16" s="68">
        <f>IF(X16&gt;=cfg_li_min_peers,MEDIAN(R16:W16),"")</f>
        <v/>
      </c>
      <c r="Z16" s="68">
        <f>IF(AND(ISNUMBER(R16),ISNUMBER(Y16)),R16/Y16,"")</f>
        <v/>
      </c>
      <c r="AA16" s="68">
        <f>IF(AND(ISNUMBER(S16),ISNUMBER(Y16)),S16/Y16,"")</f>
        <v/>
      </c>
      <c r="AB16" s="68">
        <f>IF(AND(ISNUMBER(T16),ISNUMBER(Y16)),T16/Y16,"")</f>
        <v/>
      </c>
      <c r="AC16" s="68">
        <f>IF(AND(ISNUMBER(U16),ISNUMBER(Y16)),U16/Y16,"")</f>
        <v/>
      </c>
      <c r="AD16" s="68">
        <f>IF(AND(ISNUMBER(V16),ISNUMBER(Y16)),V16/Y16,"")</f>
        <v/>
      </c>
      <c r="AE16" s="68">
        <f>IF(AND(ISNUMBER(W16),ISNUMBER(Y16)),W16/Y16,"")</f>
        <v/>
      </c>
      <c r="AF16" s="68">
        <f>IF(AND(E16=1,ISNUMBER(Z16)),Z16,"")</f>
        <v/>
      </c>
      <c r="AG16" s="68">
        <f>IF(AND(E16=1,ISNUMBER(AA16)),AA16,"")</f>
        <v/>
      </c>
      <c r="AH16" s="68">
        <f>IF(AND(E16=1,ISNUMBER(AB16)),AB16,"")</f>
        <v/>
      </c>
      <c r="AI16" s="68">
        <f>IF(AND(E16=1,ISNUMBER(AC16)),AC16,"")</f>
        <v/>
      </c>
      <c r="AJ16" s="68">
        <f>IF(AND(E16=1,ISNUMBER(AD16)),AD16,"")</f>
        <v/>
      </c>
      <c r="AK16" s="68">
        <f>IF(AND(E16=1,ISNUMBER(AE16)),AE16,"")</f>
        <v/>
      </c>
    </row>
    <row r="17">
      <c r="A17" s="65">
        <f>Raw_Data_LI!A17</f>
        <v/>
      </c>
      <c r="B17" s="66">
        <f>Raw_Data_LI!B17</f>
        <v/>
      </c>
      <c r="C17" s="66">
        <f>Raw_Data_LI!C17</f>
        <v/>
      </c>
      <c r="D17">
        <f>IF(AND(B17&gt;=cfg_li_poa_mid_min,B17&lt;=cfg_li_poa_mid_max),1,0)</f>
        <v/>
      </c>
      <c r="E17">
        <f>IF(AND(B17&gt;=cfg_li_poa_low_min,B17&lt;=cfg_li_poa_low_max,C17&gt;=cfg_li_low_elev_min),1,0)</f>
        <v/>
      </c>
      <c r="F17" s="67">
        <f>IF(Raw_Data_LI!D17="","",Raw_Data_LI!D17/B17)</f>
        <v/>
      </c>
      <c r="G17" s="67">
        <f>IF(Raw_Data_LI!E17="","",Raw_Data_LI!E17/B17)</f>
        <v/>
      </c>
      <c r="H17" s="67">
        <f>IF(Raw_Data_LI!F17="","",Raw_Data_LI!F17/B17)</f>
        <v/>
      </c>
      <c r="I17" s="67">
        <f>IF(Raw_Data_LI!G17="","",Raw_Data_LI!G17/B17)</f>
        <v/>
      </c>
      <c r="J17" s="67">
        <f>IF(Raw_Data_LI!H17="","",Raw_Data_LI!H17/B17)</f>
        <v/>
      </c>
      <c r="K17" s="67">
        <f>IF(Raw_Data_LI!I17="","",Raw_Data_LI!I17/B17)</f>
        <v/>
      </c>
      <c r="L17" s="67">
        <f>IF(AND(D17=1,ISNUMBER(F17),F17&gt;0),F17,"")</f>
        <v/>
      </c>
      <c r="M17" s="67">
        <f>IF(AND(D17=1,ISNUMBER(G17),G17&gt;0),G17,"")</f>
        <v/>
      </c>
      <c r="N17" s="67">
        <f>IF(AND(D17=1,ISNUMBER(H17),H17&gt;0),H17,"")</f>
        <v/>
      </c>
      <c r="O17" s="67">
        <f>IF(AND(D17=1,ISNUMBER(I17),I17&gt;0),I17,"")</f>
        <v/>
      </c>
      <c r="P17" s="67">
        <f>IF(AND(D17=1,ISNUMBER(J17),J17&gt;0),J17,"")</f>
        <v/>
      </c>
      <c r="Q17" s="67">
        <f>IF(AND(D17=1,ISNUMBER(K17),K17&gt;0),K17,"")</f>
        <v/>
      </c>
      <c r="R17" s="68">
        <f>IF(AND(ISNUMBER(F17),L$4&gt;=cfg_li_min_mid_samples),F17/L$5,"")</f>
        <v/>
      </c>
      <c r="S17" s="68">
        <f>IF(AND(ISNUMBER(G17),M$4&gt;=cfg_li_min_mid_samples),G17/M$5,"")</f>
        <v/>
      </c>
      <c r="T17" s="68">
        <f>IF(AND(ISNUMBER(H17),N$4&gt;=cfg_li_min_mid_samples),H17/N$5,"")</f>
        <v/>
      </c>
      <c r="U17" s="68">
        <f>IF(AND(ISNUMBER(I17),O$4&gt;=cfg_li_min_mid_samples),I17/O$5,"")</f>
        <v/>
      </c>
      <c r="V17" s="68">
        <f>IF(AND(ISNUMBER(J17),P$4&gt;=cfg_li_min_mid_samples),J17/P$5,"")</f>
        <v/>
      </c>
      <c r="W17" s="68">
        <f>IF(AND(ISNUMBER(K17),Q$4&gt;=cfg_li_min_mid_samples),K17/Q$5,"")</f>
        <v/>
      </c>
      <c r="X17">
        <f>COUNT(R17:W17)</f>
        <v/>
      </c>
      <c r="Y17" s="68">
        <f>IF(X17&gt;=cfg_li_min_peers,MEDIAN(R17:W17),"")</f>
        <v/>
      </c>
      <c r="Z17" s="68">
        <f>IF(AND(ISNUMBER(R17),ISNUMBER(Y17)),R17/Y17,"")</f>
        <v/>
      </c>
      <c r="AA17" s="68">
        <f>IF(AND(ISNUMBER(S17),ISNUMBER(Y17)),S17/Y17,"")</f>
        <v/>
      </c>
      <c r="AB17" s="68">
        <f>IF(AND(ISNUMBER(T17),ISNUMBER(Y17)),T17/Y17,"")</f>
        <v/>
      </c>
      <c r="AC17" s="68">
        <f>IF(AND(ISNUMBER(U17),ISNUMBER(Y17)),U17/Y17,"")</f>
        <v/>
      </c>
      <c r="AD17" s="68">
        <f>IF(AND(ISNUMBER(V17),ISNUMBER(Y17)),V17/Y17,"")</f>
        <v/>
      </c>
      <c r="AE17" s="68">
        <f>IF(AND(ISNUMBER(W17),ISNUMBER(Y17)),W17/Y17,"")</f>
        <v/>
      </c>
      <c r="AF17" s="68">
        <f>IF(AND(E17=1,ISNUMBER(Z17)),Z17,"")</f>
        <v/>
      </c>
      <c r="AG17" s="68">
        <f>IF(AND(E17=1,ISNUMBER(AA17)),AA17,"")</f>
        <v/>
      </c>
      <c r="AH17" s="68">
        <f>IF(AND(E17=1,ISNUMBER(AB17)),AB17,"")</f>
        <v/>
      </c>
      <c r="AI17" s="68">
        <f>IF(AND(E17=1,ISNUMBER(AC17)),AC17,"")</f>
        <v/>
      </c>
      <c r="AJ17" s="68">
        <f>IF(AND(E17=1,ISNUMBER(AD17)),AD17,"")</f>
        <v/>
      </c>
      <c r="AK17" s="68">
        <f>IF(AND(E17=1,ISNUMBER(AE17)),AE17,"")</f>
        <v/>
      </c>
    </row>
    <row r="18">
      <c r="A18" s="65">
        <f>Raw_Data_LI!A18</f>
        <v/>
      </c>
      <c r="B18" s="66">
        <f>Raw_Data_LI!B18</f>
        <v/>
      </c>
      <c r="C18" s="66">
        <f>Raw_Data_LI!C18</f>
        <v/>
      </c>
      <c r="D18">
        <f>IF(AND(B18&gt;=cfg_li_poa_mid_min,B18&lt;=cfg_li_poa_mid_max),1,0)</f>
        <v/>
      </c>
      <c r="E18">
        <f>IF(AND(B18&gt;=cfg_li_poa_low_min,B18&lt;=cfg_li_poa_low_max,C18&gt;=cfg_li_low_elev_min),1,0)</f>
        <v/>
      </c>
      <c r="F18" s="67">
        <f>IF(Raw_Data_LI!D18="","",Raw_Data_LI!D18/B18)</f>
        <v/>
      </c>
      <c r="G18" s="67">
        <f>IF(Raw_Data_LI!E18="","",Raw_Data_LI!E18/B18)</f>
        <v/>
      </c>
      <c r="H18" s="67">
        <f>IF(Raw_Data_LI!F18="","",Raw_Data_LI!F18/B18)</f>
        <v/>
      </c>
      <c r="I18" s="67">
        <f>IF(Raw_Data_LI!G18="","",Raw_Data_LI!G18/B18)</f>
        <v/>
      </c>
      <c r="J18" s="67">
        <f>IF(Raw_Data_LI!H18="","",Raw_Data_LI!H18/B18)</f>
        <v/>
      </c>
      <c r="K18" s="67">
        <f>IF(Raw_Data_LI!I18="","",Raw_Data_LI!I18/B18)</f>
        <v/>
      </c>
      <c r="L18" s="67">
        <f>IF(AND(D18=1,ISNUMBER(F18),F18&gt;0),F18,"")</f>
        <v/>
      </c>
      <c r="M18" s="67">
        <f>IF(AND(D18=1,ISNUMBER(G18),G18&gt;0),G18,"")</f>
        <v/>
      </c>
      <c r="N18" s="67">
        <f>IF(AND(D18=1,ISNUMBER(H18),H18&gt;0),H18,"")</f>
        <v/>
      </c>
      <c r="O18" s="67">
        <f>IF(AND(D18=1,ISNUMBER(I18),I18&gt;0),I18,"")</f>
        <v/>
      </c>
      <c r="P18" s="67">
        <f>IF(AND(D18=1,ISNUMBER(J18),J18&gt;0),J18,"")</f>
        <v/>
      </c>
      <c r="Q18" s="67">
        <f>IF(AND(D18=1,ISNUMBER(K18),K18&gt;0),K18,"")</f>
        <v/>
      </c>
      <c r="R18" s="68">
        <f>IF(AND(ISNUMBER(F18),L$4&gt;=cfg_li_min_mid_samples),F18/L$5,"")</f>
        <v/>
      </c>
      <c r="S18" s="68">
        <f>IF(AND(ISNUMBER(G18),M$4&gt;=cfg_li_min_mid_samples),G18/M$5,"")</f>
        <v/>
      </c>
      <c r="T18" s="68">
        <f>IF(AND(ISNUMBER(H18),N$4&gt;=cfg_li_min_mid_samples),H18/N$5,"")</f>
        <v/>
      </c>
      <c r="U18" s="68">
        <f>IF(AND(ISNUMBER(I18),O$4&gt;=cfg_li_min_mid_samples),I18/O$5,"")</f>
        <v/>
      </c>
      <c r="V18" s="68">
        <f>IF(AND(ISNUMBER(J18),P$4&gt;=cfg_li_min_mid_samples),J18/P$5,"")</f>
        <v/>
      </c>
      <c r="W18" s="68">
        <f>IF(AND(ISNUMBER(K18),Q$4&gt;=cfg_li_min_mid_samples),K18/Q$5,"")</f>
        <v/>
      </c>
      <c r="X18">
        <f>COUNT(R18:W18)</f>
        <v/>
      </c>
      <c r="Y18" s="68">
        <f>IF(X18&gt;=cfg_li_min_peers,MEDIAN(R18:W18),"")</f>
        <v/>
      </c>
      <c r="Z18" s="68">
        <f>IF(AND(ISNUMBER(R18),ISNUMBER(Y18)),R18/Y18,"")</f>
        <v/>
      </c>
      <c r="AA18" s="68">
        <f>IF(AND(ISNUMBER(S18),ISNUMBER(Y18)),S18/Y18,"")</f>
        <v/>
      </c>
      <c r="AB18" s="68">
        <f>IF(AND(ISNUMBER(T18),ISNUMBER(Y18)),T18/Y18,"")</f>
        <v/>
      </c>
      <c r="AC18" s="68">
        <f>IF(AND(ISNUMBER(U18),ISNUMBER(Y18)),U18/Y18,"")</f>
        <v/>
      </c>
      <c r="AD18" s="68">
        <f>IF(AND(ISNUMBER(V18),ISNUMBER(Y18)),V18/Y18,"")</f>
        <v/>
      </c>
      <c r="AE18" s="68">
        <f>IF(AND(ISNUMBER(W18),ISNUMBER(Y18)),W18/Y18,"")</f>
        <v/>
      </c>
      <c r="AF18" s="68">
        <f>IF(AND(E18=1,ISNUMBER(Z18)),Z18,"")</f>
        <v/>
      </c>
      <c r="AG18" s="68">
        <f>IF(AND(E18=1,ISNUMBER(AA18)),AA18,"")</f>
        <v/>
      </c>
      <c r="AH18" s="68">
        <f>IF(AND(E18=1,ISNUMBER(AB18)),AB18,"")</f>
        <v/>
      </c>
      <c r="AI18" s="68">
        <f>IF(AND(E18=1,ISNUMBER(AC18)),AC18,"")</f>
        <v/>
      </c>
      <c r="AJ18" s="68">
        <f>IF(AND(E18=1,ISNUMBER(AD18)),AD18,"")</f>
        <v/>
      </c>
      <c r="AK18" s="68">
        <f>IF(AND(E18=1,ISNUMBER(AE18)),AE18,"")</f>
        <v/>
      </c>
    </row>
    <row r="19">
      <c r="A19" s="65">
        <f>Raw_Data_LI!A19</f>
        <v/>
      </c>
      <c r="B19" s="66">
        <f>Raw_Data_LI!B19</f>
        <v/>
      </c>
      <c r="C19" s="66">
        <f>Raw_Data_LI!C19</f>
        <v/>
      </c>
      <c r="D19">
        <f>IF(AND(B19&gt;=cfg_li_poa_mid_min,B19&lt;=cfg_li_poa_mid_max),1,0)</f>
        <v/>
      </c>
      <c r="E19">
        <f>IF(AND(B19&gt;=cfg_li_poa_low_min,B19&lt;=cfg_li_poa_low_max,C19&gt;=cfg_li_low_elev_min),1,0)</f>
        <v/>
      </c>
      <c r="F19" s="67">
        <f>IF(Raw_Data_LI!D19="","",Raw_Data_LI!D19/B19)</f>
        <v/>
      </c>
      <c r="G19" s="67">
        <f>IF(Raw_Data_LI!E19="","",Raw_Data_LI!E19/B19)</f>
        <v/>
      </c>
      <c r="H19" s="67">
        <f>IF(Raw_Data_LI!F19="","",Raw_Data_LI!F19/B19)</f>
        <v/>
      </c>
      <c r="I19" s="67">
        <f>IF(Raw_Data_LI!G19="","",Raw_Data_LI!G19/B19)</f>
        <v/>
      </c>
      <c r="J19" s="67">
        <f>IF(Raw_Data_LI!H19="","",Raw_Data_LI!H19/B19)</f>
        <v/>
      </c>
      <c r="K19" s="67">
        <f>IF(Raw_Data_LI!I19="","",Raw_Data_LI!I19/B19)</f>
        <v/>
      </c>
      <c r="L19" s="67">
        <f>IF(AND(D19=1,ISNUMBER(F19),F19&gt;0),F19,"")</f>
        <v/>
      </c>
      <c r="M19" s="67">
        <f>IF(AND(D19=1,ISNUMBER(G19),G19&gt;0),G19,"")</f>
        <v/>
      </c>
      <c r="N19" s="67">
        <f>IF(AND(D19=1,ISNUMBER(H19),H19&gt;0),H19,"")</f>
        <v/>
      </c>
      <c r="O19" s="67">
        <f>IF(AND(D19=1,ISNUMBER(I19),I19&gt;0),I19,"")</f>
        <v/>
      </c>
      <c r="P19" s="67">
        <f>IF(AND(D19=1,ISNUMBER(J19),J19&gt;0),J19,"")</f>
        <v/>
      </c>
      <c r="Q19" s="67">
        <f>IF(AND(D19=1,ISNUMBER(K19),K19&gt;0),K19,"")</f>
        <v/>
      </c>
      <c r="R19" s="68">
        <f>IF(AND(ISNUMBER(F19),L$4&gt;=cfg_li_min_mid_samples),F19/L$5,"")</f>
        <v/>
      </c>
      <c r="S19" s="68">
        <f>IF(AND(ISNUMBER(G19),M$4&gt;=cfg_li_min_mid_samples),G19/M$5,"")</f>
        <v/>
      </c>
      <c r="T19" s="68">
        <f>IF(AND(ISNUMBER(H19),N$4&gt;=cfg_li_min_mid_samples),H19/N$5,"")</f>
        <v/>
      </c>
      <c r="U19" s="68">
        <f>IF(AND(ISNUMBER(I19),O$4&gt;=cfg_li_min_mid_samples),I19/O$5,"")</f>
        <v/>
      </c>
      <c r="V19" s="68">
        <f>IF(AND(ISNUMBER(J19),P$4&gt;=cfg_li_min_mid_samples),J19/P$5,"")</f>
        <v/>
      </c>
      <c r="W19" s="68">
        <f>IF(AND(ISNUMBER(K19),Q$4&gt;=cfg_li_min_mid_samples),K19/Q$5,"")</f>
        <v/>
      </c>
      <c r="X19">
        <f>COUNT(R19:W19)</f>
        <v/>
      </c>
      <c r="Y19" s="68">
        <f>IF(X19&gt;=cfg_li_min_peers,MEDIAN(R19:W19),"")</f>
        <v/>
      </c>
      <c r="Z19" s="68">
        <f>IF(AND(ISNUMBER(R19),ISNUMBER(Y19)),R19/Y19,"")</f>
        <v/>
      </c>
      <c r="AA19" s="68">
        <f>IF(AND(ISNUMBER(S19),ISNUMBER(Y19)),S19/Y19,"")</f>
        <v/>
      </c>
      <c r="AB19" s="68">
        <f>IF(AND(ISNUMBER(T19),ISNUMBER(Y19)),T19/Y19,"")</f>
        <v/>
      </c>
      <c r="AC19" s="68">
        <f>IF(AND(ISNUMBER(U19),ISNUMBER(Y19)),U19/Y19,"")</f>
        <v/>
      </c>
      <c r="AD19" s="68">
        <f>IF(AND(ISNUMBER(V19),ISNUMBER(Y19)),V19/Y19,"")</f>
        <v/>
      </c>
      <c r="AE19" s="68">
        <f>IF(AND(ISNUMBER(W19),ISNUMBER(Y19)),W19/Y19,"")</f>
        <v/>
      </c>
      <c r="AF19" s="68">
        <f>IF(AND(E19=1,ISNUMBER(Z19)),Z19,"")</f>
        <v/>
      </c>
      <c r="AG19" s="68">
        <f>IF(AND(E19=1,ISNUMBER(AA19)),AA19,"")</f>
        <v/>
      </c>
      <c r="AH19" s="68">
        <f>IF(AND(E19=1,ISNUMBER(AB19)),AB19,"")</f>
        <v/>
      </c>
      <c r="AI19" s="68">
        <f>IF(AND(E19=1,ISNUMBER(AC19)),AC19,"")</f>
        <v/>
      </c>
      <c r="AJ19" s="68">
        <f>IF(AND(E19=1,ISNUMBER(AD19)),AD19,"")</f>
        <v/>
      </c>
      <c r="AK19" s="68">
        <f>IF(AND(E19=1,ISNUMBER(AE19)),AE19,"")</f>
        <v/>
      </c>
    </row>
    <row r="20">
      <c r="A20" s="65">
        <f>Raw_Data_LI!A20</f>
        <v/>
      </c>
      <c r="B20" s="66">
        <f>Raw_Data_LI!B20</f>
        <v/>
      </c>
      <c r="C20" s="66">
        <f>Raw_Data_LI!C20</f>
        <v/>
      </c>
      <c r="D20">
        <f>IF(AND(B20&gt;=cfg_li_poa_mid_min,B20&lt;=cfg_li_poa_mid_max),1,0)</f>
        <v/>
      </c>
      <c r="E20">
        <f>IF(AND(B20&gt;=cfg_li_poa_low_min,B20&lt;=cfg_li_poa_low_max,C20&gt;=cfg_li_low_elev_min),1,0)</f>
        <v/>
      </c>
      <c r="F20" s="67">
        <f>IF(Raw_Data_LI!D20="","",Raw_Data_LI!D20/B20)</f>
        <v/>
      </c>
      <c r="G20" s="67">
        <f>IF(Raw_Data_LI!E20="","",Raw_Data_LI!E20/B20)</f>
        <v/>
      </c>
      <c r="H20" s="67">
        <f>IF(Raw_Data_LI!F20="","",Raw_Data_LI!F20/B20)</f>
        <v/>
      </c>
      <c r="I20" s="67">
        <f>IF(Raw_Data_LI!G20="","",Raw_Data_LI!G20/B20)</f>
        <v/>
      </c>
      <c r="J20" s="67">
        <f>IF(Raw_Data_LI!H20="","",Raw_Data_LI!H20/B20)</f>
        <v/>
      </c>
      <c r="K20" s="67">
        <f>IF(Raw_Data_LI!I20="","",Raw_Data_LI!I20/B20)</f>
        <v/>
      </c>
      <c r="L20" s="67">
        <f>IF(AND(D20=1,ISNUMBER(F20),F20&gt;0),F20,"")</f>
        <v/>
      </c>
      <c r="M20" s="67">
        <f>IF(AND(D20=1,ISNUMBER(G20),G20&gt;0),G20,"")</f>
        <v/>
      </c>
      <c r="N20" s="67">
        <f>IF(AND(D20=1,ISNUMBER(H20),H20&gt;0),H20,"")</f>
        <v/>
      </c>
      <c r="O20" s="67">
        <f>IF(AND(D20=1,ISNUMBER(I20),I20&gt;0),I20,"")</f>
        <v/>
      </c>
      <c r="P20" s="67">
        <f>IF(AND(D20=1,ISNUMBER(J20),J20&gt;0),J20,"")</f>
        <v/>
      </c>
      <c r="Q20" s="67">
        <f>IF(AND(D20=1,ISNUMBER(K20),K20&gt;0),K20,"")</f>
        <v/>
      </c>
      <c r="R20" s="68">
        <f>IF(AND(ISNUMBER(F20),L$4&gt;=cfg_li_min_mid_samples),F20/L$5,"")</f>
        <v/>
      </c>
      <c r="S20" s="68">
        <f>IF(AND(ISNUMBER(G20),M$4&gt;=cfg_li_min_mid_samples),G20/M$5,"")</f>
        <v/>
      </c>
      <c r="T20" s="68">
        <f>IF(AND(ISNUMBER(H20),N$4&gt;=cfg_li_min_mid_samples),H20/N$5,"")</f>
        <v/>
      </c>
      <c r="U20" s="68">
        <f>IF(AND(ISNUMBER(I20),O$4&gt;=cfg_li_min_mid_samples),I20/O$5,"")</f>
        <v/>
      </c>
      <c r="V20" s="68">
        <f>IF(AND(ISNUMBER(J20),P$4&gt;=cfg_li_min_mid_samples),J20/P$5,"")</f>
        <v/>
      </c>
      <c r="W20" s="68">
        <f>IF(AND(ISNUMBER(K20),Q$4&gt;=cfg_li_min_mid_samples),K20/Q$5,"")</f>
        <v/>
      </c>
      <c r="X20">
        <f>COUNT(R20:W20)</f>
        <v/>
      </c>
      <c r="Y20" s="68">
        <f>IF(X20&gt;=cfg_li_min_peers,MEDIAN(R20:W20),"")</f>
        <v/>
      </c>
      <c r="Z20" s="68">
        <f>IF(AND(ISNUMBER(R20),ISNUMBER(Y20)),R20/Y20,"")</f>
        <v/>
      </c>
      <c r="AA20" s="68">
        <f>IF(AND(ISNUMBER(S20),ISNUMBER(Y20)),S20/Y20,"")</f>
        <v/>
      </c>
      <c r="AB20" s="68">
        <f>IF(AND(ISNUMBER(T20),ISNUMBER(Y20)),T20/Y20,"")</f>
        <v/>
      </c>
      <c r="AC20" s="68">
        <f>IF(AND(ISNUMBER(U20),ISNUMBER(Y20)),U20/Y20,"")</f>
        <v/>
      </c>
      <c r="AD20" s="68">
        <f>IF(AND(ISNUMBER(V20),ISNUMBER(Y20)),V20/Y20,"")</f>
        <v/>
      </c>
      <c r="AE20" s="68">
        <f>IF(AND(ISNUMBER(W20),ISNUMBER(Y20)),W20/Y20,"")</f>
        <v/>
      </c>
      <c r="AF20" s="68">
        <f>IF(AND(E20=1,ISNUMBER(Z20)),Z20,"")</f>
        <v/>
      </c>
      <c r="AG20" s="68">
        <f>IF(AND(E20=1,ISNUMBER(AA20)),AA20,"")</f>
        <v/>
      </c>
      <c r="AH20" s="68">
        <f>IF(AND(E20=1,ISNUMBER(AB20)),AB20,"")</f>
        <v/>
      </c>
      <c r="AI20" s="68">
        <f>IF(AND(E20=1,ISNUMBER(AC20)),AC20,"")</f>
        <v/>
      </c>
      <c r="AJ20" s="68">
        <f>IF(AND(E20=1,ISNUMBER(AD20)),AD20,"")</f>
        <v/>
      </c>
      <c r="AK20" s="68">
        <f>IF(AND(E20=1,ISNUMBER(AE20)),AE20,"")</f>
        <v/>
      </c>
    </row>
    <row r="21">
      <c r="A21" s="65">
        <f>Raw_Data_LI!A21</f>
        <v/>
      </c>
      <c r="B21" s="66">
        <f>Raw_Data_LI!B21</f>
        <v/>
      </c>
      <c r="C21" s="66">
        <f>Raw_Data_LI!C21</f>
        <v/>
      </c>
      <c r="D21">
        <f>IF(AND(B21&gt;=cfg_li_poa_mid_min,B21&lt;=cfg_li_poa_mid_max),1,0)</f>
        <v/>
      </c>
      <c r="E21">
        <f>IF(AND(B21&gt;=cfg_li_poa_low_min,B21&lt;=cfg_li_poa_low_max,C21&gt;=cfg_li_low_elev_min),1,0)</f>
        <v/>
      </c>
      <c r="F21" s="67">
        <f>IF(Raw_Data_LI!D21="","",Raw_Data_LI!D21/B21)</f>
        <v/>
      </c>
      <c r="G21" s="67">
        <f>IF(Raw_Data_LI!E21="","",Raw_Data_LI!E21/B21)</f>
        <v/>
      </c>
      <c r="H21" s="67">
        <f>IF(Raw_Data_LI!F21="","",Raw_Data_LI!F21/B21)</f>
        <v/>
      </c>
      <c r="I21" s="67">
        <f>IF(Raw_Data_LI!G21="","",Raw_Data_LI!G21/B21)</f>
        <v/>
      </c>
      <c r="J21" s="67">
        <f>IF(Raw_Data_LI!H21="","",Raw_Data_LI!H21/B21)</f>
        <v/>
      </c>
      <c r="K21" s="67">
        <f>IF(Raw_Data_LI!I21="","",Raw_Data_LI!I21/B21)</f>
        <v/>
      </c>
      <c r="L21" s="67">
        <f>IF(AND(D21=1,ISNUMBER(F21),F21&gt;0),F21,"")</f>
        <v/>
      </c>
      <c r="M21" s="67">
        <f>IF(AND(D21=1,ISNUMBER(G21),G21&gt;0),G21,"")</f>
        <v/>
      </c>
      <c r="N21" s="67">
        <f>IF(AND(D21=1,ISNUMBER(H21),H21&gt;0),H21,"")</f>
        <v/>
      </c>
      <c r="O21" s="67">
        <f>IF(AND(D21=1,ISNUMBER(I21),I21&gt;0),I21,"")</f>
        <v/>
      </c>
      <c r="P21" s="67">
        <f>IF(AND(D21=1,ISNUMBER(J21),J21&gt;0),J21,"")</f>
        <v/>
      </c>
      <c r="Q21" s="67">
        <f>IF(AND(D21=1,ISNUMBER(K21),K21&gt;0),K21,"")</f>
        <v/>
      </c>
      <c r="R21" s="68">
        <f>IF(AND(ISNUMBER(F21),L$4&gt;=cfg_li_min_mid_samples),F21/L$5,"")</f>
        <v/>
      </c>
      <c r="S21" s="68">
        <f>IF(AND(ISNUMBER(G21),M$4&gt;=cfg_li_min_mid_samples),G21/M$5,"")</f>
        <v/>
      </c>
      <c r="T21" s="68">
        <f>IF(AND(ISNUMBER(H21),N$4&gt;=cfg_li_min_mid_samples),H21/N$5,"")</f>
        <v/>
      </c>
      <c r="U21" s="68">
        <f>IF(AND(ISNUMBER(I21),O$4&gt;=cfg_li_min_mid_samples),I21/O$5,"")</f>
        <v/>
      </c>
      <c r="V21" s="68">
        <f>IF(AND(ISNUMBER(J21),P$4&gt;=cfg_li_min_mid_samples),J21/P$5,"")</f>
        <v/>
      </c>
      <c r="W21" s="68">
        <f>IF(AND(ISNUMBER(K21),Q$4&gt;=cfg_li_min_mid_samples),K21/Q$5,"")</f>
        <v/>
      </c>
      <c r="X21">
        <f>COUNT(R21:W21)</f>
        <v/>
      </c>
      <c r="Y21" s="68">
        <f>IF(X21&gt;=cfg_li_min_peers,MEDIAN(R21:W21),"")</f>
        <v/>
      </c>
      <c r="Z21" s="68">
        <f>IF(AND(ISNUMBER(R21),ISNUMBER(Y21)),R21/Y21,"")</f>
        <v/>
      </c>
      <c r="AA21" s="68">
        <f>IF(AND(ISNUMBER(S21),ISNUMBER(Y21)),S21/Y21,"")</f>
        <v/>
      </c>
      <c r="AB21" s="68">
        <f>IF(AND(ISNUMBER(T21),ISNUMBER(Y21)),T21/Y21,"")</f>
        <v/>
      </c>
      <c r="AC21" s="68">
        <f>IF(AND(ISNUMBER(U21),ISNUMBER(Y21)),U21/Y21,"")</f>
        <v/>
      </c>
      <c r="AD21" s="68">
        <f>IF(AND(ISNUMBER(V21),ISNUMBER(Y21)),V21/Y21,"")</f>
        <v/>
      </c>
      <c r="AE21" s="68">
        <f>IF(AND(ISNUMBER(W21),ISNUMBER(Y21)),W21/Y21,"")</f>
        <v/>
      </c>
      <c r="AF21" s="68">
        <f>IF(AND(E21=1,ISNUMBER(Z21)),Z21,"")</f>
        <v/>
      </c>
      <c r="AG21" s="68">
        <f>IF(AND(E21=1,ISNUMBER(AA21)),AA21,"")</f>
        <v/>
      </c>
      <c r="AH21" s="68">
        <f>IF(AND(E21=1,ISNUMBER(AB21)),AB21,"")</f>
        <v/>
      </c>
      <c r="AI21" s="68">
        <f>IF(AND(E21=1,ISNUMBER(AC21)),AC21,"")</f>
        <v/>
      </c>
      <c r="AJ21" s="68">
        <f>IF(AND(E21=1,ISNUMBER(AD21)),AD21,"")</f>
        <v/>
      </c>
      <c r="AK21" s="68">
        <f>IF(AND(E21=1,ISNUMBER(AE21)),AE21,"")</f>
        <v/>
      </c>
    </row>
    <row r="22">
      <c r="A22" s="65">
        <f>Raw_Data_LI!A22</f>
        <v/>
      </c>
      <c r="B22" s="66">
        <f>Raw_Data_LI!B22</f>
        <v/>
      </c>
      <c r="C22" s="66">
        <f>Raw_Data_LI!C22</f>
        <v/>
      </c>
      <c r="D22">
        <f>IF(AND(B22&gt;=cfg_li_poa_mid_min,B22&lt;=cfg_li_poa_mid_max),1,0)</f>
        <v/>
      </c>
      <c r="E22">
        <f>IF(AND(B22&gt;=cfg_li_poa_low_min,B22&lt;=cfg_li_poa_low_max,C22&gt;=cfg_li_low_elev_min),1,0)</f>
        <v/>
      </c>
      <c r="F22" s="67">
        <f>IF(Raw_Data_LI!D22="","",Raw_Data_LI!D22/B22)</f>
        <v/>
      </c>
      <c r="G22" s="67">
        <f>IF(Raw_Data_LI!E22="","",Raw_Data_LI!E22/B22)</f>
        <v/>
      </c>
      <c r="H22" s="67">
        <f>IF(Raw_Data_LI!F22="","",Raw_Data_LI!F22/B22)</f>
        <v/>
      </c>
      <c r="I22" s="67">
        <f>IF(Raw_Data_LI!G22="","",Raw_Data_LI!G22/B22)</f>
        <v/>
      </c>
      <c r="J22" s="67">
        <f>IF(Raw_Data_LI!H22="","",Raw_Data_LI!H22/B22)</f>
        <v/>
      </c>
      <c r="K22" s="67">
        <f>IF(Raw_Data_LI!I22="","",Raw_Data_LI!I22/B22)</f>
        <v/>
      </c>
      <c r="L22" s="67">
        <f>IF(AND(D22=1,ISNUMBER(F22),F22&gt;0),F22,"")</f>
        <v/>
      </c>
      <c r="M22" s="67">
        <f>IF(AND(D22=1,ISNUMBER(G22),G22&gt;0),G22,"")</f>
        <v/>
      </c>
      <c r="N22" s="67">
        <f>IF(AND(D22=1,ISNUMBER(H22),H22&gt;0),H22,"")</f>
        <v/>
      </c>
      <c r="O22" s="67">
        <f>IF(AND(D22=1,ISNUMBER(I22),I22&gt;0),I22,"")</f>
        <v/>
      </c>
      <c r="P22" s="67">
        <f>IF(AND(D22=1,ISNUMBER(J22),J22&gt;0),J22,"")</f>
        <v/>
      </c>
      <c r="Q22" s="67">
        <f>IF(AND(D22=1,ISNUMBER(K22),K22&gt;0),K22,"")</f>
        <v/>
      </c>
      <c r="R22" s="68">
        <f>IF(AND(ISNUMBER(F22),L$4&gt;=cfg_li_min_mid_samples),F22/L$5,"")</f>
        <v/>
      </c>
      <c r="S22" s="68">
        <f>IF(AND(ISNUMBER(G22),M$4&gt;=cfg_li_min_mid_samples),G22/M$5,"")</f>
        <v/>
      </c>
      <c r="T22" s="68">
        <f>IF(AND(ISNUMBER(H22),N$4&gt;=cfg_li_min_mid_samples),H22/N$5,"")</f>
        <v/>
      </c>
      <c r="U22" s="68">
        <f>IF(AND(ISNUMBER(I22),O$4&gt;=cfg_li_min_mid_samples),I22/O$5,"")</f>
        <v/>
      </c>
      <c r="V22" s="68">
        <f>IF(AND(ISNUMBER(J22),P$4&gt;=cfg_li_min_mid_samples),J22/P$5,"")</f>
        <v/>
      </c>
      <c r="W22" s="68">
        <f>IF(AND(ISNUMBER(K22),Q$4&gt;=cfg_li_min_mid_samples),K22/Q$5,"")</f>
        <v/>
      </c>
      <c r="X22">
        <f>COUNT(R22:W22)</f>
        <v/>
      </c>
      <c r="Y22" s="68">
        <f>IF(X22&gt;=cfg_li_min_peers,MEDIAN(R22:W22),"")</f>
        <v/>
      </c>
      <c r="Z22" s="68">
        <f>IF(AND(ISNUMBER(R22),ISNUMBER(Y22)),R22/Y22,"")</f>
        <v/>
      </c>
      <c r="AA22" s="68">
        <f>IF(AND(ISNUMBER(S22),ISNUMBER(Y22)),S22/Y22,"")</f>
        <v/>
      </c>
      <c r="AB22" s="68">
        <f>IF(AND(ISNUMBER(T22),ISNUMBER(Y22)),T22/Y22,"")</f>
        <v/>
      </c>
      <c r="AC22" s="68">
        <f>IF(AND(ISNUMBER(U22),ISNUMBER(Y22)),U22/Y22,"")</f>
        <v/>
      </c>
      <c r="AD22" s="68">
        <f>IF(AND(ISNUMBER(V22),ISNUMBER(Y22)),V22/Y22,"")</f>
        <v/>
      </c>
      <c r="AE22" s="68">
        <f>IF(AND(ISNUMBER(W22),ISNUMBER(Y22)),W22/Y22,"")</f>
        <v/>
      </c>
      <c r="AF22" s="68">
        <f>IF(AND(E22=1,ISNUMBER(Z22)),Z22,"")</f>
        <v/>
      </c>
      <c r="AG22" s="68">
        <f>IF(AND(E22=1,ISNUMBER(AA22)),AA22,"")</f>
        <v/>
      </c>
      <c r="AH22" s="68">
        <f>IF(AND(E22=1,ISNUMBER(AB22)),AB22,"")</f>
        <v/>
      </c>
      <c r="AI22" s="68">
        <f>IF(AND(E22=1,ISNUMBER(AC22)),AC22,"")</f>
        <v/>
      </c>
      <c r="AJ22" s="68">
        <f>IF(AND(E22=1,ISNUMBER(AD22)),AD22,"")</f>
        <v/>
      </c>
      <c r="AK22" s="68">
        <f>IF(AND(E22=1,ISNUMBER(AE22)),AE22,"")</f>
        <v/>
      </c>
    </row>
    <row r="23">
      <c r="A23" s="65">
        <f>Raw_Data_LI!A23</f>
        <v/>
      </c>
      <c r="B23" s="66">
        <f>Raw_Data_LI!B23</f>
        <v/>
      </c>
      <c r="C23" s="66">
        <f>Raw_Data_LI!C23</f>
        <v/>
      </c>
      <c r="D23">
        <f>IF(AND(B23&gt;=cfg_li_poa_mid_min,B23&lt;=cfg_li_poa_mid_max),1,0)</f>
        <v/>
      </c>
      <c r="E23">
        <f>IF(AND(B23&gt;=cfg_li_poa_low_min,B23&lt;=cfg_li_poa_low_max,C23&gt;=cfg_li_low_elev_min),1,0)</f>
        <v/>
      </c>
      <c r="F23" s="67">
        <f>IF(Raw_Data_LI!D23="","",Raw_Data_LI!D23/B23)</f>
        <v/>
      </c>
      <c r="G23" s="67">
        <f>IF(Raw_Data_LI!E23="","",Raw_Data_LI!E23/B23)</f>
        <v/>
      </c>
      <c r="H23" s="67">
        <f>IF(Raw_Data_LI!F23="","",Raw_Data_LI!F23/B23)</f>
        <v/>
      </c>
      <c r="I23" s="67">
        <f>IF(Raw_Data_LI!G23="","",Raw_Data_LI!G23/B23)</f>
        <v/>
      </c>
      <c r="J23" s="67">
        <f>IF(Raw_Data_LI!H23="","",Raw_Data_LI!H23/B23)</f>
        <v/>
      </c>
      <c r="K23" s="67">
        <f>IF(Raw_Data_LI!I23="","",Raw_Data_LI!I23/B23)</f>
        <v/>
      </c>
      <c r="L23" s="67">
        <f>IF(AND(D23=1,ISNUMBER(F23),F23&gt;0),F23,"")</f>
        <v/>
      </c>
      <c r="M23" s="67">
        <f>IF(AND(D23=1,ISNUMBER(G23),G23&gt;0),G23,"")</f>
        <v/>
      </c>
      <c r="N23" s="67">
        <f>IF(AND(D23=1,ISNUMBER(H23),H23&gt;0),H23,"")</f>
        <v/>
      </c>
      <c r="O23" s="67">
        <f>IF(AND(D23=1,ISNUMBER(I23),I23&gt;0),I23,"")</f>
        <v/>
      </c>
      <c r="P23" s="67">
        <f>IF(AND(D23=1,ISNUMBER(J23),J23&gt;0),J23,"")</f>
        <v/>
      </c>
      <c r="Q23" s="67">
        <f>IF(AND(D23=1,ISNUMBER(K23),K23&gt;0),K23,"")</f>
        <v/>
      </c>
      <c r="R23" s="68">
        <f>IF(AND(ISNUMBER(F23),L$4&gt;=cfg_li_min_mid_samples),F23/L$5,"")</f>
        <v/>
      </c>
      <c r="S23" s="68">
        <f>IF(AND(ISNUMBER(G23),M$4&gt;=cfg_li_min_mid_samples),G23/M$5,"")</f>
        <v/>
      </c>
      <c r="T23" s="68">
        <f>IF(AND(ISNUMBER(H23),N$4&gt;=cfg_li_min_mid_samples),H23/N$5,"")</f>
        <v/>
      </c>
      <c r="U23" s="68">
        <f>IF(AND(ISNUMBER(I23),O$4&gt;=cfg_li_min_mid_samples),I23/O$5,"")</f>
        <v/>
      </c>
      <c r="V23" s="68">
        <f>IF(AND(ISNUMBER(J23),P$4&gt;=cfg_li_min_mid_samples),J23/P$5,"")</f>
        <v/>
      </c>
      <c r="W23" s="68">
        <f>IF(AND(ISNUMBER(K23),Q$4&gt;=cfg_li_min_mid_samples),K23/Q$5,"")</f>
        <v/>
      </c>
      <c r="X23">
        <f>COUNT(R23:W23)</f>
        <v/>
      </c>
      <c r="Y23" s="68">
        <f>IF(X23&gt;=cfg_li_min_peers,MEDIAN(R23:W23),"")</f>
        <v/>
      </c>
      <c r="Z23" s="68">
        <f>IF(AND(ISNUMBER(R23),ISNUMBER(Y23)),R23/Y23,"")</f>
        <v/>
      </c>
      <c r="AA23" s="68">
        <f>IF(AND(ISNUMBER(S23),ISNUMBER(Y23)),S23/Y23,"")</f>
        <v/>
      </c>
      <c r="AB23" s="68">
        <f>IF(AND(ISNUMBER(T23),ISNUMBER(Y23)),T23/Y23,"")</f>
        <v/>
      </c>
      <c r="AC23" s="68">
        <f>IF(AND(ISNUMBER(U23),ISNUMBER(Y23)),U23/Y23,"")</f>
        <v/>
      </c>
      <c r="AD23" s="68">
        <f>IF(AND(ISNUMBER(V23),ISNUMBER(Y23)),V23/Y23,"")</f>
        <v/>
      </c>
      <c r="AE23" s="68">
        <f>IF(AND(ISNUMBER(W23),ISNUMBER(Y23)),W23/Y23,"")</f>
        <v/>
      </c>
      <c r="AF23" s="68">
        <f>IF(AND(E23=1,ISNUMBER(Z23)),Z23,"")</f>
        <v/>
      </c>
      <c r="AG23" s="68">
        <f>IF(AND(E23=1,ISNUMBER(AA23)),AA23,"")</f>
        <v/>
      </c>
      <c r="AH23" s="68">
        <f>IF(AND(E23=1,ISNUMBER(AB23)),AB23,"")</f>
        <v/>
      </c>
      <c r="AI23" s="68">
        <f>IF(AND(E23=1,ISNUMBER(AC23)),AC23,"")</f>
        <v/>
      </c>
      <c r="AJ23" s="68">
        <f>IF(AND(E23=1,ISNUMBER(AD23)),AD23,"")</f>
        <v/>
      </c>
      <c r="AK23" s="68">
        <f>IF(AND(E23=1,ISNUMBER(AE23)),AE23,"")</f>
        <v/>
      </c>
    </row>
    <row r="24">
      <c r="A24" s="65">
        <f>Raw_Data_LI!A24</f>
        <v/>
      </c>
      <c r="B24" s="66">
        <f>Raw_Data_LI!B24</f>
        <v/>
      </c>
      <c r="C24" s="66">
        <f>Raw_Data_LI!C24</f>
        <v/>
      </c>
      <c r="D24">
        <f>IF(AND(B24&gt;=cfg_li_poa_mid_min,B24&lt;=cfg_li_poa_mid_max),1,0)</f>
        <v/>
      </c>
      <c r="E24">
        <f>IF(AND(B24&gt;=cfg_li_poa_low_min,B24&lt;=cfg_li_poa_low_max,C24&gt;=cfg_li_low_elev_min),1,0)</f>
        <v/>
      </c>
      <c r="F24" s="67">
        <f>IF(Raw_Data_LI!D24="","",Raw_Data_LI!D24/B24)</f>
        <v/>
      </c>
      <c r="G24" s="67">
        <f>IF(Raw_Data_LI!E24="","",Raw_Data_LI!E24/B24)</f>
        <v/>
      </c>
      <c r="H24" s="67">
        <f>IF(Raw_Data_LI!F24="","",Raw_Data_LI!F24/B24)</f>
        <v/>
      </c>
      <c r="I24" s="67">
        <f>IF(Raw_Data_LI!G24="","",Raw_Data_LI!G24/B24)</f>
        <v/>
      </c>
      <c r="J24" s="67">
        <f>IF(Raw_Data_LI!H24="","",Raw_Data_LI!H24/B24)</f>
        <v/>
      </c>
      <c r="K24" s="67">
        <f>IF(Raw_Data_LI!I24="","",Raw_Data_LI!I24/B24)</f>
        <v/>
      </c>
      <c r="L24" s="67">
        <f>IF(AND(D24=1,ISNUMBER(F24),F24&gt;0),F24,"")</f>
        <v/>
      </c>
      <c r="M24" s="67">
        <f>IF(AND(D24=1,ISNUMBER(G24),G24&gt;0),G24,"")</f>
        <v/>
      </c>
      <c r="N24" s="67">
        <f>IF(AND(D24=1,ISNUMBER(H24),H24&gt;0),H24,"")</f>
        <v/>
      </c>
      <c r="O24" s="67">
        <f>IF(AND(D24=1,ISNUMBER(I24),I24&gt;0),I24,"")</f>
        <v/>
      </c>
      <c r="P24" s="67">
        <f>IF(AND(D24=1,ISNUMBER(J24),J24&gt;0),J24,"")</f>
        <v/>
      </c>
      <c r="Q24" s="67">
        <f>IF(AND(D24=1,ISNUMBER(K24),K24&gt;0),K24,"")</f>
        <v/>
      </c>
      <c r="R24" s="68">
        <f>IF(AND(ISNUMBER(F24),L$4&gt;=cfg_li_min_mid_samples),F24/L$5,"")</f>
        <v/>
      </c>
      <c r="S24" s="68">
        <f>IF(AND(ISNUMBER(G24),M$4&gt;=cfg_li_min_mid_samples),G24/M$5,"")</f>
        <v/>
      </c>
      <c r="T24" s="68">
        <f>IF(AND(ISNUMBER(H24),N$4&gt;=cfg_li_min_mid_samples),H24/N$5,"")</f>
        <v/>
      </c>
      <c r="U24" s="68">
        <f>IF(AND(ISNUMBER(I24),O$4&gt;=cfg_li_min_mid_samples),I24/O$5,"")</f>
        <v/>
      </c>
      <c r="V24" s="68">
        <f>IF(AND(ISNUMBER(J24),P$4&gt;=cfg_li_min_mid_samples),J24/P$5,"")</f>
        <v/>
      </c>
      <c r="W24" s="68">
        <f>IF(AND(ISNUMBER(K24),Q$4&gt;=cfg_li_min_mid_samples),K24/Q$5,"")</f>
        <v/>
      </c>
      <c r="X24">
        <f>COUNT(R24:W24)</f>
        <v/>
      </c>
      <c r="Y24" s="68">
        <f>IF(X24&gt;=cfg_li_min_peers,MEDIAN(R24:W24),"")</f>
        <v/>
      </c>
      <c r="Z24" s="68">
        <f>IF(AND(ISNUMBER(R24),ISNUMBER(Y24)),R24/Y24,"")</f>
        <v/>
      </c>
      <c r="AA24" s="68">
        <f>IF(AND(ISNUMBER(S24),ISNUMBER(Y24)),S24/Y24,"")</f>
        <v/>
      </c>
      <c r="AB24" s="68">
        <f>IF(AND(ISNUMBER(T24),ISNUMBER(Y24)),T24/Y24,"")</f>
        <v/>
      </c>
      <c r="AC24" s="68">
        <f>IF(AND(ISNUMBER(U24),ISNUMBER(Y24)),U24/Y24,"")</f>
        <v/>
      </c>
      <c r="AD24" s="68">
        <f>IF(AND(ISNUMBER(V24),ISNUMBER(Y24)),V24/Y24,"")</f>
        <v/>
      </c>
      <c r="AE24" s="68">
        <f>IF(AND(ISNUMBER(W24),ISNUMBER(Y24)),W24/Y24,"")</f>
        <v/>
      </c>
      <c r="AF24" s="68">
        <f>IF(AND(E24=1,ISNUMBER(Z24)),Z24,"")</f>
        <v/>
      </c>
      <c r="AG24" s="68">
        <f>IF(AND(E24=1,ISNUMBER(AA24)),AA24,"")</f>
        <v/>
      </c>
      <c r="AH24" s="68">
        <f>IF(AND(E24=1,ISNUMBER(AB24)),AB24,"")</f>
        <v/>
      </c>
      <c r="AI24" s="68">
        <f>IF(AND(E24=1,ISNUMBER(AC24)),AC24,"")</f>
        <v/>
      </c>
      <c r="AJ24" s="68">
        <f>IF(AND(E24=1,ISNUMBER(AD24)),AD24,"")</f>
        <v/>
      </c>
      <c r="AK24" s="68">
        <f>IF(AND(E24=1,ISNUMBER(AE24)),AE24,"")</f>
        <v/>
      </c>
    </row>
    <row r="25">
      <c r="A25" s="65">
        <f>Raw_Data_LI!A25</f>
        <v/>
      </c>
      <c r="B25" s="66">
        <f>Raw_Data_LI!B25</f>
        <v/>
      </c>
      <c r="C25" s="66">
        <f>Raw_Data_LI!C25</f>
        <v/>
      </c>
      <c r="D25">
        <f>IF(AND(B25&gt;=cfg_li_poa_mid_min,B25&lt;=cfg_li_poa_mid_max),1,0)</f>
        <v/>
      </c>
      <c r="E25">
        <f>IF(AND(B25&gt;=cfg_li_poa_low_min,B25&lt;=cfg_li_poa_low_max,C25&gt;=cfg_li_low_elev_min),1,0)</f>
        <v/>
      </c>
      <c r="F25" s="67">
        <f>IF(Raw_Data_LI!D25="","",Raw_Data_LI!D25/B25)</f>
        <v/>
      </c>
      <c r="G25" s="67">
        <f>IF(Raw_Data_LI!E25="","",Raw_Data_LI!E25/B25)</f>
        <v/>
      </c>
      <c r="H25" s="67">
        <f>IF(Raw_Data_LI!F25="","",Raw_Data_LI!F25/B25)</f>
        <v/>
      </c>
      <c r="I25" s="67">
        <f>IF(Raw_Data_LI!G25="","",Raw_Data_LI!G25/B25)</f>
        <v/>
      </c>
      <c r="J25" s="67">
        <f>IF(Raw_Data_LI!H25="","",Raw_Data_LI!H25/B25)</f>
        <v/>
      </c>
      <c r="K25" s="67">
        <f>IF(Raw_Data_LI!I25="","",Raw_Data_LI!I25/B25)</f>
        <v/>
      </c>
      <c r="L25" s="67">
        <f>IF(AND(D25=1,ISNUMBER(F25),F25&gt;0),F25,"")</f>
        <v/>
      </c>
      <c r="M25" s="67">
        <f>IF(AND(D25=1,ISNUMBER(G25),G25&gt;0),G25,"")</f>
        <v/>
      </c>
      <c r="N25" s="67">
        <f>IF(AND(D25=1,ISNUMBER(H25),H25&gt;0),H25,"")</f>
        <v/>
      </c>
      <c r="O25" s="67">
        <f>IF(AND(D25=1,ISNUMBER(I25),I25&gt;0),I25,"")</f>
        <v/>
      </c>
      <c r="P25" s="67">
        <f>IF(AND(D25=1,ISNUMBER(J25),J25&gt;0),J25,"")</f>
        <v/>
      </c>
      <c r="Q25" s="67">
        <f>IF(AND(D25=1,ISNUMBER(K25),K25&gt;0),K25,"")</f>
        <v/>
      </c>
      <c r="R25" s="68">
        <f>IF(AND(ISNUMBER(F25),L$4&gt;=cfg_li_min_mid_samples),F25/L$5,"")</f>
        <v/>
      </c>
      <c r="S25" s="68">
        <f>IF(AND(ISNUMBER(G25),M$4&gt;=cfg_li_min_mid_samples),G25/M$5,"")</f>
        <v/>
      </c>
      <c r="T25" s="68">
        <f>IF(AND(ISNUMBER(H25),N$4&gt;=cfg_li_min_mid_samples),H25/N$5,"")</f>
        <v/>
      </c>
      <c r="U25" s="68">
        <f>IF(AND(ISNUMBER(I25),O$4&gt;=cfg_li_min_mid_samples),I25/O$5,"")</f>
        <v/>
      </c>
      <c r="V25" s="68">
        <f>IF(AND(ISNUMBER(J25),P$4&gt;=cfg_li_min_mid_samples),J25/P$5,"")</f>
        <v/>
      </c>
      <c r="W25" s="68">
        <f>IF(AND(ISNUMBER(K25),Q$4&gt;=cfg_li_min_mid_samples),K25/Q$5,"")</f>
        <v/>
      </c>
      <c r="X25">
        <f>COUNT(R25:W25)</f>
        <v/>
      </c>
      <c r="Y25" s="68">
        <f>IF(X25&gt;=cfg_li_min_peers,MEDIAN(R25:W25),"")</f>
        <v/>
      </c>
      <c r="Z25" s="68">
        <f>IF(AND(ISNUMBER(R25),ISNUMBER(Y25)),R25/Y25,"")</f>
        <v/>
      </c>
      <c r="AA25" s="68">
        <f>IF(AND(ISNUMBER(S25),ISNUMBER(Y25)),S25/Y25,"")</f>
        <v/>
      </c>
      <c r="AB25" s="68">
        <f>IF(AND(ISNUMBER(T25),ISNUMBER(Y25)),T25/Y25,"")</f>
        <v/>
      </c>
      <c r="AC25" s="68">
        <f>IF(AND(ISNUMBER(U25),ISNUMBER(Y25)),U25/Y25,"")</f>
        <v/>
      </c>
      <c r="AD25" s="68">
        <f>IF(AND(ISNUMBER(V25),ISNUMBER(Y25)),V25/Y25,"")</f>
        <v/>
      </c>
      <c r="AE25" s="68">
        <f>IF(AND(ISNUMBER(W25),ISNUMBER(Y25)),W25/Y25,"")</f>
        <v/>
      </c>
      <c r="AF25" s="68">
        <f>IF(AND(E25=1,ISNUMBER(Z25)),Z25,"")</f>
        <v/>
      </c>
      <c r="AG25" s="68">
        <f>IF(AND(E25=1,ISNUMBER(AA25)),AA25,"")</f>
        <v/>
      </c>
      <c r="AH25" s="68">
        <f>IF(AND(E25=1,ISNUMBER(AB25)),AB25,"")</f>
        <v/>
      </c>
      <c r="AI25" s="68">
        <f>IF(AND(E25=1,ISNUMBER(AC25)),AC25,"")</f>
        <v/>
      </c>
      <c r="AJ25" s="68">
        <f>IF(AND(E25=1,ISNUMBER(AD25)),AD25,"")</f>
        <v/>
      </c>
      <c r="AK25" s="68">
        <f>IF(AND(E25=1,ISNUMBER(AE25)),AE25,"")</f>
        <v/>
      </c>
    </row>
    <row r="26">
      <c r="A26" s="65">
        <f>Raw_Data_LI!A26</f>
        <v/>
      </c>
      <c r="B26" s="66">
        <f>Raw_Data_LI!B26</f>
        <v/>
      </c>
      <c r="C26" s="66">
        <f>Raw_Data_LI!C26</f>
        <v/>
      </c>
      <c r="D26">
        <f>IF(AND(B26&gt;=cfg_li_poa_mid_min,B26&lt;=cfg_li_poa_mid_max),1,0)</f>
        <v/>
      </c>
      <c r="E26">
        <f>IF(AND(B26&gt;=cfg_li_poa_low_min,B26&lt;=cfg_li_poa_low_max,C26&gt;=cfg_li_low_elev_min),1,0)</f>
        <v/>
      </c>
      <c r="F26" s="67">
        <f>IF(Raw_Data_LI!D26="","",Raw_Data_LI!D26/B26)</f>
        <v/>
      </c>
      <c r="G26" s="67">
        <f>IF(Raw_Data_LI!E26="","",Raw_Data_LI!E26/B26)</f>
        <v/>
      </c>
      <c r="H26" s="67">
        <f>IF(Raw_Data_LI!F26="","",Raw_Data_LI!F26/B26)</f>
        <v/>
      </c>
      <c r="I26" s="67">
        <f>IF(Raw_Data_LI!G26="","",Raw_Data_LI!G26/B26)</f>
        <v/>
      </c>
      <c r="J26" s="67">
        <f>IF(Raw_Data_LI!H26="","",Raw_Data_LI!H26/B26)</f>
        <v/>
      </c>
      <c r="K26" s="67">
        <f>IF(Raw_Data_LI!I26="","",Raw_Data_LI!I26/B26)</f>
        <v/>
      </c>
      <c r="L26" s="67">
        <f>IF(AND(D26=1,ISNUMBER(F26),F26&gt;0),F26,"")</f>
        <v/>
      </c>
      <c r="M26" s="67">
        <f>IF(AND(D26=1,ISNUMBER(G26),G26&gt;0),G26,"")</f>
        <v/>
      </c>
      <c r="N26" s="67">
        <f>IF(AND(D26=1,ISNUMBER(H26),H26&gt;0),H26,"")</f>
        <v/>
      </c>
      <c r="O26" s="67">
        <f>IF(AND(D26=1,ISNUMBER(I26),I26&gt;0),I26,"")</f>
        <v/>
      </c>
      <c r="P26" s="67">
        <f>IF(AND(D26=1,ISNUMBER(J26),J26&gt;0),J26,"")</f>
        <v/>
      </c>
      <c r="Q26" s="67">
        <f>IF(AND(D26=1,ISNUMBER(K26),K26&gt;0),K26,"")</f>
        <v/>
      </c>
      <c r="R26" s="68">
        <f>IF(AND(ISNUMBER(F26),L$4&gt;=cfg_li_min_mid_samples),F26/L$5,"")</f>
        <v/>
      </c>
      <c r="S26" s="68">
        <f>IF(AND(ISNUMBER(G26),M$4&gt;=cfg_li_min_mid_samples),G26/M$5,"")</f>
        <v/>
      </c>
      <c r="T26" s="68">
        <f>IF(AND(ISNUMBER(H26),N$4&gt;=cfg_li_min_mid_samples),H26/N$5,"")</f>
        <v/>
      </c>
      <c r="U26" s="68">
        <f>IF(AND(ISNUMBER(I26),O$4&gt;=cfg_li_min_mid_samples),I26/O$5,"")</f>
        <v/>
      </c>
      <c r="V26" s="68">
        <f>IF(AND(ISNUMBER(J26),P$4&gt;=cfg_li_min_mid_samples),J26/P$5,"")</f>
        <v/>
      </c>
      <c r="W26" s="68">
        <f>IF(AND(ISNUMBER(K26),Q$4&gt;=cfg_li_min_mid_samples),K26/Q$5,"")</f>
        <v/>
      </c>
      <c r="X26">
        <f>COUNT(R26:W26)</f>
        <v/>
      </c>
      <c r="Y26" s="68">
        <f>IF(X26&gt;=cfg_li_min_peers,MEDIAN(R26:W26),"")</f>
        <v/>
      </c>
      <c r="Z26" s="68">
        <f>IF(AND(ISNUMBER(R26),ISNUMBER(Y26)),R26/Y26,"")</f>
        <v/>
      </c>
      <c r="AA26" s="68">
        <f>IF(AND(ISNUMBER(S26),ISNUMBER(Y26)),S26/Y26,"")</f>
        <v/>
      </c>
      <c r="AB26" s="68">
        <f>IF(AND(ISNUMBER(T26),ISNUMBER(Y26)),T26/Y26,"")</f>
        <v/>
      </c>
      <c r="AC26" s="68">
        <f>IF(AND(ISNUMBER(U26),ISNUMBER(Y26)),U26/Y26,"")</f>
        <v/>
      </c>
      <c r="AD26" s="68">
        <f>IF(AND(ISNUMBER(V26),ISNUMBER(Y26)),V26/Y26,"")</f>
        <v/>
      </c>
      <c r="AE26" s="68">
        <f>IF(AND(ISNUMBER(W26),ISNUMBER(Y26)),W26/Y26,"")</f>
        <v/>
      </c>
      <c r="AF26" s="68">
        <f>IF(AND(E26=1,ISNUMBER(Z26)),Z26,"")</f>
        <v/>
      </c>
      <c r="AG26" s="68">
        <f>IF(AND(E26=1,ISNUMBER(AA26)),AA26,"")</f>
        <v/>
      </c>
      <c r="AH26" s="68">
        <f>IF(AND(E26=1,ISNUMBER(AB26)),AB26,"")</f>
        <v/>
      </c>
      <c r="AI26" s="68">
        <f>IF(AND(E26=1,ISNUMBER(AC26)),AC26,"")</f>
        <v/>
      </c>
      <c r="AJ26" s="68">
        <f>IF(AND(E26=1,ISNUMBER(AD26)),AD26,"")</f>
        <v/>
      </c>
      <c r="AK26" s="68">
        <f>IF(AND(E26=1,ISNUMBER(AE26)),AE26,"")</f>
        <v/>
      </c>
    </row>
    <row r="27">
      <c r="A27" s="65">
        <f>Raw_Data_LI!A27</f>
        <v/>
      </c>
      <c r="B27" s="66">
        <f>Raw_Data_LI!B27</f>
        <v/>
      </c>
      <c r="C27" s="66">
        <f>Raw_Data_LI!C27</f>
        <v/>
      </c>
      <c r="D27">
        <f>IF(AND(B27&gt;=cfg_li_poa_mid_min,B27&lt;=cfg_li_poa_mid_max),1,0)</f>
        <v/>
      </c>
      <c r="E27">
        <f>IF(AND(B27&gt;=cfg_li_poa_low_min,B27&lt;=cfg_li_poa_low_max,C27&gt;=cfg_li_low_elev_min),1,0)</f>
        <v/>
      </c>
      <c r="F27" s="67">
        <f>IF(Raw_Data_LI!D27="","",Raw_Data_LI!D27/B27)</f>
        <v/>
      </c>
      <c r="G27" s="67">
        <f>IF(Raw_Data_LI!E27="","",Raw_Data_LI!E27/B27)</f>
        <v/>
      </c>
      <c r="H27" s="67">
        <f>IF(Raw_Data_LI!F27="","",Raw_Data_LI!F27/B27)</f>
        <v/>
      </c>
      <c r="I27" s="67">
        <f>IF(Raw_Data_LI!G27="","",Raw_Data_LI!G27/B27)</f>
        <v/>
      </c>
      <c r="J27" s="67">
        <f>IF(Raw_Data_LI!H27="","",Raw_Data_LI!H27/B27)</f>
        <v/>
      </c>
      <c r="K27" s="67">
        <f>IF(Raw_Data_LI!I27="","",Raw_Data_LI!I27/B27)</f>
        <v/>
      </c>
      <c r="L27" s="67">
        <f>IF(AND(D27=1,ISNUMBER(F27),F27&gt;0),F27,"")</f>
        <v/>
      </c>
      <c r="M27" s="67">
        <f>IF(AND(D27=1,ISNUMBER(G27),G27&gt;0),G27,"")</f>
        <v/>
      </c>
      <c r="N27" s="67">
        <f>IF(AND(D27=1,ISNUMBER(H27),H27&gt;0),H27,"")</f>
        <v/>
      </c>
      <c r="O27" s="67">
        <f>IF(AND(D27=1,ISNUMBER(I27),I27&gt;0),I27,"")</f>
        <v/>
      </c>
      <c r="P27" s="67">
        <f>IF(AND(D27=1,ISNUMBER(J27),J27&gt;0),J27,"")</f>
        <v/>
      </c>
      <c r="Q27" s="67">
        <f>IF(AND(D27=1,ISNUMBER(K27),K27&gt;0),K27,"")</f>
        <v/>
      </c>
      <c r="R27" s="68">
        <f>IF(AND(ISNUMBER(F27),L$4&gt;=cfg_li_min_mid_samples),F27/L$5,"")</f>
        <v/>
      </c>
      <c r="S27" s="68">
        <f>IF(AND(ISNUMBER(G27),M$4&gt;=cfg_li_min_mid_samples),G27/M$5,"")</f>
        <v/>
      </c>
      <c r="T27" s="68">
        <f>IF(AND(ISNUMBER(H27),N$4&gt;=cfg_li_min_mid_samples),H27/N$5,"")</f>
        <v/>
      </c>
      <c r="U27" s="68">
        <f>IF(AND(ISNUMBER(I27),O$4&gt;=cfg_li_min_mid_samples),I27/O$5,"")</f>
        <v/>
      </c>
      <c r="V27" s="68">
        <f>IF(AND(ISNUMBER(J27),P$4&gt;=cfg_li_min_mid_samples),J27/P$5,"")</f>
        <v/>
      </c>
      <c r="W27" s="68">
        <f>IF(AND(ISNUMBER(K27),Q$4&gt;=cfg_li_min_mid_samples),K27/Q$5,"")</f>
        <v/>
      </c>
      <c r="X27">
        <f>COUNT(R27:W27)</f>
        <v/>
      </c>
      <c r="Y27" s="68">
        <f>IF(X27&gt;=cfg_li_min_peers,MEDIAN(R27:W27),"")</f>
        <v/>
      </c>
      <c r="Z27" s="68">
        <f>IF(AND(ISNUMBER(R27),ISNUMBER(Y27)),R27/Y27,"")</f>
        <v/>
      </c>
      <c r="AA27" s="68">
        <f>IF(AND(ISNUMBER(S27),ISNUMBER(Y27)),S27/Y27,"")</f>
        <v/>
      </c>
      <c r="AB27" s="68">
        <f>IF(AND(ISNUMBER(T27),ISNUMBER(Y27)),T27/Y27,"")</f>
        <v/>
      </c>
      <c r="AC27" s="68">
        <f>IF(AND(ISNUMBER(U27),ISNUMBER(Y27)),U27/Y27,"")</f>
        <v/>
      </c>
      <c r="AD27" s="68">
        <f>IF(AND(ISNUMBER(V27),ISNUMBER(Y27)),V27/Y27,"")</f>
        <v/>
      </c>
      <c r="AE27" s="68">
        <f>IF(AND(ISNUMBER(W27),ISNUMBER(Y27)),W27/Y27,"")</f>
        <v/>
      </c>
      <c r="AF27" s="68">
        <f>IF(AND(E27=1,ISNUMBER(Z27)),Z27,"")</f>
        <v/>
      </c>
      <c r="AG27" s="68">
        <f>IF(AND(E27=1,ISNUMBER(AA27)),AA27,"")</f>
        <v/>
      </c>
      <c r="AH27" s="68">
        <f>IF(AND(E27=1,ISNUMBER(AB27)),AB27,"")</f>
        <v/>
      </c>
      <c r="AI27" s="68">
        <f>IF(AND(E27=1,ISNUMBER(AC27)),AC27,"")</f>
        <v/>
      </c>
      <c r="AJ27" s="68">
        <f>IF(AND(E27=1,ISNUMBER(AD27)),AD27,"")</f>
        <v/>
      </c>
      <c r="AK27" s="68">
        <f>IF(AND(E27=1,ISNUMBER(AE27)),AE27,"")</f>
        <v/>
      </c>
    </row>
    <row r="28">
      <c r="A28" s="65">
        <f>Raw_Data_LI!A28</f>
        <v/>
      </c>
      <c r="B28" s="66">
        <f>Raw_Data_LI!B28</f>
        <v/>
      </c>
      <c r="C28" s="66">
        <f>Raw_Data_LI!C28</f>
        <v/>
      </c>
      <c r="D28">
        <f>IF(AND(B28&gt;=cfg_li_poa_mid_min,B28&lt;=cfg_li_poa_mid_max),1,0)</f>
        <v/>
      </c>
      <c r="E28">
        <f>IF(AND(B28&gt;=cfg_li_poa_low_min,B28&lt;=cfg_li_poa_low_max,C28&gt;=cfg_li_low_elev_min),1,0)</f>
        <v/>
      </c>
      <c r="F28" s="67">
        <f>IF(Raw_Data_LI!D28="","",Raw_Data_LI!D28/B28)</f>
        <v/>
      </c>
      <c r="G28" s="67">
        <f>IF(Raw_Data_LI!E28="","",Raw_Data_LI!E28/B28)</f>
        <v/>
      </c>
      <c r="H28" s="67">
        <f>IF(Raw_Data_LI!F28="","",Raw_Data_LI!F28/B28)</f>
        <v/>
      </c>
      <c r="I28" s="67">
        <f>IF(Raw_Data_LI!G28="","",Raw_Data_LI!G28/B28)</f>
        <v/>
      </c>
      <c r="J28" s="67">
        <f>IF(Raw_Data_LI!H28="","",Raw_Data_LI!H28/B28)</f>
        <v/>
      </c>
      <c r="K28" s="67">
        <f>IF(Raw_Data_LI!I28="","",Raw_Data_LI!I28/B28)</f>
        <v/>
      </c>
      <c r="L28" s="67">
        <f>IF(AND(D28=1,ISNUMBER(F28),F28&gt;0),F28,"")</f>
        <v/>
      </c>
      <c r="M28" s="67">
        <f>IF(AND(D28=1,ISNUMBER(G28),G28&gt;0),G28,"")</f>
        <v/>
      </c>
      <c r="N28" s="67">
        <f>IF(AND(D28=1,ISNUMBER(H28),H28&gt;0),H28,"")</f>
        <v/>
      </c>
      <c r="O28" s="67">
        <f>IF(AND(D28=1,ISNUMBER(I28),I28&gt;0),I28,"")</f>
        <v/>
      </c>
      <c r="P28" s="67">
        <f>IF(AND(D28=1,ISNUMBER(J28),J28&gt;0),J28,"")</f>
        <v/>
      </c>
      <c r="Q28" s="67">
        <f>IF(AND(D28=1,ISNUMBER(K28),K28&gt;0),K28,"")</f>
        <v/>
      </c>
      <c r="R28" s="68">
        <f>IF(AND(ISNUMBER(F28),L$4&gt;=cfg_li_min_mid_samples),F28/L$5,"")</f>
        <v/>
      </c>
      <c r="S28" s="68">
        <f>IF(AND(ISNUMBER(G28),M$4&gt;=cfg_li_min_mid_samples),G28/M$5,"")</f>
        <v/>
      </c>
      <c r="T28" s="68">
        <f>IF(AND(ISNUMBER(H28),N$4&gt;=cfg_li_min_mid_samples),H28/N$5,"")</f>
        <v/>
      </c>
      <c r="U28" s="68">
        <f>IF(AND(ISNUMBER(I28),O$4&gt;=cfg_li_min_mid_samples),I28/O$5,"")</f>
        <v/>
      </c>
      <c r="V28" s="68">
        <f>IF(AND(ISNUMBER(J28),P$4&gt;=cfg_li_min_mid_samples),J28/P$5,"")</f>
        <v/>
      </c>
      <c r="W28" s="68">
        <f>IF(AND(ISNUMBER(K28),Q$4&gt;=cfg_li_min_mid_samples),K28/Q$5,"")</f>
        <v/>
      </c>
      <c r="X28">
        <f>COUNT(R28:W28)</f>
        <v/>
      </c>
      <c r="Y28" s="68">
        <f>IF(X28&gt;=cfg_li_min_peers,MEDIAN(R28:W28),"")</f>
        <v/>
      </c>
      <c r="Z28" s="68">
        <f>IF(AND(ISNUMBER(R28),ISNUMBER(Y28)),R28/Y28,"")</f>
        <v/>
      </c>
      <c r="AA28" s="68">
        <f>IF(AND(ISNUMBER(S28),ISNUMBER(Y28)),S28/Y28,"")</f>
        <v/>
      </c>
      <c r="AB28" s="68">
        <f>IF(AND(ISNUMBER(T28),ISNUMBER(Y28)),T28/Y28,"")</f>
        <v/>
      </c>
      <c r="AC28" s="68">
        <f>IF(AND(ISNUMBER(U28),ISNUMBER(Y28)),U28/Y28,"")</f>
        <v/>
      </c>
      <c r="AD28" s="68">
        <f>IF(AND(ISNUMBER(V28),ISNUMBER(Y28)),V28/Y28,"")</f>
        <v/>
      </c>
      <c r="AE28" s="68">
        <f>IF(AND(ISNUMBER(W28),ISNUMBER(Y28)),W28/Y28,"")</f>
        <v/>
      </c>
      <c r="AF28" s="68">
        <f>IF(AND(E28=1,ISNUMBER(Z28)),Z28,"")</f>
        <v/>
      </c>
      <c r="AG28" s="68">
        <f>IF(AND(E28=1,ISNUMBER(AA28)),AA28,"")</f>
        <v/>
      </c>
      <c r="AH28" s="68">
        <f>IF(AND(E28=1,ISNUMBER(AB28)),AB28,"")</f>
        <v/>
      </c>
      <c r="AI28" s="68">
        <f>IF(AND(E28=1,ISNUMBER(AC28)),AC28,"")</f>
        <v/>
      </c>
      <c r="AJ28" s="68">
        <f>IF(AND(E28=1,ISNUMBER(AD28)),AD28,"")</f>
        <v/>
      </c>
      <c r="AK28" s="68">
        <f>IF(AND(E28=1,ISNUMBER(AE28)),AE28,"")</f>
        <v/>
      </c>
    </row>
    <row r="29">
      <c r="A29" s="65">
        <f>Raw_Data_LI!A29</f>
        <v/>
      </c>
      <c r="B29" s="66">
        <f>Raw_Data_LI!B29</f>
        <v/>
      </c>
      <c r="C29" s="66">
        <f>Raw_Data_LI!C29</f>
        <v/>
      </c>
      <c r="D29">
        <f>IF(AND(B29&gt;=cfg_li_poa_mid_min,B29&lt;=cfg_li_poa_mid_max),1,0)</f>
        <v/>
      </c>
      <c r="E29">
        <f>IF(AND(B29&gt;=cfg_li_poa_low_min,B29&lt;=cfg_li_poa_low_max,C29&gt;=cfg_li_low_elev_min),1,0)</f>
        <v/>
      </c>
      <c r="F29" s="67">
        <f>IF(Raw_Data_LI!D29="","",Raw_Data_LI!D29/B29)</f>
        <v/>
      </c>
      <c r="G29" s="67">
        <f>IF(Raw_Data_LI!E29="","",Raw_Data_LI!E29/B29)</f>
        <v/>
      </c>
      <c r="H29" s="67">
        <f>IF(Raw_Data_LI!F29="","",Raw_Data_LI!F29/B29)</f>
        <v/>
      </c>
      <c r="I29" s="67">
        <f>IF(Raw_Data_LI!G29="","",Raw_Data_LI!G29/B29)</f>
        <v/>
      </c>
      <c r="J29" s="67">
        <f>IF(Raw_Data_LI!H29="","",Raw_Data_LI!H29/B29)</f>
        <v/>
      </c>
      <c r="K29" s="67">
        <f>IF(Raw_Data_LI!I29="","",Raw_Data_LI!I29/B29)</f>
        <v/>
      </c>
      <c r="L29" s="67">
        <f>IF(AND(D29=1,ISNUMBER(F29),F29&gt;0),F29,"")</f>
        <v/>
      </c>
      <c r="M29" s="67">
        <f>IF(AND(D29=1,ISNUMBER(G29),G29&gt;0),G29,"")</f>
        <v/>
      </c>
      <c r="N29" s="67">
        <f>IF(AND(D29=1,ISNUMBER(H29),H29&gt;0),H29,"")</f>
        <v/>
      </c>
      <c r="O29" s="67">
        <f>IF(AND(D29=1,ISNUMBER(I29),I29&gt;0),I29,"")</f>
        <v/>
      </c>
      <c r="P29" s="67">
        <f>IF(AND(D29=1,ISNUMBER(J29),J29&gt;0),J29,"")</f>
        <v/>
      </c>
      <c r="Q29" s="67">
        <f>IF(AND(D29=1,ISNUMBER(K29),K29&gt;0),K29,"")</f>
        <v/>
      </c>
      <c r="R29" s="68">
        <f>IF(AND(ISNUMBER(F29),L$4&gt;=cfg_li_min_mid_samples),F29/L$5,"")</f>
        <v/>
      </c>
      <c r="S29" s="68">
        <f>IF(AND(ISNUMBER(G29),M$4&gt;=cfg_li_min_mid_samples),G29/M$5,"")</f>
        <v/>
      </c>
      <c r="T29" s="68">
        <f>IF(AND(ISNUMBER(H29),N$4&gt;=cfg_li_min_mid_samples),H29/N$5,"")</f>
        <v/>
      </c>
      <c r="U29" s="68">
        <f>IF(AND(ISNUMBER(I29),O$4&gt;=cfg_li_min_mid_samples),I29/O$5,"")</f>
        <v/>
      </c>
      <c r="V29" s="68">
        <f>IF(AND(ISNUMBER(J29),P$4&gt;=cfg_li_min_mid_samples),J29/P$5,"")</f>
        <v/>
      </c>
      <c r="W29" s="68">
        <f>IF(AND(ISNUMBER(K29),Q$4&gt;=cfg_li_min_mid_samples),K29/Q$5,"")</f>
        <v/>
      </c>
      <c r="X29">
        <f>COUNT(R29:W29)</f>
        <v/>
      </c>
      <c r="Y29" s="68">
        <f>IF(X29&gt;=cfg_li_min_peers,MEDIAN(R29:W29),"")</f>
        <v/>
      </c>
      <c r="Z29" s="68">
        <f>IF(AND(ISNUMBER(R29),ISNUMBER(Y29)),R29/Y29,"")</f>
        <v/>
      </c>
      <c r="AA29" s="68">
        <f>IF(AND(ISNUMBER(S29),ISNUMBER(Y29)),S29/Y29,"")</f>
        <v/>
      </c>
      <c r="AB29" s="68">
        <f>IF(AND(ISNUMBER(T29),ISNUMBER(Y29)),T29/Y29,"")</f>
        <v/>
      </c>
      <c r="AC29" s="68">
        <f>IF(AND(ISNUMBER(U29),ISNUMBER(Y29)),U29/Y29,"")</f>
        <v/>
      </c>
      <c r="AD29" s="68">
        <f>IF(AND(ISNUMBER(V29),ISNUMBER(Y29)),V29/Y29,"")</f>
        <v/>
      </c>
      <c r="AE29" s="68">
        <f>IF(AND(ISNUMBER(W29),ISNUMBER(Y29)),W29/Y29,"")</f>
        <v/>
      </c>
      <c r="AF29" s="68">
        <f>IF(AND(E29=1,ISNUMBER(Z29)),Z29,"")</f>
        <v/>
      </c>
      <c r="AG29" s="68">
        <f>IF(AND(E29=1,ISNUMBER(AA29)),AA29,"")</f>
        <v/>
      </c>
      <c r="AH29" s="68">
        <f>IF(AND(E29=1,ISNUMBER(AB29)),AB29,"")</f>
        <v/>
      </c>
      <c r="AI29" s="68">
        <f>IF(AND(E29=1,ISNUMBER(AC29)),AC29,"")</f>
        <v/>
      </c>
      <c r="AJ29" s="68">
        <f>IF(AND(E29=1,ISNUMBER(AD29)),AD29,"")</f>
        <v/>
      </c>
      <c r="AK29" s="68">
        <f>IF(AND(E29=1,ISNUMBER(AE29)),AE29,"")</f>
        <v/>
      </c>
    </row>
    <row r="30">
      <c r="A30" s="65">
        <f>Raw_Data_LI!A30</f>
        <v/>
      </c>
      <c r="B30" s="66">
        <f>Raw_Data_LI!B30</f>
        <v/>
      </c>
      <c r="C30" s="66">
        <f>Raw_Data_LI!C30</f>
        <v/>
      </c>
      <c r="D30">
        <f>IF(AND(B30&gt;=cfg_li_poa_mid_min,B30&lt;=cfg_li_poa_mid_max),1,0)</f>
        <v/>
      </c>
      <c r="E30">
        <f>IF(AND(B30&gt;=cfg_li_poa_low_min,B30&lt;=cfg_li_poa_low_max,C30&gt;=cfg_li_low_elev_min),1,0)</f>
        <v/>
      </c>
      <c r="F30" s="67">
        <f>IF(Raw_Data_LI!D30="","",Raw_Data_LI!D30/B30)</f>
        <v/>
      </c>
      <c r="G30" s="67">
        <f>IF(Raw_Data_LI!E30="","",Raw_Data_LI!E30/B30)</f>
        <v/>
      </c>
      <c r="H30" s="67">
        <f>IF(Raw_Data_LI!F30="","",Raw_Data_LI!F30/B30)</f>
        <v/>
      </c>
      <c r="I30" s="67">
        <f>IF(Raw_Data_LI!G30="","",Raw_Data_LI!G30/B30)</f>
        <v/>
      </c>
      <c r="J30" s="67">
        <f>IF(Raw_Data_LI!H30="","",Raw_Data_LI!H30/B30)</f>
        <v/>
      </c>
      <c r="K30" s="67">
        <f>IF(Raw_Data_LI!I30="","",Raw_Data_LI!I30/B30)</f>
        <v/>
      </c>
      <c r="L30" s="67">
        <f>IF(AND(D30=1,ISNUMBER(F30),F30&gt;0),F30,"")</f>
        <v/>
      </c>
      <c r="M30" s="67">
        <f>IF(AND(D30=1,ISNUMBER(G30),G30&gt;0),G30,"")</f>
        <v/>
      </c>
      <c r="N30" s="67">
        <f>IF(AND(D30=1,ISNUMBER(H30),H30&gt;0),H30,"")</f>
        <v/>
      </c>
      <c r="O30" s="67">
        <f>IF(AND(D30=1,ISNUMBER(I30),I30&gt;0),I30,"")</f>
        <v/>
      </c>
      <c r="P30" s="67">
        <f>IF(AND(D30=1,ISNUMBER(J30),J30&gt;0),J30,"")</f>
        <v/>
      </c>
      <c r="Q30" s="67">
        <f>IF(AND(D30=1,ISNUMBER(K30),K30&gt;0),K30,"")</f>
        <v/>
      </c>
      <c r="R30" s="68">
        <f>IF(AND(ISNUMBER(F30),L$4&gt;=cfg_li_min_mid_samples),F30/L$5,"")</f>
        <v/>
      </c>
      <c r="S30" s="68">
        <f>IF(AND(ISNUMBER(G30),M$4&gt;=cfg_li_min_mid_samples),G30/M$5,"")</f>
        <v/>
      </c>
      <c r="T30" s="68">
        <f>IF(AND(ISNUMBER(H30),N$4&gt;=cfg_li_min_mid_samples),H30/N$5,"")</f>
        <v/>
      </c>
      <c r="U30" s="68">
        <f>IF(AND(ISNUMBER(I30),O$4&gt;=cfg_li_min_mid_samples),I30/O$5,"")</f>
        <v/>
      </c>
      <c r="V30" s="68">
        <f>IF(AND(ISNUMBER(J30),P$4&gt;=cfg_li_min_mid_samples),J30/P$5,"")</f>
        <v/>
      </c>
      <c r="W30" s="68">
        <f>IF(AND(ISNUMBER(K30),Q$4&gt;=cfg_li_min_mid_samples),K30/Q$5,"")</f>
        <v/>
      </c>
      <c r="X30">
        <f>COUNT(R30:W30)</f>
        <v/>
      </c>
      <c r="Y30" s="68">
        <f>IF(X30&gt;=cfg_li_min_peers,MEDIAN(R30:W30),"")</f>
        <v/>
      </c>
      <c r="Z30" s="68">
        <f>IF(AND(ISNUMBER(R30),ISNUMBER(Y30)),R30/Y30,"")</f>
        <v/>
      </c>
      <c r="AA30" s="68">
        <f>IF(AND(ISNUMBER(S30),ISNUMBER(Y30)),S30/Y30,"")</f>
        <v/>
      </c>
      <c r="AB30" s="68">
        <f>IF(AND(ISNUMBER(T30),ISNUMBER(Y30)),T30/Y30,"")</f>
        <v/>
      </c>
      <c r="AC30" s="68">
        <f>IF(AND(ISNUMBER(U30),ISNUMBER(Y30)),U30/Y30,"")</f>
        <v/>
      </c>
      <c r="AD30" s="68">
        <f>IF(AND(ISNUMBER(V30),ISNUMBER(Y30)),V30/Y30,"")</f>
        <v/>
      </c>
      <c r="AE30" s="68">
        <f>IF(AND(ISNUMBER(W30),ISNUMBER(Y30)),W30/Y30,"")</f>
        <v/>
      </c>
      <c r="AF30" s="68">
        <f>IF(AND(E30=1,ISNUMBER(Z30)),Z30,"")</f>
        <v/>
      </c>
      <c r="AG30" s="68">
        <f>IF(AND(E30=1,ISNUMBER(AA30)),AA30,"")</f>
        <v/>
      </c>
      <c r="AH30" s="68">
        <f>IF(AND(E30=1,ISNUMBER(AB30)),AB30,"")</f>
        <v/>
      </c>
      <c r="AI30" s="68">
        <f>IF(AND(E30=1,ISNUMBER(AC30)),AC30,"")</f>
        <v/>
      </c>
      <c r="AJ30" s="68">
        <f>IF(AND(E30=1,ISNUMBER(AD30)),AD30,"")</f>
        <v/>
      </c>
      <c r="AK30" s="68">
        <f>IF(AND(E30=1,ISNUMBER(AE30)),AE30,"")</f>
        <v/>
      </c>
    </row>
    <row r="31">
      <c r="A31" s="65">
        <f>Raw_Data_LI!A31</f>
        <v/>
      </c>
      <c r="B31" s="66">
        <f>Raw_Data_LI!B31</f>
        <v/>
      </c>
      <c r="C31" s="66">
        <f>Raw_Data_LI!C31</f>
        <v/>
      </c>
      <c r="D31">
        <f>IF(AND(B31&gt;=cfg_li_poa_mid_min,B31&lt;=cfg_li_poa_mid_max),1,0)</f>
        <v/>
      </c>
      <c r="E31">
        <f>IF(AND(B31&gt;=cfg_li_poa_low_min,B31&lt;=cfg_li_poa_low_max,C31&gt;=cfg_li_low_elev_min),1,0)</f>
        <v/>
      </c>
      <c r="F31" s="67">
        <f>IF(Raw_Data_LI!D31="","",Raw_Data_LI!D31/B31)</f>
        <v/>
      </c>
      <c r="G31" s="67">
        <f>IF(Raw_Data_LI!E31="","",Raw_Data_LI!E31/B31)</f>
        <v/>
      </c>
      <c r="H31" s="67">
        <f>IF(Raw_Data_LI!F31="","",Raw_Data_LI!F31/B31)</f>
        <v/>
      </c>
      <c r="I31" s="67">
        <f>IF(Raw_Data_LI!G31="","",Raw_Data_LI!G31/B31)</f>
        <v/>
      </c>
      <c r="J31" s="67">
        <f>IF(Raw_Data_LI!H31="","",Raw_Data_LI!H31/B31)</f>
        <v/>
      </c>
      <c r="K31" s="67">
        <f>IF(Raw_Data_LI!I31="","",Raw_Data_LI!I31/B31)</f>
        <v/>
      </c>
      <c r="L31" s="67">
        <f>IF(AND(D31=1,ISNUMBER(F31),F31&gt;0),F31,"")</f>
        <v/>
      </c>
      <c r="M31" s="67">
        <f>IF(AND(D31=1,ISNUMBER(G31),G31&gt;0),G31,"")</f>
        <v/>
      </c>
      <c r="N31" s="67">
        <f>IF(AND(D31=1,ISNUMBER(H31),H31&gt;0),H31,"")</f>
        <v/>
      </c>
      <c r="O31" s="67">
        <f>IF(AND(D31=1,ISNUMBER(I31),I31&gt;0),I31,"")</f>
        <v/>
      </c>
      <c r="P31" s="67">
        <f>IF(AND(D31=1,ISNUMBER(J31),J31&gt;0),J31,"")</f>
        <v/>
      </c>
      <c r="Q31" s="67">
        <f>IF(AND(D31=1,ISNUMBER(K31),K31&gt;0),K31,"")</f>
        <v/>
      </c>
      <c r="R31" s="68">
        <f>IF(AND(ISNUMBER(F31),L$4&gt;=cfg_li_min_mid_samples),F31/L$5,"")</f>
        <v/>
      </c>
      <c r="S31" s="68">
        <f>IF(AND(ISNUMBER(G31),M$4&gt;=cfg_li_min_mid_samples),G31/M$5,"")</f>
        <v/>
      </c>
      <c r="T31" s="68">
        <f>IF(AND(ISNUMBER(H31),N$4&gt;=cfg_li_min_mid_samples),H31/N$5,"")</f>
        <v/>
      </c>
      <c r="U31" s="68">
        <f>IF(AND(ISNUMBER(I31),O$4&gt;=cfg_li_min_mid_samples),I31/O$5,"")</f>
        <v/>
      </c>
      <c r="V31" s="68">
        <f>IF(AND(ISNUMBER(J31),P$4&gt;=cfg_li_min_mid_samples),J31/P$5,"")</f>
        <v/>
      </c>
      <c r="W31" s="68">
        <f>IF(AND(ISNUMBER(K31),Q$4&gt;=cfg_li_min_mid_samples),K31/Q$5,"")</f>
        <v/>
      </c>
      <c r="X31">
        <f>COUNT(R31:W31)</f>
        <v/>
      </c>
      <c r="Y31" s="68">
        <f>IF(X31&gt;=cfg_li_min_peers,MEDIAN(R31:W31),"")</f>
        <v/>
      </c>
      <c r="Z31" s="68">
        <f>IF(AND(ISNUMBER(R31),ISNUMBER(Y31)),R31/Y31,"")</f>
        <v/>
      </c>
      <c r="AA31" s="68">
        <f>IF(AND(ISNUMBER(S31),ISNUMBER(Y31)),S31/Y31,"")</f>
        <v/>
      </c>
      <c r="AB31" s="68">
        <f>IF(AND(ISNUMBER(T31),ISNUMBER(Y31)),T31/Y31,"")</f>
        <v/>
      </c>
      <c r="AC31" s="68">
        <f>IF(AND(ISNUMBER(U31),ISNUMBER(Y31)),U31/Y31,"")</f>
        <v/>
      </c>
      <c r="AD31" s="68">
        <f>IF(AND(ISNUMBER(V31),ISNUMBER(Y31)),V31/Y31,"")</f>
        <v/>
      </c>
      <c r="AE31" s="68">
        <f>IF(AND(ISNUMBER(W31),ISNUMBER(Y31)),W31/Y31,"")</f>
        <v/>
      </c>
      <c r="AF31" s="68">
        <f>IF(AND(E31=1,ISNUMBER(Z31)),Z31,"")</f>
        <v/>
      </c>
      <c r="AG31" s="68">
        <f>IF(AND(E31=1,ISNUMBER(AA31)),AA31,"")</f>
        <v/>
      </c>
      <c r="AH31" s="68">
        <f>IF(AND(E31=1,ISNUMBER(AB31)),AB31,"")</f>
        <v/>
      </c>
      <c r="AI31" s="68">
        <f>IF(AND(E31=1,ISNUMBER(AC31)),AC31,"")</f>
        <v/>
      </c>
      <c r="AJ31" s="68">
        <f>IF(AND(E31=1,ISNUMBER(AD31)),AD31,"")</f>
        <v/>
      </c>
      <c r="AK31" s="68">
        <f>IF(AND(E31=1,ISNUMBER(AE31)),AE31,"")</f>
        <v/>
      </c>
    </row>
    <row r="32">
      <c r="A32" s="65">
        <f>Raw_Data_LI!A32</f>
        <v/>
      </c>
      <c r="B32" s="66">
        <f>Raw_Data_LI!B32</f>
        <v/>
      </c>
      <c r="C32" s="66">
        <f>Raw_Data_LI!C32</f>
        <v/>
      </c>
      <c r="D32">
        <f>IF(AND(B32&gt;=cfg_li_poa_mid_min,B32&lt;=cfg_li_poa_mid_max),1,0)</f>
        <v/>
      </c>
      <c r="E32">
        <f>IF(AND(B32&gt;=cfg_li_poa_low_min,B32&lt;=cfg_li_poa_low_max,C32&gt;=cfg_li_low_elev_min),1,0)</f>
        <v/>
      </c>
      <c r="F32" s="67">
        <f>IF(Raw_Data_LI!D32="","",Raw_Data_LI!D32/B32)</f>
        <v/>
      </c>
      <c r="G32" s="67">
        <f>IF(Raw_Data_LI!E32="","",Raw_Data_LI!E32/B32)</f>
        <v/>
      </c>
      <c r="H32" s="67">
        <f>IF(Raw_Data_LI!F32="","",Raw_Data_LI!F32/B32)</f>
        <v/>
      </c>
      <c r="I32" s="67">
        <f>IF(Raw_Data_LI!G32="","",Raw_Data_LI!G32/B32)</f>
        <v/>
      </c>
      <c r="J32" s="67">
        <f>IF(Raw_Data_LI!H32="","",Raw_Data_LI!H32/B32)</f>
        <v/>
      </c>
      <c r="K32" s="67">
        <f>IF(Raw_Data_LI!I32="","",Raw_Data_LI!I32/B32)</f>
        <v/>
      </c>
      <c r="L32" s="67">
        <f>IF(AND(D32=1,ISNUMBER(F32),F32&gt;0),F32,"")</f>
        <v/>
      </c>
      <c r="M32" s="67">
        <f>IF(AND(D32=1,ISNUMBER(G32),G32&gt;0),G32,"")</f>
        <v/>
      </c>
      <c r="N32" s="67">
        <f>IF(AND(D32=1,ISNUMBER(H32),H32&gt;0),H32,"")</f>
        <v/>
      </c>
      <c r="O32" s="67">
        <f>IF(AND(D32=1,ISNUMBER(I32),I32&gt;0),I32,"")</f>
        <v/>
      </c>
      <c r="P32" s="67">
        <f>IF(AND(D32=1,ISNUMBER(J32),J32&gt;0),J32,"")</f>
        <v/>
      </c>
      <c r="Q32" s="67">
        <f>IF(AND(D32=1,ISNUMBER(K32),K32&gt;0),K32,"")</f>
        <v/>
      </c>
      <c r="R32" s="68">
        <f>IF(AND(ISNUMBER(F32),L$4&gt;=cfg_li_min_mid_samples),F32/L$5,"")</f>
        <v/>
      </c>
      <c r="S32" s="68">
        <f>IF(AND(ISNUMBER(G32),M$4&gt;=cfg_li_min_mid_samples),G32/M$5,"")</f>
        <v/>
      </c>
      <c r="T32" s="68">
        <f>IF(AND(ISNUMBER(H32),N$4&gt;=cfg_li_min_mid_samples),H32/N$5,"")</f>
        <v/>
      </c>
      <c r="U32" s="68">
        <f>IF(AND(ISNUMBER(I32),O$4&gt;=cfg_li_min_mid_samples),I32/O$5,"")</f>
        <v/>
      </c>
      <c r="V32" s="68">
        <f>IF(AND(ISNUMBER(J32),P$4&gt;=cfg_li_min_mid_samples),J32/P$5,"")</f>
        <v/>
      </c>
      <c r="W32" s="68">
        <f>IF(AND(ISNUMBER(K32),Q$4&gt;=cfg_li_min_mid_samples),K32/Q$5,"")</f>
        <v/>
      </c>
      <c r="X32">
        <f>COUNT(R32:W32)</f>
        <v/>
      </c>
      <c r="Y32" s="68">
        <f>IF(X32&gt;=cfg_li_min_peers,MEDIAN(R32:W32),"")</f>
        <v/>
      </c>
      <c r="Z32" s="68">
        <f>IF(AND(ISNUMBER(R32),ISNUMBER(Y32)),R32/Y32,"")</f>
        <v/>
      </c>
      <c r="AA32" s="68">
        <f>IF(AND(ISNUMBER(S32),ISNUMBER(Y32)),S32/Y32,"")</f>
        <v/>
      </c>
      <c r="AB32" s="68">
        <f>IF(AND(ISNUMBER(T32),ISNUMBER(Y32)),T32/Y32,"")</f>
        <v/>
      </c>
      <c r="AC32" s="68">
        <f>IF(AND(ISNUMBER(U32),ISNUMBER(Y32)),U32/Y32,"")</f>
        <v/>
      </c>
      <c r="AD32" s="68">
        <f>IF(AND(ISNUMBER(V32),ISNUMBER(Y32)),V32/Y32,"")</f>
        <v/>
      </c>
      <c r="AE32" s="68">
        <f>IF(AND(ISNUMBER(W32),ISNUMBER(Y32)),W32/Y32,"")</f>
        <v/>
      </c>
      <c r="AF32" s="68">
        <f>IF(AND(E32=1,ISNUMBER(Z32)),Z32,"")</f>
        <v/>
      </c>
      <c r="AG32" s="68">
        <f>IF(AND(E32=1,ISNUMBER(AA32)),AA32,"")</f>
        <v/>
      </c>
      <c r="AH32" s="68">
        <f>IF(AND(E32=1,ISNUMBER(AB32)),AB32,"")</f>
        <v/>
      </c>
      <c r="AI32" s="68">
        <f>IF(AND(E32=1,ISNUMBER(AC32)),AC32,"")</f>
        <v/>
      </c>
      <c r="AJ32" s="68">
        <f>IF(AND(E32=1,ISNUMBER(AD32)),AD32,"")</f>
        <v/>
      </c>
      <c r="AK32" s="68">
        <f>IF(AND(E32=1,ISNUMBER(AE32)),AE32,"")</f>
        <v/>
      </c>
    </row>
    <row r="33">
      <c r="A33" s="65">
        <f>Raw_Data_LI!A33</f>
        <v/>
      </c>
      <c r="B33" s="66">
        <f>Raw_Data_LI!B33</f>
        <v/>
      </c>
      <c r="C33" s="66">
        <f>Raw_Data_LI!C33</f>
        <v/>
      </c>
      <c r="D33">
        <f>IF(AND(B33&gt;=cfg_li_poa_mid_min,B33&lt;=cfg_li_poa_mid_max),1,0)</f>
        <v/>
      </c>
      <c r="E33">
        <f>IF(AND(B33&gt;=cfg_li_poa_low_min,B33&lt;=cfg_li_poa_low_max,C33&gt;=cfg_li_low_elev_min),1,0)</f>
        <v/>
      </c>
      <c r="F33" s="67">
        <f>IF(Raw_Data_LI!D33="","",Raw_Data_LI!D33/B33)</f>
        <v/>
      </c>
      <c r="G33" s="67">
        <f>IF(Raw_Data_LI!E33="","",Raw_Data_LI!E33/B33)</f>
        <v/>
      </c>
      <c r="H33" s="67">
        <f>IF(Raw_Data_LI!F33="","",Raw_Data_LI!F33/B33)</f>
        <v/>
      </c>
      <c r="I33" s="67">
        <f>IF(Raw_Data_LI!G33="","",Raw_Data_LI!G33/B33)</f>
        <v/>
      </c>
      <c r="J33" s="67">
        <f>IF(Raw_Data_LI!H33="","",Raw_Data_LI!H33/B33)</f>
        <v/>
      </c>
      <c r="K33" s="67">
        <f>IF(Raw_Data_LI!I33="","",Raw_Data_LI!I33/B33)</f>
        <v/>
      </c>
      <c r="L33" s="67">
        <f>IF(AND(D33=1,ISNUMBER(F33),F33&gt;0),F33,"")</f>
        <v/>
      </c>
      <c r="M33" s="67">
        <f>IF(AND(D33=1,ISNUMBER(G33),G33&gt;0),G33,"")</f>
        <v/>
      </c>
      <c r="N33" s="67">
        <f>IF(AND(D33=1,ISNUMBER(H33),H33&gt;0),H33,"")</f>
        <v/>
      </c>
      <c r="O33" s="67">
        <f>IF(AND(D33=1,ISNUMBER(I33),I33&gt;0),I33,"")</f>
        <v/>
      </c>
      <c r="P33" s="67">
        <f>IF(AND(D33=1,ISNUMBER(J33),J33&gt;0),J33,"")</f>
        <v/>
      </c>
      <c r="Q33" s="67">
        <f>IF(AND(D33=1,ISNUMBER(K33),K33&gt;0),K33,"")</f>
        <v/>
      </c>
      <c r="R33" s="68">
        <f>IF(AND(ISNUMBER(F33),L$4&gt;=cfg_li_min_mid_samples),F33/L$5,"")</f>
        <v/>
      </c>
      <c r="S33" s="68">
        <f>IF(AND(ISNUMBER(G33),M$4&gt;=cfg_li_min_mid_samples),G33/M$5,"")</f>
        <v/>
      </c>
      <c r="T33" s="68">
        <f>IF(AND(ISNUMBER(H33),N$4&gt;=cfg_li_min_mid_samples),H33/N$5,"")</f>
        <v/>
      </c>
      <c r="U33" s="68">
        <f>IF(AND(ISNUMBER(I33),O$4&gt;=cfg_li_min_mid_samples),I33/O$5,"")</f>
        <v/>
      </c>
      <c r="V33" s="68">
        <f>IF(AND(ISNUMBER(J33),P$4&gt;=cfg_li_min_mid_samples),J33/P$5,"")</f>
        <v/>
      </c>
      <c r="W33" s="68">
        <f>IF(AND(ISNUMBER(K33),Q$4&gt;=cfg_li_min_mid_samples),K33/Q$5,"")</f>
        <v/>
      </c>
      <c r="X33">
        <f>COUNT(R33:W33)</f>
        <v/>
      </c>
      <c r="Y33" s="68">
        <f>IF(X33&gt;=cfg_li_min_peers,MEDIAN(R33:W33),"")</f>
        <v/>
      </c>
      <c r="Z33" s="68">
        <f>IF(AND(ISNUMBER(R33),ISNUMBER(Y33)),R33/Y33,"")</f>
        <v/>
      </c>
      <c r="AA33" s="68">
        <f>IF(AND(ISNUMBER(S33),ISNUMBER(Y33)),S33/Y33,"")</f>
        <v/>
      </c>
      <c r="AB33" s="68">
        <f>IF(AND(ISNUMBER(T33),ISNUMBER(Y33)),T33/Y33,"")</f>
        <v/>
      </c>
      <c r="AC33" s="68">
        <f>IF(AND(ISNUMBER(U33),ISNUMBER(Y33)),U33/Y33,"")</f>
        <v/>
      </c>
      <c r="AD33" s="68">
        <f>IF(AND(ISNUMBER(V33),ISNUMBER(Y33)),V33/Y33,"")</f>
        <v/>
      </c>
      <c r="AE33" s="68">
        <f>IF(AND(ISNUMBER(W33),ISNUMBER(Y33)),W33/Y33,"")</f>
        <v/>
      </c>
      <c r="AF33" s="68">
        <f>IF(AND(E33=1,ISNUMBER(Z33)),Z33,"")</f>
        <v/>
      </c>
      <c r="AG33" s="68">
        <f>IF(AND(E33=1,ISNUMBER(AA33)),AA33,"")</f>
        <v/>
      </c>
      <c r="AH33" s="68">
        <f>IF(AND(E33=1,ISNUMBER(AB33)),AB33,"")</f>
        <v/>
      </c>
      <c r="AI33" s="68">
        <f>IF(AND(E33=1,ISNUMBER(AC33)),AC33,"")</f>
        <v/>
      </c>
      <c r="AJ33" s="68">
        <f>IF(AND(E33=1,ISNUMBER(AD33)),AD33,"")</f>
        <v/>
      </c>
      <c r="AK33" s="68">
        <f>IF(AND(E33=1,ISNUMBER(AE33)),AE33,"")</f>
        <v/>
      </c>
    </row>
    <row r="34">
      <c r="A34" s="65">
        <f>Raw_Data_LI!A34</f>
        <v/>
      </c>
      <c r="B34" s="66">
        <f>Raw_Data_LI!B34</f>
        <v/>
      </c>
      <c r="C34" s="66">
        <f>Raw_Data_LI!C34</f>
        <v/>
      </c>
      <c r="D34">
        <f>IF(AND(B34&gt;=cfg_li_poa_mid_min,B34&lt;=cfg_li_poa_mid_max),1,0)</f>
        <v/>
      </c>
      <c r="E34">
        <f>IF(AND(B34&gt;=cfg_li_poa_low_min,B34&lt;=cfg_li_poa_low_max,C34&gt;=cfg_li_low_elev_min),1,0)</f>
        <v/>
      </c>
      <c r="F34" s="67">
        <f>IF(Raw_Data_LI!D34="","",Raw_Data_LI!D34/B34)</f>
        <v/>
      </c>
      <c r="G34" s="67">
        <f>IF(Raw_Data_LI!E34="","",Raw_Data_LI!E34/B34)</f>
        <v/>
      </c>
      <c r="H34" s="67">
        <f>IF(Raw_Data_LI!F34="","",Raw_Data_LI!F34/B34)</f>
        <v/>
      </c>
      <c r="I34" s="67">
        <f>IF(Raw_Data_LI!G34="","",Raw_Data_LI!G34/B34)</f>
        <v/>
      </c>
      <c r="J34" s="67">
        <f>IF(Raw_Data_LI!H34="","",Raw_Data_LI!H34/B34)</f>
        <v/>
      </c>
      <c r="K34" s="67">
        <f>IF(Raw_Data_LI!I34="","",Raw_Data_LI!I34/B34)</f>
        <v/>
      </c>
      <c r="L34" s="67">
        <f>IF(AND(D34=1,ISNUMBER(F34),F34&gt;0),F34,"")</f>
        <v/>
      </c>
      <c r="M34" s="67">
        <f>IF(AND(D34=1,ISNUMBER(G34),G34&gt;0),G34,"")</f>
        <v/>
      </c>
      <c r="N34" s="67">
        <f>IF(AND(D34=1,ISNUMBER(H34),H34&gt;0),H34,"")</f>
        <v/>
      </c>
      <c r="O34" s="67">
        <f>IF(AND(D34=1,ISNUMBER(I34),I34&gt;0),I34,"")</f>
        <v/>
      </c>
      <c r="P34" s="67">
        <f>IF(AND(D34=1,ISNUMBER(J34),J34&gt;0),J34,"")</f>
        <v/>
      </c>
      <c r="Q34" s="67">
        <f>IF(AND(D34=1,ISNUMBER(K34),K34&gt;0),K34,"")</f>
        <v/>
      </c>
      <c r="R34" s="68">
        <f>IF(AND(ISNUMBER(F34),L$4&gt;=cfg_li_min_mid_samples),F34/L$5,"")</f>
        <v/>
      </c>
      <c r="S34" s="68">
        <f>IF(AND(ISNUMBER(G34),M$4&gt;=cfg_li_min_mid_samples),G34/M$5,"")</f>
        <v/>
      </c>
      <c r="T34" s="68">
        <f>IF(AND(ISNUMBER(H34),N$4&gt;=cfg_li_min_mid_samples),H34/N$5,"")</f>
        <v/>
      </c>
      <c r="U34" s="68">
        <f>IF(AND(ISNUMBER(I34),O$4&gt;=cfg_li_min_mid_samples),I34/O$5,"")</f>
        <v/>
      </c>
      <c r="V34" s="68">
        <f>IF(AND(ISNUMBER(J34),P$4&gt;=cfg_li_min_mid_samples),J34/P$5,"")</f>
        <v/>
      </c>
      <c r="W34" s="68">
        <f>IF(AND(ISNUMBER(K34),Q$4&gt;=cfg_li_min_mid_samples),K34/Q$5,"")</f>
        <v/>
      </c>
      <c r="X34">
        <f>COUNT(R34:W34)</f>
        <v/>
      </c>
      <c r="Y34" s="68">
        <f>IF(X34&gt;=cfg_li_min_peers,MEDIAN(R34:W34),"")</f>
        <v/>
      </c>
      <c r="Z34" s="68">
        <f>IF(AND(ISNUMBER(R34),ISNUMBER(Y34)),R34/Y34,"")</f>
        <v/>
      </c>
      <c r="AA34" s="68">
        <f>IF(AND(ISNUMBER(S34),ISNUMBER(Y34)),S34/Y34,"")</f>
        <v/>
      </c>
      <c r="AB34" s="68">
        <f>IF(AND(ISNUMBER(T34),ISNUMBER(Y34)),T34/Y34,"")</f>
        <v/>
      </c>
      <c r="AC34" s="68">
        <f>IF(AND(ISNUMBER(U34),ISNUMBER(Y34)),U34/Y34,"")</f>
        <v/>
      </c>
      <c r="AD34" s="68">
        <f>IF(AND(ISNUMBER(V34),ISNUMBER(Y34)),V34/Y34,"")</f>
        <v/>
      </c>
      <c r="AE34" s="68">
        <f>IF(AND(ISNUMBER(W34),ISNUMBER(Y34)),W34/Y34,"")</f>
        <v/>
      </c>
      <c r="AF34" s="68">
        <f>IF(AND(E34=1,ISNUMBER(Z34)),Z34,"")</f>
        <v/>
      </c>
      <c r="AG34" s="68">
        <f>IF(AND(E34=1,ISNUMBER(AA34)),AA34,"")</f>
        <v/>
      </c>
      <c r="AH34" s="68">
        <f>IF(AND(E34=1,ISNUMBER(AB34)),AB34,"")</f>
        <v/>
      </c>
      <c r="AI34" s="68">
        <f>IF(AND(E34=1,ISNUMBER(AC34)),AC34,"")</f>
        <v/>
      </c>
      <c r="AJ34" s="68">
        <f>IF(AND(E34=1,ISNUMBER(AD34)),AD34,"")</f>
        <v/>
      </c>
      <c r="AK34" s="68">
        <f>IF(AND(E34=1,ISNUMBER(AE34)),AE34,"")</f>
        <v/>
      </c>
    </row>
    <row r="35">
      <c r="A35" s="65">
        <f>Raw_Data_LI!A35</f>
        <v/>
      </c>
      <c r="B35" s="66">
        <f>Raw_Data_LI!B35</f>
        <v/>
      </c>
      <c r="C35" s="66">
        <f>Raw_Data_LI!C35</f>
        <v/>
      </c>
      <c r="D35">
        <f>IF(AND(B35&gt;=cfg_li_poa_mid_min,B35&lt;=cfg_li_poa_mid_max),1,0)</f>
        <v/>
      </c>
      <c r="E35">
        <f>IF(AND(B35&gt;=cfg_li_poa_low_min,B35&lt;=cfg_li_poa_low_max,C35&gt;=cfg_li_low_elev_min),1,0)</f>
        <v/>
      </c>
      <c r="F35" s="67">
        <f>IF(Raw_Data_LI!D35="","",Raw_Data_LI!D35/B35)</f>
        <v/>
      </c>
      <c r="G35" s="67">
        <f>IF(Raw_Data_LI!E35="","",Raw_Data_LI!E35/B35)</f>
        <v/>
      </c>
      <c r="H35" s="67">
        <f>IF(Raw_Data_LI!F35="","",Raw_Data_LI!F35/B35)</f>
        <v/>
      </c>
      <c r="I35" s="67">
        <f>IF(Raw_Data_LI!G35="","",Raw_Data_LI!G35/B35)</f>
        <v/>
      </c>
      <c r="J35" s="67">
        <f>IF(Raw_Data_LI!H35="","",Raw_Data_LI!H35/B35)</f>
        <v/>
      </c>
      <c r="K35" s="67">
        <f>IF(Raw_Data_LI!I35="","",Raw_Data_LI!I35/B35)</f>
        <v/>
      </c>
      <c r="L35" s="67">
        <f>IF(AND(D35=1,ISNUMBER(F35),F35&gt;0),F35,"")</f>
        <v/>
      </c>
      <c r="M35" s="67">
        <f>IF(AND(D35=1,ISNUMBER(G35),G35&gt;0),G35,"")</f>
        <v/>
      </c>
      <c r="N35" s="67">
        <f>IF(AND(D35=1,ISNUMBER(H35),H35&gt;0),H35,"")</f>
        <v/>
      </c>
      <c r="O35" s="67">
        <f>IF(AND(D35=1,ISNUMBER(I35),I35&gt;0),I35,"")</f>
        <v/>
      </c>
      <c r="P35" s="67">
        <f>IF(AND(D35=1,ISNUMBER(J35),J35&gt;0),J35,"")</f>
        <v/>
      </c>
      <c r="Q35" s="67">
        <f>IF(AND(D35=1,ISNUMBER(K35),K35&gt;0),K35,"")</f>
        <v/>
      </c>
      <c r="R35" s="68">
        <f>IF(AND(ISNUMBER(F35),L$4&gt;=cfg_li_min_mid_samples),F35/L$5,"")</f>
        <v/>
      </c>
      <c r="S35" s="68">
        <f>IF(AND(ISNUMBER(G35),M$4&gt;=cfg_li_min_mid_samples),G35/M$5,"")</f>
        <v/>
      </c>
      <c r="T35" s="68">
        <f>IF(AND(ISNUMBER(H35),N$4&gt;=cfg_li_min_mid_samples),H35/N$5,"")</f>
        <v/>
      </c>
      <c r="U35" s="68">
        <f>IF(AND(ISNUMBER(I35),O$4&gt;=cfg_li_min_mid_samples),I35/O$5,"")</f>
        <v/>
      </c>
      <c r="V35" s="68">
        <f>IF(AND(ISNUMBER(J35),P$4&gt;=cfg_li_min_mid_samples),J35/P$5,"")</f>
        <v/>
      </c>
      <c r="W35" s="68">
        <f>IF(AND(ISNUMBER(K35),Q$4&gt;=cfg_li_min_mid_samples),K35/Q$5,"")</f>
        <v/>
      </c>
      <c r="X35">
        <f>COUNT(R35:W35)</f>
        <v/>
      </c>
      <c r="Y35" s="68">
        <f>IF(X35&gt;=cfg_li_min_peers,MEDIAN(R35:W35),"")</f>
        <v/>
      </c>
      <c r="Z35" s="68">
        <f>IF(AND(ISNUMBER(R35),ISNUMBER(Y35)),R35/Y35,"")</f>
        <v/>
      </c>
      <c r="AA35" s="68">
        <f>IF(AND(ISNUMBER(S35),ISNUMBER(Y35)),S35/Y35,"")</f>
        <v/>
      </c>
      <c r="AB35" s="68">
        <f>IF(AND(ISNUMBER(T35),ISNUMBER(Y35)),T35/Y35,"")</f>
        <v/>
      </c>
      <c r="AC35" s="68">
        <f>IF(AND(ISNUMBER(U35),ISNUMBER(Y35)),U35/Y35,"")</f>
        <v/>
      </c>
      <c r="AD35" s="68">
        <f>IF(AND(ISNUMBER(V35),ISNUMBER(Y35)),V35/Y35,"")</f>
        <v/>
      </c>
      <c r="AE35" s="68">
        <f>IF(AND(ISNUMBER(W35),ISNUMBER(Y35)),W35/Y35,"")</f>
        <v/>
      </c>
      <c r="AF35" s="68">
        <f>IF(AND(E35=1,ISNUMBER(Z35)),Z35,"")</f>
        <v/>
      </c>
      <c r="AG35" s="68">
        <f>IF(AND(E35=1,ISNUMBER(AA35)),AA35,"")</f>
        <v/>
      </c>
      <c r="AH35" s="68">
        <f>IF(AND(E35=1,ISNUMBER(AB35)),AB35,"")</f>
        <v/>
      </c>
      <c r="AI35" s="68">
        <f>IF(AND(E35=1,ISNUMBER(AC35)),AC35,"")</f>
        <v/>
      </c>
      <c r="AJ35" s="68">
        <f>IF(AND(E35=1,ISNUMBER(AD35)),AD35,"")</f>
        <v/>
      </c>
      <c r="AK35" s="68">
        <f>IF(AND(E35=1,ISNUMBER(AE35)),AE35,"")</f>
        <v/>
      </c>
    </row>
    <row r="36">
      <c r="A36" s="65">
        <f>Raw_Data_LI!A36</f>
        <v/>
      </c>
      <c r="B36" s="66">
        <f>Raw_Data_LI!B36</f>
        <v/>
      </c>
      <c r="C36" s="66">
        <f>Raw_Data_LI!C36</f>
        <v/>
      </c>
      <c r="D36">
        <f>IF(AND(B36&gt;=cfg_li_poa_mid_min,B36&lt;=cfg_li_poa_mid_max),1,0)</f>
        <v/>
      </c>
      <c r="E36">
        <f>IF(AND(B36&gt;=cfg_li_poa_low_min,B36&lt;=cfg_li_poa_low_max,C36&gt;=cfg_li_low_elev_min),1,0)</f>
        <v/>
      </c>
      <c r="F36" s="67">
        <f>IF(Raw_Data_LI!D36="","",Raw_Data_LI!D36/B36)</f>
        <v/>
      </c>
      <c r="G36" s="67">
        <f>IF(Raw_Data_LI!E36="","",Raw_Data_LI!E36/B36)</f>
        <v/>
      </c>
      <c r="H36" s="67">
        <f>IF(Raw_Data_LI!F36="","",Raw_Data_LI!F36/B36)</f>
        <v/>
      </c>
      <c r="I36" s="67">
        <f>IF(Raw_Data_LI!G36="","",Raw_Data_LI!G36/B36)</f>
        <v/>
      </c>
      <c r="J36" s="67">
        <f>IF(Raw_Data_LI!H36="","",Raw_Data_LI!H36/B36)</f>
        <v/>
      </c>
      <c r="K36" s="67">
        <f>IF(Raw_Data_LI!I36="","",Raw_Data_LI!I36/B36)</f>
        <v/>
      </c>
      <c r="L36" s="67">
        <f>IF(AND(D36=1,ISNUMBER(F36),F36&gt;0),F36,"")</f>
        <v/>
      </c>
      <c r="M36" s="67">
        <f>IF(AND(D36=1,ISNUMBER(G36),G36&gt;0),G36,"")</f>
        <v/>
      </c>
      <c r="N36" s="67">
        <f>IF(AND(D36=1,ISNUMBER(H36),H36&gt;0),H36,"")</f>
        <v/>
      </c>
      <c r="O36" s="67">
        <f>IF(AND(D36=1,ISNUMBER(I36),I36&gt;0),I36,"")</f>
        <v/>
      </c>
      <c r="P36" s="67">
        <f>IF(AND(D36=1,ISNUMBER(J36),J36&gt;0),J36,"")</f>
        <v/>
      </c>
      <c r="Q36" s="67">
        <f>IF(AND(D36=1,ISNUMBER(K36),K36&gt;0),K36,"")</f>
        <v/>
      </c>
      <c r="R36" s="68">
        <f>IF(AND(ISNUMBER(F36),L$4&gt;=cfg_li_min_mid_samples),F36/L$5,"")</f>
        <v/>
      </c>
      <c r="S36" s="68">
        <f>IF(AND(ISNUMBER(G36),M$4&gt;=cfg_li_min_mid_samples),G36/M$5,"")</f>
        <v/>
      </c>
      <c r="T36" s="68">
        <f>IF(AND(ISNUMBER(H36),N$4&gt;=cfg_li_min_mid_samples),H36/N$5,"")</f>
        <v/>
      </c>
      <c r="U36" s="68">
        <f>IF(AND(ISNUMBER(I36),O$4&gt;=cfg_li_min_mid_samples),I36/O$5,"")</f>
        <v/>
      </c>
      <c r="V36" s="68">
        <f>IF(AND(ISNUMBER(J36),P$4&gt;=cfg_li_min_mid_samples),J36/P$5,"")</f>
        <v/>
      </c>
      <c r="W36" s="68">
        <f>IF(AND(ISNUMBER(K36),Q$4&gt;=cfg_li_min_mid_samples),K36/Q$5,"")</f>
        <v/>
      </c>
      <c r="X36">
        <f>COUNT(R36:W36)</f>
        <v/>
      </c>
      <c r="Y36" s="68">
        <f>IF(X36&gt;=cfg_li_min_peers,MEDIAN(R36:W36),"")</f>
        <v/>
      </c>
      <c r="Z36" s="68">
        <f>IF(AND(ISNUMBER(R36),ISNUMBER(Y36)),R36/Y36,"")</f>
        <v/>
      </c>
      <c r="AA36" s="68">
        <f>IF(AND(ISNUMBER(S36),ISNUMBER(Y36)),S36/Y36,"")</f>
        <v/>
      </c>
      <c r="AB36" s="68">
        <f>IF(AND(ISNUMBER(T36),ISNUMBER(Y36)),T36/Y36,"")</f>
        <v/>
      </c>
      <c r="AC36" s="68">
        <f>IF(AND(ISNUMBER(U36),ISNUMBER(Y36)),U36/Y36,"")</f>
        <v/>
      </c>
      <c r="AD36" s="68">
        <f>IF(AND(ISNUMBER(V36),ISNUMBER(Y36)),V36/Y36,"")</f>
        <v/>
      </c>
      <c r="AE36" s="68">
        <f>IF(AND(ISNUMBER(W36),ISNUMBER(Y36)),W36/Y36,"")</f>
        <v/>
      </c>
      <c r="AF36" s="68">
        <f>IF(AND(E36=1,ISNUMBER(Z36)),Z36,"")</f>
        <v/>
      </c>
      <c r="AG36" s="68">
        <f>IF(AND(E36=1,ISNUMBER(AA36)),AA36,"")</f>
        <v/>
      </c>
      <c r="AH36" s="68">
        <f>IF(AND(E36=1,ISNUMBER(AB36)),AB36,"")</f>
        <v/>
      </c>
      <c r="AI36" s="68">
        <f>IF(AND(E36=1,ISNUMBER(AC36)),AC36,"")</f>
        <v/>
      </c>
      <c r="AJ36" s="68">
        <f>IF(AND(E36=1,ISNUMBER(AD36)),AD36,"")</f>
        <v/>
      </c>
      <c r="AK36" s="68">
        <f>IF(AND(E36=1,ISNUMBER(AE36)),AE36,"")</f>
        <v/>
      </c>
    </row>
    <row r="37">
      <c r="A37" s="65">
        <f>Raw_Data_LI!A37</f>
        <v/>
      </c>
      <c r="B37" s="66">
        <f>Raw_Data_LI!B37</f>
        <v/>
      </c>
      <c r="C37" s="66">
        <f>Raw_Data_LI!C37</f>
        <v/>
      </c>
      <c r="D37">
        <f>IF(AND(B37&gt;=cfg_li_poa_mid_min,B37&lt;=cfg_li_poa_mid_max),1,0)</f>
        <v/>
      </c>
      <c r="E37">
        <f>IF(AND(B37&gt;=cfg_li_poa_low_min,B37&lt;=cfg_li_poa_low_max,C37&gt;=cfg_li_low_elev_min),1,0)</f>
        <v/>
      </c>
      <c r="F37" s="67">
        <f>IF(Raw_Data_LI!D37="","",Raw_Data_LI!D37/B37)</f>
        <v/>
      </c>
      <c r="G37" s="67">
        <f>IF(Raw_Data_LI!E37="","",Raw_Data_LI!E37/B37)</f>
        <v/>
      </c>
      <c r="H37" s="67">
        <f>IF(Raw_Data_LI!F37="","",Raw_Data_LI!F37/B37)</f>
        <v/>
      </c>
      <c r="I37" s="67">
        <f>IF(Raw_Data_LI!G37="","",Raw_Data_LI!G37/B37)</f>
        <v/>
      </c>
      <c r="J37" s="67">
        <f>IF(Raw_Data_LI!H37="","",Raw_Data_LI!H37/B37)</f>
        <v/>
      </c>
      <c r="K37" s="67">
        <f>IF(Raw_Data_LI!I37="","",Raw_Data_LI!I37/B37)</f>
        <v/>
      </c>
      <c r="L37" s="67">
        <f>IF(AND(D37=1,ISNUMBER(F37),F37&gt;0),F37,"")</f>
        <v/>
      </c>
      <c r="M37" s="67">
        <f>IF(AND(D37=1,ISNUMBER(G37),G37&gt;0),G37,"")</f>
        <v/>
      </c>
      <c r="N37" s="67">
        <f>IF(AND(D37=1,ISNUMBER(H37),H37&gt;0),H37,"")</f>
        <v/>
      </c>
      <c r="O37" s="67">
        <f>IF(AND(D37=1,ISNUMBER(I37),I37&gt;0),I37,"")</f>
        <v/>
      </c>
      <c r="P37" s="67">
        <f>IF(AND(D37=1,ISNUMBER(J37),J37&gt;0),J37,"")</f>
        <v/>
      </c>
      <c r="Q37" s="67">
        <f>IF(AND(D37=1,ISNUMBER(K37),K37&gt;0),K37,"")</f>
        <v/>
      </c>
      <c r="R37" s="68">
        <f>IF(AND(ISNUMBER(F37),L$4&gt;=cfg_li_min_mid_samples),F37/L$5,"")</f>
        <v/>
      </c>
      <c r="S37" s="68">
        <f>IF(AND(ISNUMBER(G37),M$4&gt;=cfg_li_min_mid_samples),G37/M$5,"")</f>
        <v/>
      </c>
      <c r="T37" s="68">
        <f>IF(AND(ISNUMBER(H37),N$4&gt;=cfg_li_min_mid_samples),H37/N$5,"")</f>
        <v/>
      </c>
      <c r="U37" s="68">
        <f>IF(AND(ISNUMBER(I37),O$4&gt;=cfg_li_min_mid_samples),I37/O$5,"")</f>
        <v/>
      </c>
      <c r="V37" s="68">
        <f>IF(AND(ISNUMBER(J37),P$4&gt;=cfg_li_min_mid_samples),J37/P$5,"")</f>
        <v/>
      </c>
      <c r="W37" s="68">
        <f>IF(AND(ISNUMBER(K37),Q$4&gt;=cfg_li_min_mid_samples),K37/Q$5,"")</f>
        <v/>
      </c>
      <c r="X37">
        <f>COUNT(R37:W37)</f>
        <v/>
      </c>
      <c r="Y37" s="68">
        <f>IF(X37&gt;=cfg_li_min_peers,MEDIAN(R37:W37),"")</f>
        <v/>
      </c>
      <c r="Z37" s="68">
        <f>IF(AND(ISNUMBER(R37),ISNUMBER(Y37)),R37/Y37,"")</f>
        <v/>
      </c>
      <c r="AA37" s="68">
        <f>IF(AND(ISNUMBER(S37),ISNUMBER(Y37)),S37/Y37,"")</f>
        <v/>
      </c>
      <c r="AB37" s="68">
        <f>IF(AND(ISNUMBER(T37),ISNUMBER(Y37)),T37/Y37,"")</f>
        <v/>
      </c>
      <c r="AC37" s="68">
        <f>IF(AND(ISNUMBER(U37),ISNUMBER(Y37)),U37/Y37,"")</f>
        <v/>
      </c>
      <c r="AD37" s="68">
        <f>IF(AND(ISNUMBER(V37),ISNUMBER(Y37)),V37/Y37,"")</f>
        <v/>
      </c>
      <c r="AE37" s="68">
        <f>IF(AND(ISNUMBER(W37),ISNUMBER(Y37)),W37/Y37,"")</f>
        <v/>
      </c>
      <c r="AF37" s="68">
        <f>IF(AND(E37=1,ISNUMBER(Z37)),Z37,"")</f>
        <v/>
      </c>
      <c r="AG37" s="68">
        <f>IF(AND(E37=1,ISNUMBER(AA37)),AA37,"")</f>
        <v/>
      </c>
      <c r="AH37" s="68">
        <f>IF(AND(E37=1,ISNUMBER(AB37)),AB37,"")</f>
        <v/>
      </c>
      <c r="AI37" s="68">
        <f>IF(AND(E37=1,ISNUMBER(AC37)),AC37,"")</f>
        <v/>
      </c>
      <c r="AJ37" s="68">
        <f>IF(AND(E37=1,ISNUMBER(AD37)),AD37,"")</f>
        <v/>
      </c>
      <c r="AK37" s="68">
        <f>IF(AND(E37=1,ISNUMBER(AE37)),AE37,"")</f>
        <v/>
      </c>
    </row>
    <row r="38">
      <c r="A38" s="65">
        <f>Raw_Data_LI!A38</f>
        <v/>
      </c>
      <c r="B38" s="66">
        <f>Raw_Data_LI!B38</f>
        <v/>
      </c>
      <c r="C38" s="66">
        <f>Raw_Data_LI!C38</f>
        <v/>
      </c>
      <c r="D38">
        <f>IF(AND(B38&gt;=cfg_li_poa_mid_min,B38&lt;=cfg_li_poa_mid_max),1,0)</f>
        <v/>
      </c>
      <c r="E38">
        <f>IF(AND(B38&gt;=cfg_li_poa_low_min,B38&lt;=cfg_li_poa_low_max,C38&gt;=cfg_li_low_elev_min),1,0)</f>
        <v/>
      </c>
      <c r="F38" s="67">
        <f>IF(Raw_Data_LI!D38="","",Raw_Data_LI!D38/B38)</f>
        <v/>
      </c>
      <c r="G38" s="67">
        <f>IF(Raw_Data_LI!E38="","",Raw_Data_LI!E38/B38)</f>
        <v/>
      </c>
      <c r="H38" s="67">
        <f>IF(Raw_Data_LI!F38="","",Raw_Data_LI!F38/B38)</f>
        <v/>
      </c>
      <c r="I38" s="67">
        <f>IF(Raw_Data_LI!G38="","",Raw_Data_LI!G38/B38)</f>
        <v/>
      </c>
      <c r="J38" s="67">
        <f>IF(Raw_Data_LI!H38="","",Raw_Data_LI!H38/B38)</f>
        <v/>
      </c>
      <c r="K38" s="67">
        <f>IF(Raw_Data_LI!I38="","",Raw_Data_LI!I38/B38)</f>
        <v/>
      </c>
      <c r="L38" s="67">
        <f>IF(AND(D38=1,ISNUMBER(F38),F38&gt;0),F38,"")</f>
        <v/>
      </c>
      <c r="M38" s="67">
        <f>IF(AND(D38=1,ISNUMBER(G38),G38&gt;0),G38,"")</f>
        <v/>
      </c>
      <c r="N38" s="67">
        <f>IF(AND(D38=1,ISNUMBER(H38),H38&gt;0),H38,"")</f>
        <v/>
      </c>
      <c r="O38" s="67">
        <f>IF(AND(D38=1,ISNUMBER(I38),I38&gt;0),I38,"")</f>
        <v/>
      </c>
      <c r="P38" s="67">
        <f>IF(AND(D38=1,ISNUMBER(J38),J38&gt;0),J38,"")</f>
        <v/>
      </c>
      <c r="Q38" s="67">
        <f>IF(AND(D38=1,ISNUMBER(K38),K38&gt;0),K38,"")</f>
        <v/>
      </c>
      <c r="R38" s="68">
        <f>IF(AND(ISNUMBER(F38),L$4&gt;=cfg_li_min_mid_samples),F38/L$5,"")</f>
        <v/>
      </c>
      <c r="S38" s="68">
        <f>IF(AND(ISNUMBER(G38),M$4&gt;=cfg_li_min_mid_samples),G38/M$5,"")</f>
        <v/>
      </c>
      <c r="T38" s="68">
        <f>IF(AND(ISNUMBER(H38),N$4&gt;=cfg_li_min_mid_samples),H38/N$5,"")</f>
        <v/>
      </c>
      <c r="U38" s="68">
        <f>IF(AND(ISNUMBER(I38),O$4&gt;=cfg_li_min_mid_samples),I38/O$5,"")</f>
        <v/>
      </c>
      <c r="V38" s="68">
        <f>IF(AND(ISNUMBER(J38),P$4&gt;=cfg_li_min_mid_samples),J38/P$5,"")</f>
        <v/>
      </c>
      <c r="W38" s="68">
        <f>IF(AND(ISNUMBER(K38),Q$4&gt;=cfg_li_min_mid_samples),K38/Q$5,"")</f>
        <v/>
      </c>
      <c r="X38">
        <f>COUNT(R38:W38)</f>
        <v/>
      </c>
      <c r="Y38" s="68">
        <f>IF(X38&gt;=cfg_li_min_peers,MEDIAN(R38:W38),"")</f>
        <v/>
      </c>
      <c r="Z38" s="68">
        <f>IF(AND(ISNUMBER(R38),ISNUMBER(Y38)),R38/Y38,"")</f>
        <v/>
      </c>
      <c r="AA38" s="68">
        <f>IF(AND(ISNUMBER(S38),ISNUMBER(Y38)),S38/Y38,"")</f>
        <v/>
      </c>
      <c r="AB38" s="68">
        <f>IF(AND(ISNUMBER(T38),ISNUMBER(Y38)),T38/Y38,"")</f>
        <v/>
      </c>
      <c r="AC38" s="68">
        <f>IF(AND(ISNUMBER(U38),ISNUMBER(Y38)),U38/Y38,"")</f>
        <v/>
      </c>
      <c r="AD38" s="68">
        <f>IF(AND(ISNUMBER(V38),ISNUMBER(Y38)),V38/Y38,"")</f>
        <v/>
      </c>
      <c r="AE38" s="68">
        <f>IF(AND(ISNUMBER(W38),ISNUMBER(Y38)),W38/Y38,"")</f>
        <v/>
      </c>
      <c r="AF38" s="68">
        <f>IF(AND(E38=1,ISNUMBER(Z38)),Z38,"")</f>
        <v/>
      </c>
      <c r="AG38" s="68">
        <f>IF(AND(E38=1,ISNUMBER(AA38)),AA38,"")</f>
        <v/>
      </c>
      <c r="AH38" s="68">
        <f>IF(AND(E38=1,ISNUMBER(AB38)),AB38,"")</f>
        <v/>
      </c>
      <c r="AI38" s="68">
        <f>IF(AND(E38=1,ISNUMBER(AC38)),AC38,"")</f>
        <v/>
      </c>
      <c r="AJ38" s="68">
        <f>IF(AND(E38=1,ISNUMBER(AD38)),AD38,"")</f>
        <v/>
      </c>
      <c r="AK38" s="68">
        <f>IF(AND(E38=1,ISNUMBER(AE38)),AE38,"")</f>
        <v/>
      </c>
    </row>
    <row r="39">
      <c r="A39" s="65">
        <f>Raw_Data_LI!A39</f>
        <v/>
      </c>
      <c r="B39" s="66">
        <f>Raw_Data_LI!B39</f>
        <v/>
      </c>
      <c r="C39" s="66">
        <f>Raw_Data_LI!C39</f>
        <v/>
      </c>
      <c r="D39">
        <f>IF(AND(B39&gt;=cfg_li_poa_mid_min,B39&lt;=cfg_li_poa_mid_max),1,0)</f>
        <v/>
      </c>
      <c r="E39">
        <f>IF(AND(B39&gt;=cfg_li_poa_low_min,B39&lt;=cfg_li_poa_low_max,C39&gt;=cfg_li_low_elev_min),1,0)</f>
        <v/>
      </c>
      <c r="F39" s="67">
        <f>IF(Raw_Data_LI!D39="","",Raw_Data_LI!D39/B39)</f>
        <v/>
      </c>
      <c r="G39" s="67">
        <f>IF(Raw_Data_LI!E39="","",Raw_Data_LI!E39/B39)</f>
        <v/>
      </c>
      <c r="H39" s="67">
        <f>IF(Raw_Data_LI!F39="","",Raw_Data_LI!F39/B39)</f>
        <v/>
      </c>
      <c r="I39" s="67">
        <f>IF(Raw_Data_LI!G39="","",Raw_Data_LI!G39/B39)</f>
        <v/>
      </c>
      <c r="J39" s="67">
        <f>IF(Raw_Data_LI!H39="","",Raw_Data_LI!H39/B39)</f>
        <v/>
      </c>
      <c r="K39" s="67">
        <f>IF(Raw_Data_LI!I39="","",Raw_Data_LI!I39/B39)</f>
        <v/>
      </c>
      <c r="L39" s="67">
        <f>IF(AND(D39=1,ISNUMBER(F39),F39&gt;0),F39,"")</f>
        <v/>
      </c>
      <c r="M39" s="67">
        <f>IF(AND(D39=1,ISNUMBER(G39),G39&gt;0),G39,"")</f>
        <v/>
      </c>
      <c r="N39" s="67">
        <f>IF(AND(D39=1,ISNUMBER(H39),H39&gt;0),H39,"")</f>
        <v/>
      </c>
      <c r="O39" s="67">
        <f>IF(AND(D39=1,ISNUMBER(I39),I39&gt;0),I39,"")</f>
        <v/>
      </c>
      <c r="P39" s="67">
        <f>IF(AND(D39=1,ISNUMBER(J39),J39&gt;0),J39,"")</f>
        <v/>
      </c>
      <c r="Q39" s="67">
        <f>IF(AND(D39=1,ISNUMBER(K39),K39&gt;0),K39,"")</f>
        <v/>
      </c>
      <c r="R39" s="68">
        <f>IF(AND(ISNUMBER(F39),L$4&gt;=cfg_li_min_mid_samples),F39/L$5,"")</f>
        <v/>
      </c>
      <c r="S39" s="68">
        <f>IF(AND(ISNUMBER(G39),M$4&gt;=cfg_li_min_mid_samples),G39/M$5,"")</f>
        <v/>
      </c>
      <c r="T39" s="68">
        <f>IF(AND(ISNUMBER(H39),N$4&gt;=cfg_li_min_mid_samples),H39/N$5,"")</f>
        <v/>
      </c>
      <c r="U39" s="68">
        <f>IF(AND(ISNUMBER(I39),O$4&gt;=cfg_li_min_mid_samples),I39/O$5,"")</f>
        <v/>
      </c>
      <c r="V39" s="68">
        <f>IF(AND(ISNUMBER(J39),P$4&gt;=cfg_li_min_mid_samples),J39/P$5,"")</f>
        <v/>
      </c>
      <c r="W39" s="68">
        <f>IF(AND(ISNUMBER(K39),Q$4&gt;=cfg_li_min_mid_samples),K39/Q$5,"")</f>
        <v/>
      </c>
      <c r="X39">
        <f>COUNT(R39:W39)</f>
        <v/>
      </c>
      <c r="Y39" s="68">
        <f>IF(X39&gt;=cfg_li_min_peers,MEDIAN(R39:W39),"")</f>
        <v/>
      </c>
      <c r="Z39" s="68">
        <f>IF(AND(ISNUMBER(R39),ISNUMBER(Y39)),R39/Y39,"")</f>
        <v/>
      </c>
      <c r="AA39" s="68">
        <f>IF(AND(ISNUMBER(S39),ISNUMBER(Y39)),S39/Y39,"")</f>
        <v/>
      </c>
      <c r="AB39" s="68">
        <f>IF(AND(ISNUMBER(T39),ISNUMBER(Y39)),T39/Y39,"")</f>
        <v/>
      </c>
      <c r="AC39" s="68">
        <f>IF(AND(ISNUMBER(U39),ISNUMBER(Y39)),U39/Y39,"")</f>
        <v/>
      </c>
      <c r="AD39" s="68">
        <f>IF(AND(ISNUMBER(V39),ISNUMBER(Y39)),V39/Y39,"")</f>
        <v/>
      </c>
      <c r="AE39" s="68">
        <f>IF(AND(ISNUMBER(W39),ISNUMBER(Y39)),W39/Y39,"")</f>
        <v/>
      </c>
      <c r="AF39" s="68">
        <f>IF(AND(E39=1,ISNUMBER(Z39)),Z39,"")</f>
        <v/>
      </c>
      <c r="AG39" s="68">
        <f>IF(AND(E39=1,ISNUMBER(AA39)),AA39,"")</f>
        <v/>
      </c>
      <c r="AH39" s="68">
        <f>IF(AND(E39=1,ISNUMBER(AB39)),AB39,"")</f>
        <v/>
      </c>
      <c r="AI39" s="68">
        <f>IF(AND(E39=1,ISNUMBER(AC39)),AC39,"")</f>
        <v/>
      </c>
      <c r="AJ39" s="68">
        <f>IF(AND(E39=1,ISNUMBER(AD39)),AD39,"")</f>
        <v/>
      </c>
      <c r="AK39" s="68">
        <f>IF(AND(E39=1,ISNUMBER(AE39)),AE39,"")</f>
        <v/>
      </c>
    </row>
    <row r="40">
      <c r="A40" s="65">
        <f>Raw_Data_LI!A40</f>
        <v/>
      </c>
      <c r="B40" s="66">
        <f>Raw_Data_LI!B40</f>
        <v/>
      </c>
      <c r="C40" s="66">
        <f>Raw_Data_LI!C40</f>
        <v/>
      </c>
      <c r="D40">
        <f>IF(AND(B40&gt;=cfg_li_poa_mid_min,B40&lt;=cfg_li_poa_mid_max),1,0)</f>
        <v/>
      </c>
      <c r="E40">
        <f>IF(AND(B40&gt;=cfg_li_poa_low_min,B40&lt;=cfg_li_poa_low_max,C40&gt;=cfg_li_low_elev_min),1,0)</f>
        <v/>
      </c>
      <c r="F40" s="67">
        <f>IF(Raw_Data_LI!D40="","",Raw_Data_LI!D40/B40)</f>
        <v/>
      </c>
      <c r="G40" s="67">
        <f>IF(Raw_Data_LI!E40="","",Raw_Data_LI!E40/B40)</f>
        <v/>
      </c>
      <c r="H40" s="67">
        <f>IF(Raw_Data_LI!F40="","",Raw_Data_LI!F40/B40)</f>
        <v/>
      </c>
      <c r="I40" s="67">
        <f>IF(Raw_Data_LI!G40="","",Raw_Data_LI!G40/B40)</f>
        <v/>
      </c>
      <c r="J40" s="67">
        <f>IF(Raw_Data_LI!H40="","",Raw_Data_LI!H40/B40)</f>
        <v/>
      </c>
      <c r="K40" s="67">
        <f>IF(Raw_Data_LI!I40="","",Raw_Data_LI!I40/B40)</f>
        <v/>
      </c>
      <c r="L40" s="67">
        <f>IF(AND(D40=1,ISNUMBER(F40),F40&gt;0),F40,"")</f>
        <v/>
      </c>
      <c r="M40" s="67">
        <f>IF(AND(D40=1,ISNUMBER(G40),G40&gt;0),G40,"")</f>
        <v/>
      </c>
      <c r="N40" s="67">
        <f>IF(AND(D40=1,ISNUMBER(H40),H40&gt;0),H40,"")</f>
        <v/>
      </c>
      <c r="O40" s="67">
        <f>IF(AND(D40=1,ISNUMBER(I40),I40&gt;0),I40,"")</f>
        <v/>
      </c>
      <c r="P40" s="67">
        <f>IF(AND(D40=1,ISNUMBER(J40),J40&gt;0),J40,"")</f>
        <v/>
      </c>
      <c r="Q40" s="67">
        <f>IF(AND(D40=1,ISNUMBER(K40),K40&gt;0),K40,"")</f>
        <v/>
      </c>
      <c r="R40" s="68">
        <f>IF(AND(ISNUMBER(F40),L$4&gt;=cfg_li_min_mid_samples),F40/L$5,"")</f>
        <v/>
      </c>
      <c r="S40" s="68">
        <f>IF(AND(ISNUMBER(G40),M$4&gt;=cfg_li_min_mid_samples),G40/M$5,"")</f>
        <v/>
      </c>
      <c r="T40" s="68">
        <f>IF(AND(ISNUMBER(H40),N$4&gt;=cfg_li_min_mid_samples),H40/N$5,"")</f>
        <v/>
      </c>
      <c r="U40" s="68">
        <f>IF(AND(ISNUMBER(I40),O$4&gt;=cfg_li_min_mid_samples),I40/O$5,"")</f>
        <v/>
      </c>
      <c r="V40" s="68">
        <f>IF(AND(ISNUMBER(J40),P$4&gt;=cfg_li_min_mid_samples),J40/P$5,"")</f>
        <v/>
      </c>
      <c r="W40" s="68">
        <f>IF(AND(ISNUMBER(K40),Q$4&gt;=cfg_li_min_mid_samples),K40/Q$5,"")</f>
        <v/>
      </c>
      <c r="X40">
        <f>COUNT(R40:W40)</f>
        <v/>
      </c>
      <c r="Y40" s="68">
        <f>IF(X40&gt;=cfg_li_min_peers,MEDIAN(R40:W40),"")</f>
        <v/>
      </c>
      <c r="Z40" s="68">
        <f>IF(AND(ISNUMBER(R40),ISNUMBER(Y40)),R40/Y40,"")</f>
        <v/>
      </c>
      <c r="AA40" s="68">
        <f>IF(AND(ISNUMBER(S40),ISNUMBER(Y40)),S40/Y40,"")</f>
        <v/>
      </c>
      <c r="AB40" s="68">
        <f>IF(AND(ISNUMBER(T40),ISNUMBER(Y40)),T40/Y40,"")</f>
        <v/>
      </c>
      <c r="AC40" s="68">
        <f>IF(AND(ISNUMBER(U40),ISNUMBER(Y40)),U40/Y40,"")</f>
        <v/>
      </c>
      <c r="AD40" s="68">
        <f>IF(AND(ISNUMBER(V40),ISNUMBER(Y40)),V40/Y40,"")</f>
        <v/>
      </c>
      <c r="AE40" s="68">
        <f>IF(AND(ISNUMBER(W40),ISNUMBER(Y40)),W40/Y40,"")</f>
        <v/>
      </c>
      <c r="AF40" s="68">
        <f>IF(AND(E40=1,ISNUMBER(Z40)),Z40,"")</f>
        <v/>
      </c>
      <c r="AG40" s="68">
        <f>IF(AND(E40=1,ISNUMBER(AA40)),AA40,"")</f>
        <v/>
      </c>
      <c r="AH40" s="68">
        <f>IF(AND(E40=1,ISNUMBER(AB40)),AB40,"")</f>
        <v/>
      </c>
      <c r="AI40" s="68">
        <f>IF(AND(E40=1,ISNUMBER(AC40)),AC40,"")</f>
        <v/>
      </c>
      <c r="AJ40" s="68">
        <f>IF(AND(E40=1,ISNUMBER(AD40)),AD40,"")</f>
        <v/>
      </c>
      <c r="AK40" s="68">
        <f>IF(AND(E40=1,ISNUMBER(AE40)),AE40,"")</f>
        <v/>
      </c>
    </row>
    <row r="41">
      <c r="A41" s="65">
        <f>Raw_Data_LI!A41</f>
        <v/>
      </c>
      <c r="B41" s="66">
        <f>Raw_Data_LI!B41</f>
        <v/>
      </c>
      <c r="C41" s="66">
        <f>Raw_Data_LI!C41</f>
        <v/>
      </c>
      <c r="D41">
        <f>IF(AND(B41&gt;=cfg_li_poa_mid_min,B41&lt;=cfg_li_poa_mid_max),1,0)</f>
        <v/>
      </c>
      <c r="E41">
        <f>IF(AND(B41&gt;=cfg_li_poa_low_min,B41&lt;=cfg_li_poa_low_max,C41&gt;=cfg_li_low_elev_min),1,0)</f>
        <v/>
      </c>
      <c r="F41" s="67">
        <f>IF(Raw_Data_LI!D41="","",Raw_Data_LI!D41/B41)</f>
        <v/>
      </c>
      <c r="G41" s="67">
        <f>IF(Raw_Data_LI!E41="","",Raw_Data_LI!E41/B41)</f>
        <v/>
      </c>
      <c r="H41" s="67">
        <f>IF(Raw_Data_LI!F41="","",Raw_Data_LI!F41/B41)</f>
        <v/>
      </c>
      <c r="I41" s="67">
        <f>IF(Raw_Data_LI!G41="","",Raw_Data_LI!G41/B41)</f>
        <v/>
      </c>
      <c r="J41" s="67">
        <f>IF(Raw_Data_LI!H41="","",Raw_Data_LI!H41/B41)</f>
        <v/>
      </c>
      <c r="K41" s="67">
        <f>IF(Raw_Data_LI!I41="","",Raw_Data_LI!I41/B41)</f>
        <v/>
      </c>
      <c r="L41" s="67">
        <f>IF(AND(D41=1,ISNUMBER(F41),F41&gt;0),F41,"")</f>
        <v/>
      </c>
      <c r="M41" s="67">
        <f>IF(AND(D41=1,ISNUMBER(G41),G41&gt;0),G41,"")</f>
        <v/>
      </c>
      <c r="N41" s="67">
        <f>IF(AND(D41=1,ISNUMBER(H41),H41&gt;0),H41,"")</f>
        <v/>
      </c>
      <c r="O41" s="67">
        <f>IF(AND(D41=1,ISNUMBER(I41),I41&gt;0),I41,"")</f>
        <v/>
      </c>
      <c r="P41" s="67">
        <f>IF(AND(D41=1,ISNUMBER(J41),J41&gt;0),J41,"")</f>
        <v/>
      </c>
      <c r="Q41" s="67">
        <f>IF(AND(D41=1,ISNUMBER(K41),K41&gt;0),K41,"")</f>
        <v/>
      </c>
      <c r="R41" s="68">
        <f>IF(AND(ISNUMBER(F41),L$4&gt;=cfg_li_min_mid_samples),F41/L$5,"")</f>
        <v/>
      </c>
      <c r="S41" s="68">
        <f>IF(AND(ISNUMBER(G41),M$4&gt;=cfg_li_min_mid_samples),G41/M$5,"")</f>
        <v/>
      </c>
      <c r="T41" s="68">
        <f>IF(AND(ISNUMBER(H41),N$4&gt;=cfg_li_min_mid_samples),H41/N$5,"")</f>
        <v/>
      </c>
      <c r="U41" s="68">
        <f>IF(AND(ISNUMBER(I41),O$4&gt;=cfg_li_min_mid_samples),I41/O$5,"")</f>
        <v/>
      </c>
      <c r="V41" s="68">
        <f>IF(AND(ISNUMBER(J41),P$4&gt;=cfg_li_min_mid_samples),J41/P$5,"")</f>
        <v/>
      </c>
      <c r="W41" s="68">
        <f>IF(AND(ISNUMBER(K41),Q$4&gt;=cfg_li_min_mid_samples),K41/Q$5,"")</f>
        <v/>
      </c>
      <c r="X41">
        <f>COUNT(R41:W41)</f>
        <v/>
      </c>
      <c r="Y41" s="68">
        <f>IF(X41&gt;=cfg_li_min_peers,MEDIAN(R41:W41),"")</f>
        <v/>
      </c>
      <c r="Z41" s="68">
        <f>IF(AND(ISNUMBER(R41),ISNUMBER(Y41)),R41/Y41,"")</f>
        <v/>
      </c>
      <c r="AA41" s="68">
        <f>IF(AND(ISNUMBER(S41),ISNUMBER(Y41)),S41/Y41,"")</f>
        <v/>
      </c>
      <c r="AB41" s="68">
        <f>IF(AND(ISNUMBER(T41),ISNUMBER(Y41)),T41/Y41,"")</f>
        <v/>
      </c>
      <c r="AC41" s="68">
        <f>IF(AND(ISNUMBER(U41),ISNUMBER(Y41)),U41/Y41,"")</f>
        <v/>
      </c>
      <c r="AD41" s="68">
        <f>IF(AND(ISNUMBER(V41),ISNUMBER(Y41)),V41/Y41,"")</f>
        <v/>
      </c>
      <c r="AE41" s="68">
        <f>IF(AND(ISNUMBER(W41),ISNUMBER(Y41)),W41/Y41,"")</f>
        <v/>
      </c>
      <c r="AF41" s="68">
        <f>IF(AND(E41=1,ISNUMBER(Z41)),Z41,"")</f>
        <v/>
      </c>
      <c r="AG41" s="68">
        <f>IF(AND(E41=1,ISNUMBER(AA41)),AA41,"")</f>
        <v/>
      </c>
      <c r="AH41" s="68">
        <f>IF(AND(E41=1,ISNUMBER(AB41)),AB41,"")</f>
        <v/>
      </c>
      <c r="AI41" s="68">
        <f>IF(AND(E41=1,ISNUMBER(AC41)),AC41,"")</f>
        <v/>
      </c>
      <c r="AJ41" s="68">
        <f>IF(AND(E41=1,ISNUMBER(AD41)),AD41,"")</f>
        <v/>
      </c>
      <c r="AK41" s="68">
        <f>IF(AND(E41=1,ISNUMBER(AE41)),AE41,"")</f>
        <v/>
      </c>
    </row>
    <row r="42">
      <c r="A42" s="65">
        <f>Raw_Data_LI!A42</f>
        <v/>
      </c>
      <c r="B42" s="66">
        <f>Raw_Data_LI!B42</f>
        <v/>
      </c>
      <c r="C42" s="66">
        <f>Raw_Data_LI!C42</f>
        <v/>
      </c>
      <c r="D42">
        <f>IF(AND(B42&gt;=cfg_li_poa_mid_min,B42&lt;=cfg_li_poa_mid_max),1,0)</f>
        <v/>
      </c>
      <c r="E42">
        <f>IF(AND(B42&gt;=cfg_li_poa_low_min,B42&lt;=cfg_li_poa_low_max,C42&gt;=cfg_li_low_elev_min),1,0)</f>
        <v/>
      </c>
      <c r="F42" s="67">
        <f>IF(Raw_Data_LI!D42="","",Raw_Data_LI!D42/B42)</f>
        <v/>
      </c>
      <c r="G42" s="67">
        <f>IF(Raw_Data_LI!E42="","",Raw_Data_LI!E42/B42)</f>
        <v/>
      </c>
      <c r="H42" s="67">
        <f>IF(Raw_Data_LI!F42="","",Raw_Data_LI!F42/B42)</f>
        <v/>
      </c>
      <c r="I42" s="67">
        <f>IF(Raw_Data_LI!G42="","",Raw_Data_LI!G42/B42)</f>
        <v/>
      </c>
      <c r="J42" s="67">
        <f>IF(Raw_Data_LI!H42="","",Raw_Data_LI!H42/B42)</f>
        <v/>
      </c>
      <c r="K42" s="67">
        <f>IF(Raw_Data_LI!I42="","",Raw_Data_LI!I42/B42)</f>
        <v/>
      </c>
      <c r="L42" s="67">
        <f>IF(AND(D42=1,ISNUMBER(F42),F42&gt;0),F42,"")</f>
        <v/>
      </c>
      <c r="M42" s="67">
        <f>IF(AND(D42=1,ISNUMBER(G42),G42&gt;0),G42,"")</f>
        <v/>
      </c>
      <c r="N42" s="67">
        <f>IF(AND(D42=1,ISNUMBER(H42),H42&gt;0),H42,"")</f>
        <v/>
      </c>
      <c r="O42" s="67">
        <f>IF(AND(D42=1,ISNUMBER(I42),I42&gt;0),I42,"")</f>
        <v/>
      </c>
      <c r="P42" s="67">
        <f>IF(AND(D42=1,ISNUMBER(J42),J42&gt;0),J42,"")</f>
        <v/>
      </c>
      <c r="Q42" s="67">
        <f>IF(AND(D42=1,ISNUMBER(K42),K42&gt;0),K42,"")</f>
        <v/>
      </c>
      <c r="R42" s="68">
        <f>IF(AND(ISNUMBER(F42),L$4&gt;=cfg_li_min_mid_samples),F42/L$5,"")</f>
        <v/>
      </c>
      <c r="S42" s="68">
        <f>IF(AND(ISNUMBER(G42),M$4&gt;=cfg_li_min_mid_samples),G42/M$5,"")</f>
        <v/>
      </c>
      <c r="T42" s="68">
        <f>IF(AND(ISNUMBER(H42),N$4&gt;=cfg_li_min_mid_samples),H42/N$5,"")</f>
        <v/>
      </c>
      <c r="U42" s="68">
        <f>IF(AND(ISNUMBER(I42),O$4&gt;=cfg_li_min_mid_samples),I42/O$5,"")</f>
        <v/>
      </c>
      <c r="V42" s="68">
        <f>IF(AND(ISNUMBER(J42),P$4&gt;=cfg_li_min_mid_samples),J42/P$5,"")</f>
        <v/>
      </c>
      <c r="W42" s="68">
        <f>IF(AND(ISNUMBER(K42),Q$4&gt;=cfg_li_min_mid_samples),K42/Q$5,"")</f>
        <v/>
      </c>
      <c r="X42">
        <f>COUNT(R42:W42)</f>
        <v/>
      </c>
      <c r="Y42" s="68">
        <f>IF(X42&gt;=cfg_li_min_peers,MEDIAN(R42:W42),"")</f>
        <v/>
      </c>
      <c r="Z42" s="68">
        <f>IF(AND(ISNUMBER(R42),ISNUMBER(Y42)),R42/Y42,"")</f>
        <v/>
      </c>
      <c r="AA42" s="68">
        <f>IF(AND(ISNUMBER(S42),ISNUMBER(Y42)),S42/Y42,"")</f>
        <v/>
      </c>
      <c r="AB42" s="68">
        <f>IF(AND(ISNUMBER(T42),ISNUMBER(Y42)),T42/Y42,"")</f>
        <v/>
      </c>
      <c r="AC42" s="68">
        <f>IF(AND(ISNUMBER(U42),ISNUMBER(Y42)),U42/Y42,"")</f>
        <v/>
      </c>
      <c r="AD42" s="68">
        <f>IF(AND(ISNUMBER(V42),ISNUMBER(Y42)),V42/Y42,"")</f>
        <v/>
      </c>
      <c r="AE42" s="68">
        <f>IF(AND(ISNUMBER(W42),ISNUMBER(Y42)),W42/Y42,"")</f>
        <v/>
      </c>
      <c r="AF42" s="68">
        <f>IF(AND(E42=1,ISNUMBER(Z42)),Z42,"")</f>
        <v/>
      </c>
      <c r="AG42" s="68">
        <f>IF(AND(E42=1,ISNUMBER(AA42)),AA42,"")</f>
        <v/>
      </c>
      <c r="AH42" s="68">
        <f>IF(AND(E42=1,ISNUMBER(AB42)),AB42,"")</f>
        <v/>
      </c>
      <c r="AI42" s="68">
        <f>IF(AND(E42=1,ISNUMBER(AC42)),AC42,"")</f>
        <v/>
      </c>
      <c r="AJ42" s="68">
        <f>IF(AND(E42=1,ISNUMBER(AD42)),AD42,"")</f>
        <v/>
      </c>
      <c r="AK42" s="68">
        <f>IF(AND(E42=1,ISNUMBER(AE42)),AE42,"")</f>
        <v/>
      </c>
    </row>
    <row r="43">
      <c r="A43" s="65">
        <f>Raw_Data_LI!A43</f>
        <v/>
      </c>
      <c r="B43" s="66">
        <f>Raw_Data_LI!B43</f>
        <v/>
      </c>
      <c r="C43" s="66">
        <f>Raw_Data_LI!C43</f>
        <v/>
      </c>
      <c r="D43">
        <f>IF(AND(B43&gt;=cfg_li_poa_mid_min,B43&lt;=cfg_li_poa_mid_max),1,0)</f>
        <v/>
      </c>
      <c r="E43">
        <f>IF(AND(B43&gt;=cfg_li_poa_low_min,B43&lt;=cfg_li_poa_low_max,C43&gt;=cfg_li_low_elev_min),1,0)</f>
        <v/>
      </c>
      <c r="F43" s="67">
        <f>IF(Raw_Data_LI!D43="","",Raw_Data_LI!D43/B43)</f>
        <v/>
      </c>
      <c r="G43" s="67">
        <f>IF(Raw_Data_LI!E43="","",Raw_Data_LI!E43/B43)</f>
        <v/>
      </c>
      <c r="H43" s="67">
        <f>IF(Raw_Data_LI!F43="","",Raw_Data_LI!F43/B43)</f>
        <v/>
      </c>
      <c r="I43" s="67">
        <f>IF(Raw_Data_LI!G43="","",Raw_Data_LI!G43/B43)</f>
        <v/>
      </c>
      <c r="J43" s="67">
        <f>IF(Raw_Data_LI!H43="","",Raw_Data_LI!H43/B43)</f>
        <v/>
      </c>
      <c r="K43" s="67">
        <f>IF(Raw_Data_LI!I43="","",Raw_Data_LI!I43/B43)</f>
        <v/>
      </c>
      <c r="L43" s="67">
        <f>IF(AND(D43=1,ISNUMBER(F43),F43&gt;0),F43,"")</f>
        <v/>
      </c>
      <c r="M43" s="67">
        <f>IF(AND(D43=1,ISNUMBER(G43),G43&gt;0),G43,"")</f>
        <v/>
      </c>
      <c r="N43" s="67">
        <f>IF(AND(D43=1,ISNUMBER(H43),H43&gt;0),H43,"")</f>
        <v/>
      </c>
      <c r="O43" s="67">
        <f>IF(AND(D43=1,ISNUMBER(I43),I43&gt;0),I43,"")</f>
        <v/>
      </c>
      <c r="P43" s="67">
        <f>IF(AND(D43=1,ISNUMBER(J43),J43&gt;0),J43,"")</f>
        <v/>
      </c>
      <c r="Q43" s="67">
        <f>IF(AND(D43=1,ISNUMBER(K43),K43&gt;0),K43,"")</f>
        <v/>
      </c>
      <c r="R43" s="68">
        <f>IF(AND(ISNUMBER(F43),L$4&gt;=cfg_li_min_mid_samples),F43/L$5,"")</f>
        <v/>
      </c>
      <c r="S43" s="68">
        <f>IF(AND(ISNUMBER(G43),M$4&gt;=cfg_li_min_mid_samples),G43/M$5,"")</f>
        <v/>
      </c>
      <c r="T43" s="68">
        <f>IF(AND(ISNUMBER(H43),N$4&gt;=cfg_li_min_mid_samples),H43/N$5,"")</f>
        <v/>
      </c>
      <c r="U43" s="68">
        <f>IF(AND(ISNUMBER(I43),O$4&gt;=cfg_li_min_mid_samples),I43/O$5,"")</f>
        <v/>
      </c>
      <c r="V43" s="68">
        <f>IF(AND(ISNUMBER(J43),P$4&gt;=cfg_li_min_mid_samples),J43/P$5,"")</f>
        <v/>
      </c>
      <c r="W43" s="68">
        <f>IF(AND(ISNUMBER(K43),Q$4&gt;=cfg_li_min_mid_samples),K43/Q$5,"")</f>
        <v/>
      </c>
      <c r="X43">
        <f>COUNT(R43:W43)</f>
        <v/>
      </c>
      <c r="Y43" s="68">
        <f>IF(X43&gt;=cfg_li_min_peers,MEDIAN(R43:W43),"")</f>
        <v/>
      </c>
      <c r="Z43" s="68">
        <f>IF(AND(ISNUMBER(R43),ISNUMBER(Y43)),R43/Y43,"")</f>
        <v/>
      </c>
      <c r="AA43" s="68">
        <f>IF(AND(ISNUMBER(S43),ISNUMBER(Y43)),S43/Y43,"")</f>
        <v/>
      </c>
      <c r="AB43" s="68">
        <f>IF(AND(ISNUMBER(T43),ISNUMBER(Y43)),T43/Y43,"")</f>
        <v/>
      </c>
      <c r="AC43" s="68">
        <f>IF(AND(ISNUMBER(U43),ISNUMBER(Y43)),U43/Y43,"")</f>
        <v/>
      </c>
      <c r="AD43" s="68">
        <f>IF(AND(ISNUMBER(V43),ISNUMBER(Y43)),V43/Y43,"")</f>
        <v/>
      </c>
      <c r="AE43" s="68">
        <f>IF(AND(ISNUMBER(W43),ISNUMBER(Y43)),W43/Y43,"")</f>
        <v/>
      </c>
      <c r="AF43" s="68">
        <f>IF(AND(E43=1,ISNUMBER(Z43)),Z43,"")</f>
        <v/>
      </c>
      <c r="AG43" s="68">
        <f>IF(AND(E43=1,ISNUMBER(AA43)),AA43,"")</f>
        <v/>
      </c>
      <c r="AH43" s="68">
        <f>IF(AND(E43=1,ISNUMBER(AB43)),AB43,"")</f>
        <v/>
      </c>
      <c r="AI43" s="68">
        <f>IF(AND(E43=1,ISNUMBER(AC43)),AC43,"")</f>
        <v/>
      </c>
      <c r="AJ43" s="68">
        <f>IF(AND(E43=1,ISNUMBER(AD43)),AD43,"")</f>
        <v/>
      </c>
      <c r="AK43" s="68">
        <f>IF(AND(E43=1,ISNUMBER(AE43)),AE43,"")</f>
        <v/>
      </c>
    </row>
    <row r="44">
      <c r="A44" s="65">
        <f>Raw_Data_LI!A44</f>
        <v/>
      </c>
      <c r="B44" s="66">
        <f>Raw_Data_LI!B44</f>
        <v/>
      </c>
      <c r="C44" s="66">
        <f>Raw_Data_LI!C44</f>
        <v/>
      </c>
      <c r="D44">
        <f>IF(AND(B44&gt;=cfg_li_poa_mid_min,B44&lt;=cfg_li_poa_mid_max),1,0)</f>
        <v/>
      </c>
      <c r="E44">
        <f>IF(AND(B44&gt;=cfg_li_poa_low_min,B44&lt;=cfg_li_poa_low_max,C44&gt;=cfg_li_low_elev_min),1,0)</f>
        <v/>
      </c>
      <c r="F44" s="67">
        <f>IF(Raw_Data_LI!D44="","",Raw_Data_LI!D44/B44)</f>
        <v/>
      </c>
      <c r="G44" s="67">
        <f>IF(Raw_Data_LI!E44="","",Raw_Data_LI!E44/B44)</f>
        <v/>
      </c>
      <c r="H44" s="67">
        <f>IF(Raw_Data_LI!F44="","",Raw_Data_LI!F44/B44)</f>
        <v/>
      </c>
      <c r="I44" s="67">
        <f>IF(Raw_Data_LI!G44="","",Raw_Data_LI!G44/B44)</f>
        <v/>
      </c>
      <c r="J44" s="67">
        <f>IF(Raw_Data_LI!H44="","",Raw_Data_LI!H44/B44)</f>
        <v/>
      </c>
      <c r="K44" s="67">
        <f>IF(Raw_Data_LI!I44="","",Raw_Data_LI!I44/B44)</f>
        <v/>
      </c>
      <c r="L44" s="67">
        <f>IF(AND(D44=1,ISNUMBER(F44),F44&gt;0),F44,"")</f>
        <v/>
      </c>
      <c r="M44" s="67">
        <f>IF(AND(D44=1,ISNUMBER(G44),G44&gt;0),G44,"")</f>
        <v/>
      </c>
      <c r="N44" s="67">
        <f>IF(AND(D44=1,ISNUMBER(H44),H44&gt;0),H44,"")</f>
        <v/>
      </c>
      <c r="O44" s="67">
        <f>IF(AND(D44=1,ISNUMBER(I44),I44&gt;0),I44,"")</f>
        <v/>
      </c>
      <c r="P44" s="67">
        <f>IF(AND(D44=1,ISNUMBER(J44),J44&gt;0),J44,"")</f>
        <v/>
      </c>
      <c r="Q44" s="67">
        <f>IF(AND(D44=1,ISNUMBER(K44),K44&gt;0),K44,"")</f>
        <v/>
      </c>
      <c r="R44" s="68">
        <f>IF(AND(ISNUMBER(F44),L$4&gt;=cfg_li_min_mid_samples),F44/L$5,"")</f>
        <v/>
      </c>
      <c r="S44" s="68">
        <f>IF(AND(ISNUMBER(G44),M$4&gt;=cfg_li_min_mid_samples),G44/M$5,"")</f>
        <v/>
      </c>
      <c r="T44" s="68">
        <f>IF(AND(ISNUMBER(H44),N$4&gt;=cfg_li_min_mid_samples),H44/N$5,"")</f>
        <v/>
      </c>
      <c r="U44" s="68">
        <f>IF(AND(ISNUMBER(I44),O$4&gt;=cfg_li_min_mid_samples),I44/O$5,"")</f>
        <v/>
      </c>
      <c r="V44" s="68">
        <f>IF(AND(ISNUMBER(J44),P$4&gt;=cfg_li_min_mid_samples),J44/P$5,"")</f>
        <v/>
      </c>
      <c r="W44" s="68">
        <f>IF(AND(ISNUMBER(K44),Q$4&gt;=cfg_li_min_mid_samples),K44/Q$5,"")</f>
        <v/>
      </c>
      <c r="X44">
        <f>COUNT(R44:W44)</f>
        <v/>
      </c>
      <c r="Y44" s="68">
        <f>IF(X44&gt;=cfg_li_min_peers,MEDIAN(R44:W44),"")</f>
        <v/>
      </c>
      <c r="Z44" s="68">
        <f>IF(AND(ISNUMBER(R44),ISNUMBER(Y44)),R44/Y44,"")</f>
        <v/>
      </c>
      <c r="AA44" s="68">
        <f>IF(AND(ISNUMBER(S44),ISNUMBER(Y44)),S44/Y44,"")</f>
        <v/>
      </c>
      <c r="AB44" s="68">
        <f>IF(AND(ISNUMBER(T44),ISNUMBER(Y44)),T44/Y44,"")</f>
        <v/>
      </c>
      <c r="AC44" s="68">
        <f>IF(AND(ISNUMBER(U44),ISNUMBER(Y44)),U44/Y44,"")</f>
        <v/>
      </c>
      <c r="AD44" s="68">
        <f>IF(AND(ISNUMBER(V44),ISNUMBER(Y44)),V44/Y44,"")</f>
        <v/>
      </c>
      <c r="AE44" s="68">
        <f>IF(AND(ISNUMBER(W44),ISNUMBER(Y44)),W44/Y44,"")</f>
        <v/>
      </c>
      <c r="AF44" s="68">
        <f>IF(AND(E44=1,ISNUMBER(Z44)),Z44,"")</f>
        <v/>
      </c>
      <c r="AG44" s="68">
        <f>IF(AND(E44=1,ISNUMBER(AA44)),AA44,"")</f>
        <v/>
      </c>
      <c r="AH44" s="68">
        <f>IF(AND(E44=1,ISNUMBER(AB44)),AB44,"")</f>
        <v/>
      </c>
      <c r="AI44" s="68">
        <f>IF(AND(E44=1,ISNUMBER(AC44)),AC44,"")</f>
        <v/>
      </c>
      <c r="AJ44" s="68">
        <f>IF(AND(E44=1,ISNUMBER(AD44)),AD44,"")</f>
        <v/>
      </c>
      <c r="AK44" s="68">
        <f>IF(AND(E44=1,ISNUMBER(AE44)),AE44,"")</f>
        <v/>
      </c>
    </row>
    <row r="45">
      <c r="A45" s="65">
        <f>Raw_Data_LI!A45</f>
        <v/>
      </c>
      <c r="B45" s="66">
        <f>Raw_Data_LI!B45</f>
        <v/>
      </c>
      <c r="C45" s="66">
        <f>Raw_Data_LI!C45</f>
        <v/>
      </c>
      <c r="D45">
        <f>IF(AND(B45&gt;=cfg_li_poa_mid_min,B45&lt;=cfg_li_poa_mid_max),1,0)</f>
        <v/>
      </c>
      <c r="E45">
        <f>IF(AND(B45&gt;=cfg_li_poa_low_min,B45&lt;=cfg_li_poa_low_max,C45&gt;=cfg_li_low_elev_min),1,0)</f>
        <v/>
      </c>
      <c r="F45" s="67">
        <f>IF(Raw_Data_LI!D45="","",Raw_Data_LI!D45/B45)</f>
        <v/>
      </c>
      <c r="G45" s="67">
        <f>IF(Raw_Data_LI!E45="","",Raw_Data_LI!E45/B45)</f>
        <v/>
      </c>
      <c r="H45" s="67">
        <f>IF(Raw_Data_LI!F45="","",Raw_Data_LI!F45/B45)</f>
        <v/>
      </c>
      <c r="I45" s="67">
        <f>IF(Raw_Data_LI!G45="","",Raw_Data_LI!G45/B45)</f>
        <v/>
      </c>
      <c r="J45" s="67">
        <f>IF(Raw_Data_LI!H45="","",Raw_Data_LI!H45/B45)</f>
        <v/>
      </c>
      <c r="K45" s="67">
        <f>IF(Raw_Data_LI!I45="","",Raw_Data_LI!I45/B45)</f>
        <v/>
      </c>
      <c r="L45" s="67">
        <f>IF(AND(D45=1,ISNUMBER(F45),F45&gt;0),F45,"")</f>
        <v/>
      </c>
      <c r="M45" s="67">
        <f>IF(AND(D45=1,ISNUMBER(G45),G45&gt;0),G45,"")</f>
        <v/>
      </c>
      <c r="N45" s="67">
        <f>IF(AND(D45=1,ISNUMBER(H45),H45&gt;0),H45,"")</f>
        <v/>
      </c>
      <c r="O45" s="67">
        <f>IF(AND(D45=1,ISNUMBER(I45),I45&gt;0),I45,"")</f>
        <v/>
      </c>
      <c r="P45" s="67">
        <f>IF(AND(D45=1,ISNUMBER(J45),J45&gt;0),J45,"")</f>
        <v/>
      </c>
      <c r="Q45" s="67">
        <f>IF(AND(D45=1,ISNUMBER(K45),K45&gt;0),K45,"")</f>
        <v/>
      </c>
      <c r="R45" s="68">
        <f>IF(AND(ISNUMBER(F45),L$4&gt;=cfg_li_min_mid_samples),F45/L$5,"")</f>
        <v/>
      </c>
      <c r="S45" s="68">
        <f>IF(AND(ISNUMBER(G45),M$4&gt;=cfg_li_min_mid_samples),G45/M$5,"")</f>
        <v/>
      </c>
      <c r="T45" s="68">
        <f>IF(AND(ISNUMBER(H45),N$4&gt;=cfg_li_min_mid_samples),H45/N$5,"")</f>
        <v/>
      </c>
      <c r="U45" s="68">
        <f>IF(AND(ISNUMBER(I45),O$4&gt;=cfg_li_min_mid_samples),I45/O$5,"")</f>
        <v/>
      </c>
      <c r="V45" s="68">
        <f>IF(AND(ISNUMBER(J45),P$4&gt;=cfg_li_min_mid_samples),J45/P$5,"")</f>
        <v/>
      </c>
      <c r="W45" s="68">
        <f>IF(AND(ISNUMBER(K45),Q$4&gt;=cfg_li_min_mid_samples),K45/Q$5,"")</f>
        <v/>
      </c>
      <c r="X45">
        <f>COUNT(R45:W45)</f>
        <v/>
      </c>
      <c r="Y45" s="68">
        <f>IF(X45&gt;=cfg_li_min_peers,MEDIAN(R45:W45),"")</f>
        <v/>
      </c>
      <c r="Z45" s="68">
        <f>IF(AND(ISNUMBER(R45),ISNUMBER(Y45)),R45/Y45,"")</f>
        <v/>
      </c>
      <c r="AA45" s="68">
        <f>IF(AND(ISNUMBER(S45),ISNUMBER(Y45)),S45/Y45,"")</f>
        <v/>
      </c>
      <c r="AB45" s="68">
        <f>IF(AND(ISNUMBER(T45),ISNUMBER(Y45)),T45/Y45,"")</f>
        <v/>
      </c>
      <c r="AC45" s="68">
        <f>IF(AND(ISNUMBER(U45),ISNUMBER(Y45)),U45/Y45,"")</f>
        <v/>
      </c>
      <c r="AD45" s="68">
        <f>IF(AND(ISNUMBER(V45),ISNUMBER(Y45)),V45/Y45,"")</f>
        <v/>
      </c>
      <c r="AE45" s="68">
        <f>IF(AND(ISNUMBER(W45),ISNUMBER(Y45)),W45/Y45,"")</f>
        <v/>
      </c>
      <c r="AF45" s="68">
        <f>IF(AND(E45=1,ISNUMBER(Z45)),Z45,"")</f>
        <v/>
      </c>
      <c r="AG45" s="68">
        <f>IF(AND(E45=1,ISNUMBER(AA45)),AA45,"")</f>
        <v/>
      </c>
      <c r="AH45" s="68">
        <f>IF(AND(E45=1,ISNUMBER(AB45)),AB45,"")</f>
        <v/>
      </c>
      <c r="AI45" s="68">
        <f>IF(AND(E45=1,ISNUMBER(AC45)),AC45,"")</f>
        <v/>
      </c>
      <c r="AJ45" s="68">
        <f>IF(AND(E45=1,ISNUMBER(AD45)),AD45,"")</f>
        <v/>
      </c>
      <c r="AK45" s="68">
        <f>IF(AND(E45=1,ISNUMBER(AE45)),AE45,"")</f>
        <v/>
      </c>
    </row>
    <row r="46">
      <c r="A46" s="65">
        <f>Raw_Data_LI!A46</f>
        <v/>
      </c>
      <c r="B46" s="66">
        <f>Raw_Data_LI!B46</f>
        <v/>
      </c>
      <c r="C46" s="66">
        <f>Raw_Data_LI!C46</f>
        <v/>
      </c>
      <c r="D46">
        <f>IF(AND(B46&gt;=cfg_li_poa_mid_min,B46&lt;=cfg_li_poa_mid_max),1,0)</f>
        <v/>
      </c>
      <c r="E46">
        <f>IF(AND(B46&gt;=cfg_li_poa_low_min,B46&lt;=cfg_li_poa_low_max,C46&gt;=cfg_li_low_elev_min),1,0)</f>
        <v/>
      </c>
      <c r="F46" s="67">
        <f>IF(Raw_Data_LI!D46="","",Raw_Data_LI!D46/B46)</f>
        <v/>
      </c>
      <c r="G46" s="67">
        <f>IF(Raw_Data_LI!E46="","",Raw_Data_LI!E46/B46)</f>
        <v/>
      </c>
      <c r="H46" s="67">
        <f>IF(Raw_Data_LI!F46="","",Raw_Data_LI!F46/B46)</f>
        <v/>
      </c>
      <c r="I46" s="67">
        <f>IF(Raw_Data_LI!G46="","",Raw_Data_LI!G46/B46)</f>
        <v/>
      </c>
      <c r="J46" s="67">
        <f>IF(Raw_Data_LI!H46="","",Raw_Data_LI!H46/B46)</f>
        <v/>
      </c>
      <c r="K46" s="67">
        <f>IF(Raw_Data_LI!I46="","",Raw_Data_LI!I46/B46)</f>
        <v/>
      </c>
      <c r="L46" s="67">
        <f>IF(AND(D46=1,ISNUMBER(F46),F46&gt;0),F46,"")</f>
        <v/>
      </c>
      <c r="M46" s="67">
        <f>IF(AND(D46=1,ISNUMBER(G46),G46&gt;0),G46,"")</f>
        <v/>
      </c>
      <c r="N46" s="67">
        <f>IF(AND(D46=1,ISNUMBER(H46),H46&gt;0),H46,"")</f>
        <v/>
      </c>
      <c r="O46" s="67">
        <f>IF(AND(D46=1,ISNUMBER(I46),I46&gt;0),I46,"")</f>
        <v/>
      </c>
      <c r="P46" s="67">
        <f>IF(AND(D46=1,ISNUMBER(J46),J46&gt;0),J46,"")</f>
        <v/>
      </c>
      <c r="Q46" s="67">
        <f>IF(AND(D46=1,ISNUMBER(K46),K46&gt;0),K46,"")</f>
        <v/>
      </c>
      <c r="R46" s="68">
        <f>IF(AND(ISNUMBER(F46),L$4&gt;=cfg_li_min_mid_samples),F46/L$5,"")</f>
        <v/>
      </c>
      <c r="S46" s="68">
        <f>IF(AND(ISNUMBER(G46),M$4&gt;=cfg_li_min_mid_samples),G46/M$5,"")</f>
        <v/>
      </c>
      <c r="T46" s="68">
        <f>IF(AND(ISNUMBER(H46),N$4&gt;=cfg_li_min_mid_samples),H46/N$5,"")</f>
        <v/>
      </c>
      <c r="U46" s="68">
        <f>IF(AND(ISNUMBER(I46),O$4&gt;=cfg_li_min_mid_samples),I46/O$5,"")</f>
        <v/>
      </c>
      <c r="V46" s="68">
        <f>IF(AND(ISNUMBER(J46),P$4&gt;=cfg_li_min_mid_samples),J46/P$5,"")</f>
        <v/>
      </c>
      <c r="W46" s="68">
        <f>IF(AND(ISNUMBER(K46),Q$4&gt;=cfg_li_min_mid_samples),K46/Q$5,"")</f>
        <v/>
      </c>
      <c r="X46">
        <f>COUNT(R46:W46)</f>
        <v/>
      </c>
      <c r="Y46" s="68">
        <f>IF(X46&gt;=cfg_li_min_peers,MEDIAN(R46:W46),"")</f>
        <v/>
      </c>
      <c r="Z46" s="68">
        <f>IF(AND(ISNUMBER(R46),ISNUMBER(Y46)),R46/Y46,"")</f>
        <v/>
      </c>
      <c r="AA46" s="68">
        <f>IF(AND(ISNUMBER(S46),ISNUMBER(Y46)),S46/Y46,"")</f>
        <v/>
      </c>
      <c r="AB46" s="68">
        <f>IF(AND(ISNUMBER(T46),ISNUMBER(Y46)),T46/Y46,"")</f>
        <v/>
      </c>
      <c r="AC46" s="68">
        <f>IF(AND(ISNUMBER(U46),ISNUMBER(Y46)),U46/Y46,"")</f>
        <v/>
      </c>
      <c r="AD46" s="68">
        <f>IF(AND(ISNUMBER(V46),ISNUMBER(Y46)),V46/Y46,"")</f>
        <v/>
      </c>
      <c r="AE46" s="68">
        <f>IF(AND(ISNUMBER(W46),ISNUMBER(Y46)),W46/Y46,"")</f>
        <v/>
      </c>
      <c r="AF46" s="68">
        <f>IF(AND(E46=1,ISNUMBER(Z46)),Z46,"")</f>
        <v/>
      </c>
      <c r="AG46" s="68">
        <f>IF(AND(E46=1,ISNUMBER(AA46)),AA46,"")</f>
        <v/>
      </c>
      <c r="AH46" s="68">
        <f>IF(AND(E46=1,ISNUMBER(AB46)),AB46,"")</f>
        <v/>
      </c>
      <c r="AI46" s="68">
        <f>IF(AND(E46=1,ISNUMBER(AC46)),AC46,"")</f>
        <v/>
      </c>
      <c r="AJ46" s="68">
        <f>IF(AND(E46=1,ISNUMBER(AD46)),AD46,"")</f>
        <v/>
      </c>
      <c r="AK46" s="68">
        <f>IF(AND(E46=1,ISNUMBER(AE46)),AE46,"")</f>
        <v/>
      </c>
    </row>
    <row r="47">
      <c r="A47" s="65">
        <f>Raw_Data_LI!A47</f>
        <v/>
      </c>
      <c r="B47" s="66">
        <f>Raw_Data_LI!B47</f>
        <v/>
      </c>
      <c r="C47" s="66">
        <f>Raw_Data_LI!C47</f>
        <v/>
      </c>
      <c r="D47">
        <f>IF(AND(B47&gt;=cfg_li_poa_mid_min,B47&lt;=cfg_li_poa_mid_max),1,0)</f>
        <v/>
      </c>
      <c r="E47">
        <f>IF(AND(B47&gt;=cfg_li_poa_low_min,B47&lt;=cfg_li_poa_low_max,C47&gt;=cfg_li_low_elev_min),1,0)</f>
        <v/>
      </c>
      <c r="F47" s="67">
        <f>IF(Raw_Data_LI!D47="","",Raw_Data_LI!D47/B47)</f>
        <v/>
      </c>
      <c r="G47" s="67">
        <f>IF(Raw_Data_LI!E47="","",Raw_Data_LI!E47/B47)</f>
        <v/>
      </c>
      <c r="H47" s="67">
        <f>IF(Raw_Data_LI!F47="","",Raw_Data_LI!F47/B47)</f>
        <v/>
      </c>
      <c r="I47" s="67">
        <f>IF(Raw_Data_LI!G47="","",Raw_Data_LI!G47/B47)</f>
        <v/>
      </c>
      <c r="J47" s="67">
        <f>IF(Raw_Data_LI!H47="","",Raw_Data_LI!H47/B47)</f>
        <v/>
      </c>
      <c r="K47" s="67">
        <f>IF(Raw_Data_LI!I47="","",Raw_Data_LI!I47/B47)</f>
        <v/>
      </c>
      <c r="L47" s="67">
        <f>IF(AND(D47=1,ISNUMBER(F47),F47&gt;0),F47,"")</f>
        <v/>
      </c>
      <c r="M47" s="67">
        <f>IF(AND(D47=1,ISNUMBER(G47),G47&gt;0),G47,"")</f>
        <v/>
      </c>
      <c r="N47" s="67">
        <f>IF(AND(D47=1,ISNUMBER(H47),H47&gt;0),H47,"")</f>
        <v/>
      </c>
      <c r="O47" s="67">
        <f>IF(AND(D47=1,ISNUMBER(I47),I47&gt;0),I47,"")</f>
        <v/>
      </c>
      <c r="P47" s="67">
        <f>IF(AND(D47=1,ISNUMBER(J47),J47&gt;0),J47,"")</f>
        <v/>
      </c>
      <c r="Q47" s="67">
        <f>IF(AND(D47=1,ISNUMBER(K47),K47&gt;0),K47,"")</f>
        <v/>
      </c>
      <c r="R47" s="68">
        <f>IF(AND(ISNUMBER(F47),L$4&gt;=cfg_li_min_mid_samples),F47/L$5,"")</f>
        <v/>
      </c>
      <c r="S47" s="68">
        <f>IF(AND(ISNUMBER(G47),M$4&gt;=cfg_li_min_mid_samples),G47/M$5,"")</f>
        <v/>
      </c>
      <c r="T47" s="68">
        <f>IF(AND(ISNUMBER(H47),N$4&gt;=cfg_li_min_mid_samples),H47/N$5,"")</f>
        <v/>
      </c>
      <c r="U47" s="68">
        <f>IF(AND(ISNUMBER(I47),O$4&gt;=cfg_li_min_mid_samples),I47/O$5,"")</f>
        <v/>
      </c>
      <c r="V47" s="68">
        <f>IF(AND(ISNUMBER(J47),P$4&gt;=cfg_li_min_mid_samples),J47/P$5,"")</f>
        <v/>
      </c>
      <c r="W47" s="68">
        <f>IF(AND(ISNUMBER(K47),Q$4&gt;=cfg_li_min_mid_samples),K47/Q$5,"")</f>
        <v/>
      </c>
      <c r="X47">
        <f>COUNT(R47:W47)</f>
        <v/>
      </c>
      <c r="Y47" s="68">
        <f>IF(X47&gt;=cfg_li_min_peers,MEDIAN(R47:W47),"")</f>
        <v/>
      </c>
      <c r="Z47" s="68">
        <f>IF(AND(ISNUMBER(R47),ISNUMBER(Y47)),R47/Y47,"")</f>
        <v/>
      </c>
      <c r="AA47" s="68">
        <f>IF(AND(ISNUMBER(S47),ISNUMBER(Y47)),S47/Y47,"")</f>
        <v/>
      </c>
      <c r="AB47" s="68">
        <f>IF(AND(ISNUMBER(T47),ISNUMBER(Y47)),T47/Y47,"")</f>
        <v/>
      </c>
      <c r="AC47" s="68">
        <f>IF(AND(ISNUMBER(U47),ISNUMBER(Y47)),U47/Y47,"")</f>
        <v/>
      </c>
      <c r="AD47" s="68">
        <f>IF(AND(ISNUMBER(V47),ISNUMBER(Y47)),V47/Y47,"")</f>
        <v/>
      </c>
      <c r="AE47" s="68">
        <f>IF(AND(ISNUMBER(W47),ISNUMBER(Y47)),W47/Y47,"")</f>
        <v/>
      </c>
      <c r="AF47" s="68">
        <f>IF(AND(E47=1,ISNUMBER(Z47)),Z47,"")</f>
        <v/>
      </c>
      <c r="AG47" s="68">
        <f>IF(AND(E47=1,ISNUMBER(AA47)),AA47,"")</f>
        <v/>
      </c>
      <c r="AH47" s="68">
        <f>IF(AND(E47=1,ISNUMBER(AB47)),AB47,"")</f>
        <v/>
      </c>
      <c r="AI47" s="68">
        <f>IF(AND(E47=1,ISNUMBER(AC47)),AC47,"")</f>
        <v/>
      </c>
      <c r="AJ47" s="68">
        <f>IF(AND(E47=1,ISNUMBER(AD47)),AD47,"")</f>
        <v/>
      </c>
      <c r="AK47" s="68">
        <f>IF(AND(E47=1,ISNUMBER(AE47)),AE47,"")</f>
        <v/>
      </c>
    </row>
    <row r="48">
      <c r="A48" s="65">
        <f>Raw_Data_LI!A48</f>
        <v/>
      </c>
      <c r="B48" s="66">
        <f>Raw_Data_LI!B48</f>
        <v/>
      </c>
      <c r="C48" s="66">
        <f>Raw_Data_LI!C48</f>
        <v/>
      </c>
      <c r="D48">
        <f>IF(AND(B48&gt;=cfg_li_poa_mid_min,B48&lt;=cfg_li_poa_mid_max),1,0)</f>
        <v/>
      </c>
      <c r="E48">
        <f>IF(AND(B48&gt;=cfg_li_poa_low_min,B48&lt;=cfg_li_poa_low_max,C48&gt;=cfg_li_low_elev_min),1,0)</f>
        <v/>
      </c>
      <c r="F48" s="67">
        <f>IF(Raw_Data_LI!D48="","",Raw_Data_LI!D48/B48)</f>
        <v/>
      </c>
      <c r="G48" s="67">
        <f>IF(Raw_Data_LI!E48="","",Raw_Data_LI!E48/B48)</f>
        <v/>
      </c>
      <c r="H48" s="67">
        <f>IF(Raw_Data_LI!F48="","",Raw_Data_LI!F48/B48)</f>
        <v/>
      </c>
      <c r="I48" s="67">
        <f>IF(Raw_Data_LI!G48="","",Raw_Data_LI!G48/B48)</f>
        <v/>
      </c>
      <c r="J48" s="67">
        <f>IF(Raw_Data_LI!H48="","",Raw_Data_LI!H48/B48)</f>
        <v/>
      </c>
      <c r="K48" s="67">
        <f>IF(Raw_Data_LI!I48="","",Raw_Data_LI!I48/B48)</f>
        <v/>
      </c>
      <c r="L48" s="67">
        <f>IF(AND(D48=1,ISNUMBER(F48),F48&gt;0),F48,"")</f>
        <v/>
      </c>
      <c r="M48" s="67">
        <f>IF(AND(D48=1,ISNUMBER(G48),G48&gt;0),G48,"")</f>
        <v/>
      </c>
      <c r="N48" s="67">
        <f>IF(AND(D48=1,ISNUMBER(H48),H48&gt;0),H48,"")</f>
        <v/>
      </c>
      <c r="O48" s="67">
        <f>IF(AND(D48=1,ISNUMBER(I48),I48&gt;0),I48,"")</f>
        <v/>
      </c>
      <c r="P48" s="67">
        <f>IF(AND(D48=1,ISNUMBER(J48),J48&gt;0),J48,"")</f>
        <v/>
      </c>
      <c r="Q48" s="67">
        <f>IF(AND(D48=1,ISNUMBER(K48),K48&gt;0),K48,"")</f>
        <v/>
      </c>
      <c r="R48" s="68">
        <f>IF(AND(ISNUMBER(F48),L$4&gt;=cfg_li_min_mid_samples),F48/L$5,"")</f>
        <v/>
      </c>
      <c r="S48" s="68">
        <f>IF(AND(ISNUMBER(G48),M$4&gt;=cfg_li_min_mid_samples),G48/M$5,"")</f>
        <v/>
      </c>
      <c r="T48" s="68">
        <f>IF(AND(ISNUMBER(H48),N$4&gt;=cfg_li_min_mid_samples),H48/N$5,"")</f>
        <v/>
      </c>
      <c r="U48" s="68">
        <f>IF(AND(ISNUMBER(I48),O$4&gt;=cfg_li_min_mid_samples),I48/O$5,"")</f>
        <v/>
      </c>
      <c r="V48" s="68">
        <f>IF(AND(ISNUMBER(J48),P$4&gt;=cfg_li_min_mid_samples),J48/P$5,"")</f>
        <v/>
      </c>
      <c r="W48" s="68">
        <f>IF(AND(ISNUMBER(K48),Q$4&gt;=cfg_li_min_mid_samples),K48/Q$5,"")</f>
        <v/>
      </c>
      <c r="X48">
        <f>COUNT(R48:W48)</f>
        <v/>
      </c>
      <c r="Y48" s="68">
        <f>IF(X48&gt;=cfg_li_min_peers,MEDIAN(R48:W48),"")</f>
        <v/>
      </c>
      <c r="Z48" s="68">
        <f>IF(AND(ISNUMBER(R48),ISNUMBER(Y48)),R48/Y48,"")</f>
        <v/>
      </c>
      <c r="AA48" s="68">
        <f>IF(AND(ISNUMBER(S48),ISNUMBER(Y48)),S48/Y48,"")</f>
        <v/>
      </c>
      <c r="AB48" s="68">
        <f>IF(AND(ISNUMBER(T48),ISNUMBER(Y48)),T48/Y48,"")</f>
        <v/>
      </c>
      <c r="AC48" s="68">
        <f>IF(AND(ISNUMBER(U48),ISNUMBER(Y48)),U48/Y48,"")</f>
        <v/>
      </c>
      <c r="AD48" s="68">
        <f>IF(AND(ISNUMBER(V48),ISNUMBER(Y48)),V48/Y48,"")</f>
        <v/>
      </c>
      <c r="AE48" s="68">
        <f>IF(AND(ISNUMBER(W48),ISNUMBER(Y48)),W48/Y48,"")</f>
        <v/>
      </c>
      <c r="AF48" s="68">
        <f>IF(AND(E48=1,ISNUMBER(Z48)),Z48,"")</f>
        <v/>
      </c>
      <c r="AG48" s="68">
        <f>IF(AND(E48=1,ISNUMBER(AA48)),AA48,"")</f>
        <v/>
      </c>
      <c r="AH48" s="68">
        <f>IF(AND(E48=1,ISNUMBER(AB48)),AB48,"")</f>
        <v/>
      </c>
      <c r="AI48" s="68">
        <f>IF(AND(E48=1,ISNUMBER(AC48)),AC48,"")</f>
        <v/>
      </c>
      <c r="AJ48" s="68">
        <f>IF(AND(E48=1,ISNUMBER(AD48)),AD48,"")</f>
        <v/>
      </c>
      <c r="AK48" s="68">
        <f>IF(AND(E48=1,ISNUMBER(AE48)),AE48,"")</f>
        <v/>
      </c>
    </row>
    <row r="49">
      <c r="A49" s="65">
        <f>Raw_Data_LI!A49</f>
        <v/>
      </c>
      <c r="B49" s="66">
        <f>Raw_Data_LI!B49</f>
        <v/>
      </c>
      <c r="C49" s="66">
        <f>Raw_Data_LI!C49</f>
        <v/>
      </c>
      <c r="D49">
        <f>IF(AND(B49&gt;=cfg_li_poa_mid_min,B49&lt;=cfg_li_poa_mid_max),1,0)</f>
        <v/>
      </c>
      <c r="E49">
        <f>IF(AND(B49&gt;=cfg_li_poa_low_min,B49&lt;=cfg_li_poa_low_max,C49&gt;=cfg_li_low_elev_min),1,0)</f>
        <v/>
      </c>
      <c r="F49" s="67">
        <f>IF(Raw_Data_LI!D49="","",Raw_Data_LI!D49/B49)</f>
        <v/>
      </c>
      <c r="G49" s="67">
        <f>IF(Raw_Data_LI!E49="","",Raw_Data_LI!E49/B49)</f>
        <v/>
      </c>
      <c r="H49" s="67">
        <f>IF(Raw_Data_LI!F49="","",Raw_Data_LI!F49/B49)</f>
        <v/>
      </c>
      <c r="I49" s="67">
        <f>IF(Raw_Data_LI!G49="","",Raw_Data_LI!G49/B49)</f>
        <v/>
      </c>
      <c r="J49" s="67">
        <f>IF(Raw_Data_LI!H49="","",Raw_Data_LI!H49/B49)</f>
        <v/>
      </c>
      <c r="K49" s="67">
        <f>IF(Raw_Data_LI!I49="","",Raw_Data_LI!I49/B49)</f>
        <v/>
      </c>
      <c r="L49" s="67">
        <f>IF(AND(D49=1,ISNUMBER(F49),F49&gt;0),F49,"")</f>
        <v/>
      </c>
      <c r="M49" s="67">
        <f>IF(AND(D49=1,ISNUMBER(G49),G49&gt;0),G49,"")</f>
        <v/>
      </c>
      <c r="N49" s="67">
        <f>IF(AND(D49=1,ISNUMBER(H49),H49&gt;0),H49,"")</f>
        <v/>
      </c>
      <c r="O49" s="67">
        <f>IF(AND(D49=1,ISNUMBER(I49),I49&gt;0),I49,"")</f>
        <v/>
      </c>
      <c r="P49" s="67">
        <f>IF(AND(D49=1,ISNUMBER(J49),J49&gt;0),J49,"")</f>
        <v/>
      </c>
      <c r="Q49" s="67">
        <f>IF(AND(D49=1,ISNUMBER(K49),K49&gt;0),K49,"")</f>
        <v/>
      </c>
      <c r="R49" s="68">
        <f>IF(AND(ISNUMBER(F49),L$4&gt;=cfg_li_min_mid_samples),F49/L$5,"")</f>
        <v/>
      </c>
      <c r="S49" s="68">
        <f>IF(AND(ISNUMBER(G49),M$4&gt;=cfg_li_min_mid_samples),G49/M$5,"")</f>
        <v/>
      </c>
      <c r="T49" s="68">
        <f>IF(AND(ISNUMBER(H49),N$4&gt;=cfg_li_min_mid_samples),H49/N$5,"")</f>
        <v/>
      </c>
      <c r="U49" s="68">
        <f>IF(AND(ISNUMBER(I49),O$4&gt;=cfg_li_min_mid_samples),I49/O$5,"")</f>
        <v/>
      </c>
      <c r="V49" s="68">
        <f>IF(AND(ISNUMBER(J49),P$4&gt;=cfg_li_min_mid_samples),J49/P$5,"")</f>
        <v/>
      </c>
      <c r="W49" s="68">
        <f>IF(AND(ISNUMBER(K49),Q$4&gt;=cfg_li_min_mid_samples),K49/Q$5,"")</f>
        <v/>
      </c>
      <c r="X49">
        <f>COUNT(R49:W49)</f>
        <v/>
      </c>
      <c r="Y49" s="68">
        <f>IF(X49&gt;=cfg_li_min_peers,MEDIAN(R49:W49),"")</f>
        <v/>
      </c>
      <c r="Z49" s="68">
        <f>IF(AND(ISNUMBER(R49),ISNUMBER(Y49)),R49/Y49,"")</f>
        <v/>
      </c>
      <c r="AA49" s="68">
        <f>IF(AND(ISNUMBER(S49),ISNUMBER(Y49)),S49/Y49,"")</f>
        <v/>
      </c>
      <c r="AB49" s="68">
        <f>IF(AND(ISNUMBER(T49),ISNUMBER(Y49)),T49/Y49,"")</f>
        <v/>
      </c>
      <c r="AC49" s="68">
        <f>IF(AND(ISNUMBER(U49),ISNUMBER(Y49)),U49/Y49,"")</f>
        <v/>
      </c>
      <c r="AD49" s="68">
        <f>IF(AND(ISNUMBER(V49),ISNUMBER(Y49)),V49/Y49,"")</f>
        <v/>
      </c>
      <c r="AE49" s="68">
        <f>IF(AND(ISNUMBER(W49),ISNUMBER(Y49)),W49/Y49,"")</f>
        <v/>
      </c>
      <c r="AF49" s="68">
        <f>IF(AND(E49=1,ISNUMBER(Z49)),Z49,"")</f>
        <v/>
      </c>
      <c r="AG49" s="68">
        <f>IF(AND(E49=1,ISNUMBER(AA49)),AA49,"")</f>
        <v/>
      </c>
      <c r="AH49" s="68">
        <f>IF(AND(E49=1,ISNUMBER(AB49)),AB49,"")</f>
        <v/>
      </c>
      <c r="AI49" s="68">
        <f>IF(AND(E49=1,ISNUMBER(AC49)),AC49,"")</f>
        <v/>
      </c>
      <c r="AJ49" s="68">
        <f>IF(AND(E49=1,ISNUMBER(AD49)),AD49,"")</f>
        <v/>
      </c>
      <c r="AK49" s="68">
        <f>IF(AND(E49=1,ISNUMBER(AE49)),AE49,"")</f>
        <v/>
      </c>
    </row>
    <row r="50">
      <c r="A50" s="65">
        <f>Raw_Data_LI!A50</f>
        <v/>
      </c>
      <c r="B50" s="66">
        <f>Raw_Data_LI!B50</f>
        <v/>
      </c>
      <c r="C50" s="66">
        <f>Raw_Data_LI!C50</f>
        <v/>
      </c>
      <c r="D50">
        <f>IF(AND(B50&gt;=cfg_li_poa_mid_min,B50&lt;=cfg_li_poa_mid_max),1,0)</f>
        <v/>
      </c>
      <c r="E50">
        <f>IF(AND(B50&gt;=cfg_li_poa_low_min,B50&lt;=cfg_li_poa_low_max,C50&gt;=cfg_li_low_elev_min),1,0)</f>
        <v/>
      </c>
      <c r="F50" s="67">
        <f>IF(Raw_Data_LI!D50="","",Raw_Data_LI!D50/B50)</f>
        <v/>
      </c>
      <c r="G50" s="67">
        <f>IF(Raw_Data_LI!E50="","",Raw_Data_LI!E50/B50)</f>
        <v/>
      </c>
      <c r="H50" s="67">
        <f>IF(Raw_Data_LI!F50="","",Raw_Data_LI!F50/B50)</f>
        <v/>
      </c>
      <c r="I50" s="67">
        <f>IF(Raw_Data_LI!G50="","",Raw_Data_LI!G50/B50)</f>
        <v/>
      </c>
      <c r="J50" s="67">
        <f>IF(Raw_Data_LI!H50="","",Raw_Data_LI!H50/B50)</f>
        <v/>
      </c>
      <c r="K50" s="67">
        <f>IF(Raw_Data_LI!I50="","",Raw_Data_LI!I50/B50)</f>
        <v/>
      </c>
      <c r="L50" s="67">
        <f>IF(AND(D50=1,ISNUMBER(F50),F50&gt;0),F50,"")</f>
        <v/>
      </c>
      <c r="M50" s="67">
        <f>IF(AND(D50=1,ISNUMBER(G50),G50&gt;0),G50,"")</f>
        <v/>
      </c>
      <c r="N50" s="67">
        <f>IF(AND(D50=1,ISNUMBER(H50),H50&gt;0),H50,"")</f>
        <v/>
      </c>
      <c r="O50" s="67">
        <f>IF(AND(D50=1,ISNUMBER(I50),I50&gt;0),I50,"")</f>
        <v/>
      </c>
      <c r="P50" s="67">
        <f>IF(AND(D50=1,ISNUMBER(J50),J50&gt;0),J50,"")</f>
        <v/>
      </c>
      <c r="Q50" s="67">
        <f>IF(AND(D50=1,ISNUMBER(K50),K50&gt;0),K50,"")</f>
        <v/>
      </c>
      <c r="R50" s="68">
        <f>IF(AND(ISNUMBER(F50),L$4&gt;=cfg_li_min_mid_samples),F50/L$5,"")</f>
        <v/>
      </c>
      <c r="S50" s="68">
        <f>IF(AND(ISNUMBER(G50),M$4&gt;=cfg_li_min_mid_samples),G50/M$5,"")</f>
        <v/>
      </c>
      <c r="T50" s="68">
        <f>IF(AND(ISNUMBER(H50),N$4&gt;=cfg_li_min_mid_samples),H50/N$5,"")</f>
        <v/>
      </c>
      <c r="U50" s="68">
        <f>IF(AND(ISNUMBER(I50),O$4&gt;=cfg_li_min_mid_samples),I50/O$5,"")</f>
        <v/>
      </c>
      <c r="V50" s="68">
        <f>IF(AND(ISNUMBER(J50),P$4&gt;=cfg_li_min_mid_samples),J50/P$5,"")</f>
        <v/>
      </c>
      <c r="W50" s="68">
        <f>IF(AND(ISNUMBER(K50),Q$4&gt;=cfg_li_min_mid_samples),K50/Q$5,"")</f>
        <v/>
      </c>
      <c r="X50">
        <f>COUNT(R50:W50)</f>
        <v/>
      </c>
      <c r="Y50" s="68">
        <f>IF(X50&gt;=cfg_li_min_peers,MEDIAN(R50:W50),"")</f>
        <v/>
      </c>
      <c r="Z50" s="68">
        <f>IF(AND(ISNUMBER(R50),ISNUMBER(Y50)),R50/Y50,"")</f>
        <v/>
      </c>
      <c r="AA50" s="68">
        <f>IF(AND(ISNUMBER(S50),ISNUMBER(Y50)),S50/Y50,"")</f>
        <v/>
      </c>
      <c r="AB50" s="68">
        <f>IF(AND(ISNUMBER(T50),ISNUMBER(Y50)),T50/Y50,"")</f>
        <v/>
      </c>
      <c r="AC50" s="68">
        <f>IF(AND(ISNUMBER(U50),ISNUMBER(Y50)),U50/Y50,"")</f>
        <v/>
      </c>
      <c r="AD50" s="68">
        <f>IF(AND(ISNUMBER(V50),ISNUMBER(Y50)),V50/Y50,"")</f>
        <v/>
      </c>
      <c r="AE50" s="68">
        <f>IF(AND(ISNUMBER(W50),ISNUMBER(Y50)),W50/Y50,"")</f>
        <v/>
      </c>
      <c r="AF50" s="68">
        <f>IF(AND(E50=1,ISNUMBER(Z50)),Z50,"")</f>
        <v/>
      </c>
      <c r="AG50" s="68">
        <f>IF(AND(E50=1,ISNUMBER(AA50)),AA50,"")</f>
        <v/>
      </c>
      <c r="AH50" s="68">
        <f>IF(AND(E50=1,ISNUMBER(AB50)),AB50,"")</f>
        <v/>
      </c>
      <c r="AI50" s="68">
        <f>IF(AND(E50=1,ISNUMBER(AC50)),AC50,"")</f>
        <v/>
      </c>
      <c r="AJ50" s="68">
        <f>IF(AND(E50=1,ISNUMBER(AD50)),AD50,"")</f>
        <v/>
      </c>
      <c r="AK50" s="68">
        <f>IF(AND(E50=1,ISNUMBER(AE50)),AE50,"")</f>
        <v/>
      </c>
    </row>
    <row r="51">
      <c r="A51" s="65">
        <f>Raw_Data_LI!A51</f>
        <v/>
      </c>
      <c r="B51" s="66">
        <f>Raw_Data_LI!B51</f>
        <v/>
      </c>
      <c r="C51" s="66">
        <f>Raw_Data_LI!C51</f>
        <v/>
      </c>
      <c r="D51">
        <f>IF(AND(B51&gt;=cfg_li_poa_mid_min,B51&lt;=cfg_li_poa_mid_max),1,0)</f>
        <v/>
      </c>
      <c r="E51">
        <f>IF(AND(B51&gt;=cfg_li_poa_low_min,B51&lt;=cfg_li_poa_low_max,C51&gt;=cfg_li_low_elev_min),1,0)</f>
        <v/>
      </c>
      <c r="F51" s="67">
        <f>IF(Raw_Data_LI!D51="","",Raw_Data_LI!D51/B51)</f>
        <v/>
      </c>
      <c r="G51" s="67">
        <f>IF(Raw_Data_LI!E51="","",Raw_Data_LI!E51/B51)</f>
        <v/>
      </c>
      <c r="H51" s="67">
        <f>IF(Raw_Data_LI!F51="","",Raw_Data_LI!F51/B51)</f>
        <v/>
      </c>
      <c r="I51" s="67">
        <f>IF(Raw_Data_LI!G51="","",Raw_Data_LI!G51/B51)</f>
        <v/>
      </c>
      <c r="J51" s="67">
        <f>IF(Raw_Data_LI!H51="","",Raw_Data_LI!H51/B51)</f>
        <v/>
      </c>
      <c r="K51" s="67">
        <f>IF(Raw_Data_LI!I51="","",Raw_Data_LI!I51/B51)</f>
        <v/>
      </c>
      <c r="L51" s="67">
        <f>IF(AND(D51=1,ISNUMBER(F51),F51&gt;0),F51,"")</f>
        <v/>
      </c>
      <c r="M51" s="67">
        <f>IF(AND(D51=1,ISNUMBER(G51),G51&gt;0),G51,"")</f>
        <v/>
      </c>
      <c r="N51" s="67">
        <f>IF(AND(D51=1,ISNUMBER(H51),H51&gt;0),H51,"")</f>
        <v/>
      </c>
      <c r="O51" s="67">
        <f>IF(AND(D51=1,ISNUMBER(I51),I51&gt;0),I51,"")</f>
        <v/>
      </c>
      <c r="P51" s="67">
        <f>IF(AND(D51=1,ISNUMBER(J51),J51&gt;0),J51,"")</f>
        <v/>
      </c>
      <c r="Q51" s="67">
        <f>IF(AND(D51=1,ISNUMBER(K51),K51&gt;0),K51,"")</f>
        <v/>
      </c>
      <c r="R51" s="68">
        <f>IF(AND(ISNUMBER(F51),L$4&gt;=cfg_li_min_mid_samples),F51/L$5,"")</f>
        <v/>
      </c>
      <c r="S51" s="68">
        <f>IF(AND(ISNUMBER(G51),M$4&gt;=cfg_li_min_mid_samples),G51/M$5,"")</f>
        <v/>
      </c>
      <c r="T51" s="68">
        <f>IF(AND(ISNUMBER(H51),N$4&gt;=cfg_li_min_mid_samples),H51/N$5,"")</f>
        <v/>
      </c>
      <c r="U51" s="68">
        <f>IF(AND(ISNUMBER(I51),O$4&gt;=cfg_li_min_mid_samples),I51/O$5,"")</f>
        <v/>
      </c>
      <c r="V51" s="68">
        <f>IF(AND(ISNUMBER(J51),P$4&gt;=cfg_li_min_mid_samples),J51/P$5,"")</f>
        <v/>
      </c>
      <c r="W51" s="68">
        <f>IF(AND(ISNUMBER(K51),Q$4&gt;=cfg_li_min_mid_samples),K51/Q$5,"")</f>
        <v/>
      </c>
      <c r="X51">
        <f>COUNT(R51:W51)</f>
        <v/>
      </c>
      <c r="Y51" s="68">
        <f>IF(X51&gt;=cfg_li_min_peers,MEDIAN(R51:W51),"")</f>
        <v/>
      </c>
      <c r="Z51" s="68">
        <f>IF(AND(ISNUMBER(R51),ISNUMBER(Y51)),R51/Y51,"")</f>
        <v/>
      </c>
      <c r="AA51" s="68">
        <f>IF(AND(ISNUMBER(S51),ISNUMBER(Y51)),S51/Y51,"")</f>
        <v/>
      </c>
      <c r="AB51" s="68">
        <f>IF(AND(ISNUMBER(T51),ISNUMBER(Y51)),T51/Y51,"")</f>
        <v/>
      </c>
      <c r="AC51" s="68">
        <f>IF(AND(ISNUMBER(U51),ISNUMBER(Y51)),U51/Y51,"")</f>
        <v/>
      </c>
      <c r="AD51" s="68">
        <f>IF(AND(ISNUMBER(V51),ISNUMBER(Y51)),V51/Y51,"")</f>
        <v/>
      </c>
      <c r="AE51" s="68">
        <f>IF(AND(ISNUMBER(W51),ISNUMBER(Y51)),W51/Y51,"")</f>
        <v/>
      </c>
      <c r="AF51" s="68">
        <f>IF(AND(E51=1,ISNUMBER(Z51)),Z51,"")</f>
        <v/>
      </c>
      <c r="AG51" s="68">
        <f>IF(AND(E51=1,ISNUMBER(AA51)),AA51,"")</f>
        <v/>
      </c>
      <c r="AH51" s="68">
        <f>IF(AND(E51=1,ISNUMBER(AB51)),AB51,"")</f>
        <v/>
      </c>
      <c r="AI51" s="68">
        <f>IF(AND(E51=1,ISNUMBER(AC51)),AC51,"")</f>
        <v/>
      </c>
      <c r="AJ51" s="68">
        <f>IF(AND(E51=1,ISNUMBER(AD51)),AD51,"")</f>
        <v/>
      </c>
      <c r="AK51" s="68">
        <f>IF(AND(E51=1,ISNUMBER(AE51)),AE51,"")</f>
        <v/>
      </c>
    </row>
    <row r="52">
      <c r="A52" s="65">
        <f>Raw_Data_LI!A52</f>
        <v/>
      </c>
      <c r="B52" s="66">
        <f>Raw_Data_LI!B52</f>
        <v/>
      </c>
      <c r="C52" s="66">
        <f>Raw_Data_LI!C52</f>
        <v/>
      </c>
      <c r="D52">
        <f>IF(AND(B52&gt;=cfg_li_poa_mid_min,B52&lt;=cfg_li_poa_mid_max),1,0)</f>
        <v/>
      </c>
      <c r="E52">
        <f>IF(AND(B52&gt;=cfg_li_poa_low_min,B52&lt;=cfg_li_poa_low_max,C52&gt;=cfg_li_low_elev_min),1,0)</f>
        <v/>
      </c>
      <c r="F52" s="67">
        <f>IF(Raw_Data_LI!D52="","",Raw_Data_LI!D52/B52)</f>
        <v/>
      </c>
      <c r="G52" s="67">
        <f>IF(Raw_Data_LI!E52="","",Raw_Data_LI!E52/B52)</f>
        <v/>
      </c>
      <c r="H52" s="67">
        <f>IF(Raw_Data_LI!F52="","",Raw_Data_LI!F52/B52)</f>
        <v/>
      </c>
      <c r="I52" s="67">
        <f>IF(Raw_Data_LI!G52="","",Raw_Data_LI!G52/B52)</f>
        <v/>
      </c>
      <c r="J52" s="67">
        <f>IF(Raw_Data_LI!H52="","",Raw_Data_LI!H52/B52)</f>
        <v/>
      </c>
      <c r="K52" s="67">
        <f>IF(Raw_Data_LI!I52="","",Raw_Data_LI!I52/B52)</f>
        <v/>
      </c>
      <c r="L52" s="67">
        <f>IF(AND(D52=1,ISNUMBER(F52),F52&gt;0),F52,"")</f>
        <v/>
      </c>
      <c r="M52" s="67">
        <f>IF(AND(D52=1,ISNUMBER(G52),G52&gt;0),G52,"")</f>
        <v/>
      </c>
      <c r="N52" s="67">
        <f>IF(AND(D52=1,ISNUMBER(H52),H52&gt;0),H52,"")</f>
        <v/>
      </c>
      <c r="O52" s="67">
        <f>IF(AND(D52=1,ISNUMBER(I52),I52&gt;0),I52,"")</f>
        <v/>
      </c>
      <c r="P52" s="67">
        <f>IF(AND(D52=1,ISNUMBER(J52),J52&gt;0),J52,"")</f>
        <v/>
      </c>
      <c r="Q52" s="67">
        <f>IF(AND(D52=1,ISNUMBER(K52),K52&gt;0),K52,"")</f>
        <v/>
      </c>
      <c r="R52" s="68">
        <f>IF(AND(ISNUMBER(F52),L$4&gt;=cfg_li_min_mid_samples),F52/L$5,"")</f>
        <v/>
      </c>
      <c r="S52" s="68">
        <f>IF(AND(ISNUMBER(G52),M$4&gt;=cfg_li_min_mid_samples),G52/M$5,"")</f>
        <v/>
      </c>
      <c r="T52" s="68">
        <f>IF(AND(ISNUMBER(H52),N$4&gt;=cfg_li_min_mid_samples),H52/N$5,"")</f>
        <v/>
      </c>
      <c r="U52" s="68">
        <f>IF(AND(ISNUMBER(I52),O$4&gt;=cfg_li_min_mid_samples),I52/O$5,"")</f>
        <v/>
      </c>
      <c r="V52" s="68">
        <f>IF(AND(ISNUMBER(J52),P$4&gt;=cfg_li_min_mid_samples),J52/P$5,"")</f>
        <v/>
      </c>
      <c r="W52" s="68">
        <f>IF(AND(ISNUMBER(K52),Q$4&gt;=cfg_li_min_mid_samples),K52/Q$5,"")</f>
        <v/>
      </c>
      <c r="X52">
        <f>COUNT(R52:W52)</f>
        <v/>
      </c>
      <c r="Y52" s="68">
        <f>IF(X52&gt;=cfg_li_min_peers,MEDIAN(R52:W52),"")</f>
        <v/>
      </c>
      <c r="Z52" s="68">
        <f>IF(AND(ISNUMBER(R52),ISNUMBER(Y52)),R52/Y52,"")</f>
        <v/>
      </c>
      <c r="AA52" s="68">
        <f>IF(AND(ISNUMBER(S52),ISNUMBER(Y52)),S52/Y52,"")</f>
        <v/>
      </c>
      <c r="AB52" s="68">
        <f>IF(AND(ISNUMBER(T52),ISNUMBER(Y52)),T52/Y52,"")</f>
        <v/>
      </c>
      <c r="AC52" s="68">
        <f>IF(AND(ISNUMBER(U52),ISNUMBER(Y52)),U52/Y52,"")</f>
        <v/>
      </c>
      <c r="AD52" s="68">
        <f>IF(AND(ISNUMBER(V52),ISNUMBER(Y52)),V52/Y52,"")</f>
        <v/>
      </c>
      <c r="AE52" s="68">
        <f>IF(AND(ISNUMBER(W52),ISNUMBER(Y52)),W52/Y52,"")</f>
        <v/>
      </c>
      <c r="AF52" s="68">
        <f>IF(AND(E52=1,ISNUMBER(Z52)),Z52,"")</f>
        <v/>
      </c>
      <c r="AG52" s="68">
        <f>IF(AND(E52=1,ISNUMBER(AA52)),AA52,"")</f>
        <v/>
      </c>
      <c r="AH52" s="68">
        <f>IF(AND(E52=1,ISNUMBER(AB52)),AB52,"")</f>
        <v/>
      </c>
      <c r="AI52" s="68">
        <f>IF(AND(E52=1,ISNUMBER(AC52)),AC52,"")</f>
        <v/>
      </c>
      <c r="AJ52" s="68">
        <f>IF(AND(E52=1,ISNUMBER(AD52)),AD52,"")</f>
        <v/>
      </c>
      <c r="AK52" s="68">
        <f>IF(AND(E52=1,ISNUMBER(AE52)),AE52,"")</f>
        <v/>
      </c>
    </row>
    <row r="53">
      <c r="A53" s="65">
        <f>Raw_Data_LI!A53</f>
        <v/>
      </c>
      <c r="B53" s="66">
        <f>Raw_Data_LI!B53</f>
        <v/>
      </c>
      <c r="C53" s="66">
        <f>Raw_Data_LI!C53</f>
        <v/>
      </c>
      <c r="D53">
        <f>IF(AND(B53&gt;=cfg_li_poa_mid_min,B53&lt;=cfg_li_poa_mid_max),1,0)</f>
        <v/>
      </c>
      <c r="E53">
        <f>IF(AND(B53&gt;=cfg_li_poa_low_min,B53&lt;=cfg_li_poa_low_max,C53&gt;=cfg_li_low_elev_min),1,0)</f>
        <v/>
      </c>
      <c r="F53" s="67">
        <f>IF(Raw_Data_LI!D53="","",Raw_Data_LI!D53/B53)</f>
        <v/>
      </c>
      <c r="G53" s="67">
        <f>IF(Raw_Data_LI!E53="","",Raw_Data_LI!E53/B53)</f>
        <v/>
      </c>
      <c r="H53" s="67">
        <f>IF(Raw_Data_LI!F53="","",Raw_Data_LI!F53/B53)</f>
        <v/>
      </c>
      <c r="I53" s="67">
        <f>IF(Raw_Data_LI!G53="","",Raw_Data_LI!G53/B53)</f>
        <v/>
      </c>
      <c r="J53" s="67">
        <f>IF(Raw_Data_LI!H53="","",Raw_Data_LI!H53/B53)</f>
        <v/>
      </c>
      <c r="K53" s="67">
        <f>IF(Raw_Data_LI!I53="","",Raw_Data_LI!I53/B53)</f>
        <v/>
      </c>
      <c r="L53" s="67">
        <f>IF(AND(D53=1,ISNUMBER(F53),F53&gt;0),F53,"")</f>
        <v/>
      </c>
      <c r="M53" s="67">
        <f>IF(AND(D53=1,ISNUMBER(G53),G53&gt;0),G53,"")</f>
        <v/>
      </c>
      <c r="N53" s="67">
        <f>IF(AND(D53=1,ISNUMBER(H53),H53&gt;0),H53,"")</f>
        <v/>
      </c>
      <c r="O53" s="67">
        <f>IF(AND(D53=1,ISNUMBER(I53),I53&gt;0),I53,"")</f>
        <v/>
      </c>
      <c r="P53" s="67">
        <f>IF(AND(D53=1,ISNUMBER(J53),J53&gt;0),J53,"")</f>
        <v/>
      </c>
      <c r="Q53" s="67">
        <f>IF(AND(D53=1,ISNUMBER(K53),K53&gt;0),K53,"")</f>
        <v/>
      </c>
      <c r="R53" s="68">
        <f>IF(AND(ISNUMBER(F53),L$4&gt;=cfg_li_min_mid_samples),F53/L$5,"")</f>
        <v/>
      </c>
      <c r="S53" s="68">
        <f>IF(AND(ISNUMBER(G53),M$4&gt;=cfg_li_min_mid_samples),G53/M$5,"")</f>
        <v/>
      </c>
      <c r="T53" s="68">
        <f>IF(AND(ISNUMBER(H53),N$4&gt;=cfg_li_min_mid_samples),H53/N$5,"")</f>
        <v/>
      </c>
      <c r="U53" s="68">
        <f>IF(AND(ISNUMBER(I53),O$4&gt;=cfg_li_min_mid_samples),I53/O$5,"")</f>
        <v/>
      </c>
      <c r="V53" s="68">
        <f>IF(AND(ISNUMBER(J53),P$4&gt;=cfg_li_min_mid_samples),J53/P$5,"")</f>
        <v/>
      </c>
      <c r="W53" s="68">
        <f>IF(AND(ISNUMBER(K53),Q$4&gt;=cfg_li_min_mid_samples),K53/Q$5,"")</f>
        <v/>
      </c>
      <c r="X53">
        <f>COUNT(R53:W53)</f>
        <v/>
      </c>
      <c r="Y53" s="68">
        <f>IF(X53&gt;=cfg_li_min_peers,MEDIAN(R53:W53),"")</f>
        <v/>
      </c>
      <c r="Z53" s="68">
        <f>IF(AND(ISNUMBER(R53),ISNUMBER(Y53)),R53/Y53,"")</f>
        <v/>
      </c>
      <c r="AA53" s="68">
        <f>IF(AND(ISNUMBER(S53),ISNUMBER(Y53)),S53/Y53,"")</f>
        <v/>
      </c>
      <c r="AB53" s="68">
        <f>IF(AND(ISNUMBER(T53),ISNUMBER(Y53)),T53/Y53,"")</f>
        <v/>
      </c>
      <c r="AC53" s="68">
        <f>IF(AND(ISNUMBER(U53),ISNUMBER(Y53)),U53/Y53,"")</f>
        <v/>
      </c>
      <c r="AD53" s="68">
        <f>IF(AND(ISNUMBER(V53),ISNUMBER(Y53)),V53/Y53,"")</f>
        <v/>
      </c>
      <c r="AE53" s="68">
        <f>IF(AND(ISNUMBER(W53),ISNUMBER(Y53)),W53/Y53,"")</f>
        <v/>
      </c>
      <c r="AF53" s="68">
        <f>IF(AND(E53=1,ISNUMBER(Z53)),Z53,"")</f>
        <v/>
      </c>
      <c r="AG53" s="68">
        <f>IF(AND(E53=1,ISNUMBER(AA53)),AA53,"")</f>
        <v/>
      </c>
      <c r="AH53" s="68">
        <f>IF(AND(E53=1,ISNUMBER(AB53)),AB53,"")</f>
        <v/>
      </c>
      <c r="AI53" s="68">
        <f>IF(AND(E53=1,ISNUMBER(AC53)),AC53,"")</f>
        <v/>
      </c>
      <c r="AJ53" s="68">
        <f>IF(AND(E53=1,ISNUMBER(AD53)),AD53,"")</f>
        <v/>
      </c>
      <c r="AK53" s="68">
        <f>IF(AND(E53=1,ISNUMBER(AE53)),AE53,"")</f>
        <v/>
      </c>
    </row>
    <row r="54">
      <c r="A54" s="65">
        <f>Raw_Data_LI!A54</f>
        <v/>
      </c>
      <c r="B54" s="66">
        <f>Raw_Data_LI!B54</f>
        <v/>
      </c>
      <c r="C54" s="66">
        <f>Raw_Data_LI!C54</f>
        <v/>
      </c>
      <c r="D54">
        <f>IF(AND(B54&gt;=cfg_li_poa_mid_min,B54&lt;=cfg_li_poa_mid_max),1,0)</f>
        <v/>
      </c>
      <c r="E54">
        <f>IF(AND(B54&gt;=cfg_li_poa_low_min,B54&lt;=cfg_li_poa_low_max,C54&gt;=cfg_li_low_elev_min),1,0)</f>
        <v/>
      </c>
      <c r="F54" s="67">
        <f>IF(Raw_Data_LI!D54="","",Raw_Data_LI!D54/B54)</f>
        <v/>
      </c>
      <c r="G54" s="67">
        <f>IF(Raw_Data_LI!E54="","",Raw_Data_LI!E54/B54)</f>
        <v/>
      </c>
      <c r="H54" s="67">
        <f>IF(Raw_Data_LI!F54="","",Raw_Data_LI!F54/B54)</f>
        <v/>
      </c>
      <c r="I54" s="67">
        <f>IF(Raw_Data_LI!G54="","",Raw_Data_LI!G54/B54)</f>
        <v/>
      </c>
      <c r="J54" s="67">
        <f>IF(Raw_Data_LI!H54="","",Raw_Data_LI!H54/B54)</f>
        <v/>
      </c>
      <c r="K54" s="67">
        <f>IF(Raw_Data_LI!I54="","",Raw_Data_LI!I54/B54)</f>
        <v/>
      </c>
      <c r="L54" s="67">
        <f>IF(AND(D54=1,ISNUMBER(F54),F54&gt;0),F54,"")</f>
        <v/>
      </c>
      <c r="M54" s="67">
        <f>IF(AND(D54=1,ISNUMBER(G54),G54&gt;0),G54,"")</f>
        <v/>
      </c>
      <c r="N54" s="67">
        <f>IF(AND(D54=1,ISNUMBER(H54),H54&gt;0),H54,"")</f>
        <v/>
      </c>
      <c r="O54" s="67">
        <f>IF(AND(D54=1,ISNUMBER(I54),I54&gt;0),I54,"")</f>
        <v/>
      </c>
      <c r="P54" s="67">
        <f>IF(AND(D54=1,ISNUMBER(J54),J54&gt;0),J54,"")</f>
        <v/>
      </c>
      <c r="Q54" s="67">
        <f>IF(AND(D54=1,ISNUMBER(K54),K54&gt;0),K54,"")</f>
        <v/>
      </c>
      <c r="R54" s="68">
        <f>IF(AND(ISNUMBER(F54),L$4&gt;=cfg_li_min_mid_samples),F54/L$5,"")</f>
        <v/>
      </c>
      <c r="S54" s="68">
        <f>IF(AND(ISNUMBER(G54),M$4&gt;=cfg_li_min_mid_samples),G54/M$5,"")</f>
        <v/>
      </c>
      <c r="T54" s="68">
        <f>IF(AND(ISNUMBER(H54),N$4&gt;=cfg_li_min_mid_samples),H54/N$5,"")</f>
        <v/>
      </c>
      <c r="U54" s="68">
        <f>IF(AND(ISNUMBER(I54),O$4&gt;=cfg_li_min_mid_samples),I54/O$5,"")</f>
        <v/>
      </c>
      <c r="V54" s="68">
        <f>IF(AND(ISNUMBER(J54),P$4&gt;=cfg_li_min_mid_samples),J54/P$5,"")</f>
        <v/>
      </c>
      <c r="W54" s="68">
        <f>IF(AND(ISNUMBER(K54),Q$4&gt;=cfg_li_min_mid_samples),K54/Q$5,"")</f>
        <v/>
      </c>
      <c r="X54">
        <f>COUNT(R54:W54)</f>
        <v/>
      </c>
      <c r="Y54" s="68">
        <f>IF(X54&gt;=cfg_li_min_peers,MEDIAN(R54:W54),"")</f>
        <v/>
      </c>
      <c r="Z54" s="68">
        <f>IF(AND(ISNUMBER(R54),ISNUMBER(Y54)),R54/Y54,"")</f>
        <v/>
      </c>
      <c r="AA54" s="68">
        <f>IF(AND(ISNUMBER(S54),ISNUMBER(Y54)),S54/Y54,"")</f>
        <v/>
      </c>
      <c r="AB54" s="68">
        <f>IF(AND(ISNUMBER(T54),ISNUMBER(Y54)),T54/Y54,"")</f>
        <v/>
      </c>
      <c r="AC54" s="68">
        <f>IF(AND(ISNUMBER(U54),ISNUMBER(Y54)),U54/Y54,"")</f>
        <v/>
      </c>
      <c r="AD54" s="68">
        <f>IF(AND(ISNUMBER(V54),ISNUMBER(Y54)),V54/Y54,"")</f>
        <v/>
      </c>
      <c r="AE54" s="68">
        <f>IF(AND(ISNUMBER(W54),ISNUMBER(Y54)),W54/Y54,"")</f>
        <v/>
      </c>
      <c r="AF54" s="68">
        <f>IF(AND(E54=1,ISNUMBER(Z54)),Z54,"")</f>
        <v/>
      </c>
      <c r="AG54" s="68">
        <f>IF(AND(E54=1,ISNUMBER(AA54)),AA54,"")</f>
        <v/>
      </c>
      <c r="AH54" s="68">
        <f>IF(AND(E54=1,ISNUMBER(AB54)),AB54,"")</f>
        <v/>
      </c>
      <c r="AI54" s="68">
        <f>IF(AND(E54=1,ISNUMBER(AC54)),AC54,"")</f>
        <v/>
      </c>
      <c r="AJ54" s="68">
        <f>IF(AND(E54=1,ISNUMBER(AD54)),AD54,"")</f>
        <v/>
      </c>
      <c r="AK54" s="68">
        <f>IF(AND(E54=1,ISNUMBER(AE54)),AE54,"")</f>
        <v/>
      </c>
    </row>
    <row r="55">
      <c r="A55" s="65">
        <f>Raw_Data_LI!A55</f>
        <v/>
      </c>
      <c r="B55" s="66">
        <f>Raw_Data_LI!B55</f>
        <v/>
      </c>
      <c r="C55" s="66">
        <f>Raw_Data_LI!C55</f>
        <v/>
      </c>
      <c r="D55">
        <f>IF(AND(B55&gt;=cfg_li_poa_mid_min,B55&lt;=cfg_li_poa_mid_max),1,0)</f>
        <v/>
      </c>
      <c r="E55">
        <f>IF(AND(B55&gt;=cfg_li_poa_low_min,B55&lt;=cfg_li_poa_low_max,C55&gt;=cfg_li_low_elev_min),1,0)</f>
        <v/>
      </c>
      <c r="F55" s="67">
        <f>IF(Raw_Data_LI!D55="","",Raw_Data_LI!D55/B55)</f>
        <v/>
      </c>
      <c r="G55" s="67">
        <f>IF(Raw_Data_LI!E55="","",Raw_Data_LI!E55/B55)</f>
        <v/>
      </c>
      <c r="H55" s="67">
        <f>IF(Raw_Data_LI!F55="","",Raw_Data_LI!F55/B55)</f>
        <v/>
      </c>
      <c r="I55" s="67">
        <f>IF(Raw_Data_LI!G55="","",Raw_Data_LI!G55/B55)</f>
        <v/>
      </c>
      <c r="J55" s="67">
        <f>IF(Raw_Data_LI!H55="","",Raw_Data_LI!H55/B55)</f>
        <v/>
      </c>
      <c r="K55" s="67">
        <f>IF(Raw_Data_LI!I55="","",Raw_Data_LI!I55/B55)</f>
        <v/>
      </c>
      <c r="L55" s="67">
        <f>IF(AND(D55=1,ISNUMBER(F55),F55&gt;0),F55,"")</f>
        <v/>
      </c>
      <c r="M55" s="67">
        <f>IF(AND(D55=1,ISNUMBER(G55),G55&gt;0),G55,"")</f>
        <v/>
      </c>
      <c r="N55" s="67">
        <f>IF(AND(D55=1,ISNUMBER(H55),H55&gt;0),H55,"")</f>
        <v/>
      </c>
      <c r="O55" s="67">
        <f>IF(AND(D55=1,ISNUMBER(I55),I55&gt;0),I55,"")</f>
        <v/>
      </c>
      <c r="P55" s="67">
        <f>IF(AND(D55=1,ISNUMBER(J55),J55&gt;0),J55,"")</f>
        <v/>
      </c>
      <c r="Q55" s="67">
        <f>IF(AND(D55=1,ISNUMBER(K55),K55&gt;0),K55,"")</f>
        <v/>
      </c>
      <c r="R55" s="68">
        <f>IF(AND(ISNUMBER(F55),L$4&gt;=cfg_li_min_mid_samples),F55/L$5,"")</f>
        <v/>
      </c>
      <c r="S55" s="68">
        <f>IF(AND(ISNUMBER(G55),M$4&gt;=cfg_li_min_mid_samples),G55/M$5,"")</f>
        <v/>
      </c>
      <c r="T55" s="68">
        <f>IF(AND(ISNUMBER(H55),N$4&gt;=cfg_li_min_mid_samples),H55/N$5,"")</f>
        <v/>
      </c>
      <c r="U55" s="68">
        <f>IF(AND(ISNUMBER(I55),O$4&gt;=cfg_li_min_mid_samples),I55/O$5,"")</f>
        <v/>
      </c>
      <c r="V55" s="68">
        <f>IF(AND(ISNUMBER(J55),P$4&gt;=cfg_li_min_mid_samples),J55/P$5,"")</f>
        <v/>
      </c>
      <c r="W55" s="68">
        <f>IF(AND(ISNUMBER(K55),Q$4&gt;=cfg_li_min_mid_samples),K55/Q$5,"")</f>
        <v/>
      </c>
      <c r="X55">
        <f>COUNT(R55:W55)</f>
        <v/>
      </c>
      <c r="Y55" s="68">
        <f>IF(X55&gt;=cfg_li_min_peers,MEDIAN(R55:W55),"")</f>
        <v/>
      </c>
      <c r="Z55" s="68">
        <f>IF(AND(ISNUMBER(R55),ISNUMBER(Y55)),R55/Y55,"")</f>
        <v/>
      </c>
      <c r="AA55" s="68">
        <f>IF(AND(ISNUMBER(S55),ISNUMBER(Y55)),S55/Y55,"")</f>
        <v/>
      </c>
      <c r="AB55" s="68">
        <f>IF(AND(ISNUMBER(T55),ISNUMBER(Y55)),T55/Y55,"")</f>
        <v/>
      </c>
      <c r="AC55" s="68">
        <f>IF(AND(ISNUMBER(U55),ISNUMBER(Y55)),U55/Y55,"")</f>
        <v/>
      </c>
      <c r="AD55" s="68">
        <f>IF(AND(ISNUMBER(V55),ISNUMBER(Y55)),V55/Y55,"")</f>
        <v/>
      </c>
      <c r="AE55" s="68">
        <f>IF(AND(ISNUMBER(W55),ISNUMBER(Y55)),W55/Y55,"")</f>
        <v/>
      </c>
      <c r="AF55" s="68">
        <f>IF(AND(E55=1,ISNUMBER(Z55)),Z55,"")</f>
        <v/>
      </c>
      <c r="AG55" s="68">
        <f>IF(AND(E55=1,ISNUMBER(AA55)),AA55,"")</f>
        <v/>
      </c>
      <c r="AH55" s="68">
        <f>IF(AND(E55=1,ISNUMBER(AB55)),AB55,"")</f>
        <v/>
      </c>
      <c r="AI55" s="68">
        <f>IF(AND(E55=1,ISNUMBER(AC55)),AC55,"")</f>
        <v/>
      </c>
      <c r="AJ55" s="68">
        <f>IF(AND(E55=1,ISNUMBER(AD55)),AD55,"")</f>
        <v/>
      </c>
      <c r="AK55" s="68">
        <f>IF(AND(E55=1,ISNUMBER(AE55)),AE55,"")</f>
        <v/>
      </c>
    </row>
    <row r="56">
      <c r="A56" s="65">
        <f>Raw_Data_LI!A56</f>
        <v/>
      </c>
      <c r="B56" s="66">
        <f>Raw_Data_LI!B56</f>
        <v/>
      </c>
      <c r="C56" s="66">
        <f>Raw_Data_LI!C56</f>
        <v/>
      </c>
      <c r="D56">
        <f>IF(AND(B56&gt;=cfg_li_poa_mid_min,B56&lt;=cfg_li_poa_mid_max),1,0)</f>
        <v/>
      </c>
      <c r="E56">
        <f>IF(AND(B56&gt;=cfg_li_poa_low_min,B56&lt;=cfg_li_poa_low_max,C56&gt;=cfg_li_low_elev_min),1,0)</f>
        <v/>
      </c>
      <c r="F56" s="67">
        <f>IF(Raw_Data_LI!D56="","",Raw_Data_LI!D56/B56)</f>
        <v/>
      </c>
      <c r="G56" s="67">
        <f>IF(Raw_Data_LI!E56="","",Raw_Data_LI!E56/B56)</f>
        <v/>
      </c>
      <c r="H56" s="67">
        <f>IF(Raw_Data_LI!F56="","",Raw_Data_LI!F56/B56)</f>
        <v/>
      </c>
      <c r="I56" s="67">
        <f>IF(Raw_Data_LI!G56="","",Raw_Data_LI!G56/B56)</f>
        <v/>
      </c>
      <c r="J56" s="67">
        <f>IF(Raw_Data_LI!H56="","",Raw_Data_LI!H56/B56)</f>
        <v/>
      </c>
      <c r="K56" s="67">
        <f>IF(Raw_Data_LI!I56="","",Raw_Data_LI!I56/B56)</f>
        <v/>
      </c>
      <c r="L56" s="67">
        <f>IF(AND(D56=1,ISNUMBER(F56),F56&gt;0),F56,"")</f>
        <v/>
      </c>
      <c r="M56" s="67">
        <f>IF(AND(D56=1,ISNUMBER(G56),G56&gt;0),G56,"")</f>
        <v/>
      </c>
      <c r="N56" s="67">
        <f>IF(AND(D56=1,ISNUMBER(H56),H56&gt;0),H56,"")</f>
        <v/>
      </c>
      <c r="O56" s="67">
        <f>IF(AND(D56=1,ISNUMBER(I56),I56&gt;0),I56,"")</f>
        <v/>
      </c>
      <c r="P56" s="67">
        <f>IF(AND(D56=1,ISNUMBER(J56),J56&gt;0),J56,"")</f>
        <v/>
      </c>
      <c r="Q56" s="67">
        <f>IF(AND(D56=1,ISNUMBER(K56),K56&gt;0),K56,"")</f>
        <v/>
      </c>
      <c r="R56" s="68">
        <f>IF(AND(ISNUMBER(F56),L$4&gt;=cfg_li_min_mid_samples),F56/L$5,"")</f>
        <v/>
      </c>
      <c r="S56" s="68">
        <f>IF(AND(ISNUMBER(G56),M$4&gt;=cfg_li_min_mid_samples),G56/M$5,"")</f>
        <v/>
      </c>
      <c r="T56" s="68">
        <f>IF(AND(ISNUMBER(H56),N$4&gt;=cfg_li_min_mid_samples),H56/N$5,"")</f>
        <v/>
      </c>
      <c r="U56" s="68">
        <f>IF(AND(ISNUMBER(I56),O$4&gt;=cfg_li_min_mid_samples),I56/O$5,"")</f>
        <v/>
      </c>
      <c r="V56" s="68">
        <f>IF(AND(ISNUMBER(J56),P$4&gt;=cfg_li_min_mid_samples),J56/P$5,"")</f>
        <v/>
      </c>
      <c r="W56" s="68">
        <f>IF(AND(ISNUMBER(K56),Q$4&gt;=cfg_li_min_mid_samples),K56/Q$5,"")</f>
        <v/>
      </c>
      <c r="X56">
        <f>COUNT(R56:W56)</f>
        <v/>
      </c>
      <c r="Y56" s="68">
        <f>IF(X56&gt;=cfg_li_min_peers,MEDIAN(R56:W56),"")</f>
        <v/>
      </c>
      <c r="Z56" s="68">
        <f>IF(AND(ISNUMBER(R56),ISNUMBER(Y56)),R56/Y56,"")</f>
        <v/>
      </c>
      <c r="AA56" s="68">
        <f>IF(AND(ISNUMBER(S56),ISNUMBER(Y56)),S56/Y56,"")</f>
        <v/>
      </c>
      <c r="AB56" s="68">
        <f>IF(AND(ISNUMBER(T56),ISNUMBER(Y56)),T56/Y56,"")</f>
        <v/>
      </c>
      <c r="AC56" s="68">
        <f>IF(AND(ISNUMBER(U56),ISNUMBER(Y56)),U56/Y56,"")</f>
        <v/>
      </c>
      <c r="AD56" s="68">
        <f>IF(AND(ISNUMBER(V56),ISNUMBER(Y56)),V56/Y56,"")</f>
        <v/>
      </c>
      <c r="AE56" s="68">
        <f>IF(AND(ISNUMBER(W56),ISNUMBER(Y56)),W56/Y56,"")</f>
        <v/>
      </c>
      <c r="AF56" s="68">
        <f>IF(AND(E56=1,ISNUMBER(Z56)),Z56,"")</f>
        <v/>
      </c>
      <c r="AG56" s="68">
        <f>IF(AND(E56=1,ISNUMBER(AA56)),AA56,"")</f>
        <v/>
      </c>
      <c r="AH56" s="68">
        <f>IF(AND(E56=1,ISNUMBER(AB56)),AB56,"")</f>
        <v/>
      </c>
      <c r="AI56" s="68">
        <f>IF(AND(E56=1,ISNUMBER(AC56)),AC56,"")</f>
        <v/>
      </c>
      <c r="AJ56" s="68">
        <f>IF(AND(E56=1,ISNUMBER(AD56)),AD56,"")</f>
        <v/>
      </c>
      <c r="AK56" s="68">
        <f>IF(AND(E56=1,ISNUMBER(AE56)),AE56,"")</f>
        <v/>
      </c>
    </row>
    <row r="57">
      <c r="A57" s="65">
        <f>Raw_Data_LI!A57</f>
        <v/>
      </c>
      <c r="B57" s="66">
        <f>Raw_Data_LI!B57</f>
        <v/>
      </c>
      <c r="C57" s="66">
        <f>Raw_Data_LI!C57</f>
        <v/>
      </c>
      <c r="D57">
        <f>IF(AND(B57&gt;=cfg_li_poa_mid_min,B57&lt;=cfg_li_poa_mid_max),1,0)</f>
        <v/>
      </c>
      <c r="E57">
        <f>IF(AND(B57&gt;=cfg_li_poa_low_min,B57&lt;=cfg_li_poa_low_max,C57&gt;=cfg_li_low_elev_min),1,0)</f>
        <v/>
      </c>
      <c r="F57" s="67">
        <f>IF(Raw_Data_LI!D57="","",Raw_Data_LI!D57/B57)</f>
        <v/>
      </c>
      <c r="G57" s="67">
        <f>IF(Raw_Data_LI!E57="","",Raw_Data_LI!E57/B57)</f>
        <v/>
      </c>
      <c r="H57" s="67">
        <f>IF(Raw_Data_LI!F57="","",Raw_Data_LI!F57/B57)</f>
        <v/>
      </c>
      <c r="I57" s="67">
        <f>IF(Raw_Data_LI!G57="","",Raw_Data_LI!G57/B57)</f>
        <v/>
      </c>
      <c r="J57" s="67">
        <f>IF(Raw_Data_LI!H57="","",Raw_Data_LI!H57/B57)</f>
        <v/>
      </c>
      <c r="K57" s="67">
        <f>IF(Raw_Data_LI!I57="","",Raw_Data_LI!I57/B57)</f>
        <v/>
      </c>
      <c r="L57" s="67">
        <f>IF(AND(D57=1,ISNUMBER(F57),F57&gt;0),F57,"")</f>
        <v/>
      </c>
      <c r="M57" s="67">
        <f>IF(AND(D57=1,ISNUMBER(G57),G57&gt;0),G57,"")</f>
        <v/>
      </c>
      <c r="N57" s="67">
        <f>IF(AND(D57=1,ISNUMBER(H57),H57&gt;0),H57,"")</f>
        <v/>
      </c>
      <c r="O57" s="67">
        <f>IF(AND(D57=1,ISNUMBER(I57),I57&gt;0),I57,"")</f>
        <v/>
      </c>
      <c r="P57" s="67">
        <f>IF(AND(D57=1,ISNUMBER(J57),J57&gt;0),J57,"")</f>
        <v/>
      </c>
      <c r="Q57" s="67">
        <f>IF(AND(D57=1,ISNUMBER(K57),K57&gt;0),K57,"")</f>
        <v/>
      </c>
      <c r="R57" s="68">
        <f>IF(AND(ISNUMBER(F57),L$4&gt;=cfg_li_min_mid_samples),F57/L$5,"")</f>
        <v/>
      </c>
      <c r="S57" s="68">
        <f>IF(AND(ISNUMBER(G57),M$4&gt;=cfg_li_min_mid_samples),G57/M$5,"")</f>
        <v/>
      </c>
      <c r="T57" s="68">
        <f>IF(AND(ISNUMBER(H57),N$4&gt;=cfg_li_min_mid_samples),H57/N$5,"")</f>
        <v/>
      </c>
      <c r="U57" s="68">
        <f>IF(AND(ISNUMBER(I57),O$4&gt;=cfg_li_min_mid_samples),I57/O$5,"")</f>
        <v/>
      </c>
      <c r="V57" s="68">
        <f>IF(AND(ISNUMBER(J57),P$4&gt;=cfg_li_min_mid_samples),J57/P$5,"")</f>
        <v/>
      </c>
      <c r="W57" s="68">
        <f>IF(AND(ISNUMBER(K57),Q$4&gt;=cfg_li_min_mid_samples),K57/Q$5,"")</f>
        <v/>
      </c>
      <c r="X57">
        <f>COUNT(R57:W57)</f>
        <v/>
      </c>
      <c r="Y57" s="68">
        <f>IF(X57&gt;=cfg_li_min_peers,MEDIAN(R57:W57),"")</f>
        <v/>
      </c>
      <c r="Z57" s="68">
        <f>IF(AND(ISNUMBER(R57),ISNUMBER(Y57)),R57/Y57,"")</f>
        <v/>
      </c>
      <c r="AA57" s="68">
        <f>IF(AND(ISNUMBER(S57),ISNUMBER(Y57)),S57/Y57,"")</f>
        <v/>
      </c>
      <c r="AB57" s="68">
        <f>IF(AND(ISNUMBER(T57),ISNUMBER(Y57)),T57/Y57,"")</f>
        <v/>
      </c>
      <c r="AC57" s="68">
        <f>IF(AND(ISNUMBER(U57),ISNUMBER(Y57)),U57/Y57,"")</f>
        <v/>
      </c>
      <c r="AD57" s="68">
        <f>IF(AND(ISNUMBER(V57),ISNUMBER(Y57)),V57/Y57,"")</f>
        <v/>
      </c>
      <c r="AE57" s="68">
        <f>IF(AND(ISNUMBER(W57),ISNUMBER(Y57)),W57/Y57,"")</f>
        <v/>
      </c>
      <c r="AF57" s="68">
        <f>IF(AND(E57=1,ISNUMBER(Z57)),Z57,"")</f>
        <v/>
      </c>
      <c r="AG57" s="68">
        <f>IF(AND(E57=1,ISNUMBER(AA57)),AA57,"")</f>
        <v/>
      </c>
      <c r="AH57" s="68">
        <f>IF(AND(E57=1,ISNUMBER(AB57)),AB57,"")</f>
        <v/>
      </c>
      <c r="AI57" s="68">
        <f>IF(AND(E57=1,ISNUMBER(AC57)),AC57,"")</f>
        <v/>
      </c>
      <c r="AJ57" s="68">
        <f>IF(AND(E57=1,ISNUMBER(AD57)),AD57,"")</f>
        <v/>
      </c>
      <c r="AK57" s="68">
        <f>IF(AND(E57=1,ISNUMBER(AE57)),AE57,"")</f>
        <v/>
      </c>
    </row>
    <row r="58">
      <c r="A58" s="65">
        <f>Raw_Data_LI!A58</f>
        <v/>
      </c>
      <c r="B58" s="66">
        <f>Raw_Data_LI!B58</f>
        <v/>
      </c>
      <c r="C58" s="66">
        <f>Raw_Data_LI!C58</f>
        <v/>
      </c>
      <c r="D58">
        <f>IF(AND(B58&gt;=cfg_li_poa_mid_min,B58&lt;=cfg_li_poa_mid_max),1,0)</f>
        <v/>
      </c>
      <c r="E58">
        <f>IF(AND(B58&gt;=cfg_li_poa_low_min,B58&lt;=cfg_li_poa_low_max,C58&gt;=cfg_li_low_elev_min),1,0)</f>
        <v/>
      </c>
      <c r="F58" s="67">
        <f>IF(Raw_Data_LI!D58="","",Raw_Data_LI!D58/B58)</f>
        <v/>
      </c>
      <c r="G58" s="67">
        <f>IF(Raw_Data_LI!E58="","",Raw_Data_LI!E58/B58)</f>
        <v/>
      </c>
      <c r="H58" s="67">
        <f>IF(Raw_Data_LI!F58="","",Raw_Data_LI!F58/B58)</f>
        <v/>
      </c>
      <c r="I58" s="67">
        <f>IF(Raw_Data_LI!G58="","",Raw_Data_LI!G58/B58)</f>
        <v/>
      </c>
      <c r="J58" s="67">
        <f>IF(Raw_Data_LI!H58="","",Raw_Data_LI!H58/B58)</f>
        <v/>
      </c>
      <c r="K58" s="67">
        <f>IF(Raw_Data_LI!I58="","",Raw_Data_LI!I58/B58)</f>
        <v/>
      </c>
      <c r="L58" s="67">
        <f>IF(AND(D58=1,ISNUMBER(F58),F58&gt;0),F58,"")</f>
        <v/>
      </c>
      <c r="M58" s="67">
        <f>IF(AND(D58=1,ISNUMBER(G58),G58&gt;0),G58,"")</f>
        <v/>
      </c>
      <c r="N58" s="67">
        <f>IF(AND(D58=1,ISNUMBER(H58),H58&gt;0),H58,"")</f>
        <v/>
      </c>
      <c r="O58" s="67">
        <f>IF(AND(D58=1,ISNUMBER(I58),I58&gt;0),I58,"")</f>
        <v/>
      </c>
      <c r="P58" s="67">
        <f>IF(AND(D58=1,ISNUMBER(J58),J58&gt;0),J58,"")</f>
        <v/>
      </c>
      <c r="Q58" s="67">
        <f>IF(AND(D58=1,ISNUMBER(K58),K58&gt;0),K58,"")</f>
        <v/>
      </c>
      <c r="R58" s="68">
        <f>IF(AND(ISNUMBER(F58),L$4&gt;=cfg_li_min_mid_samples),F58/L$5,"")</f>
        <v/>
      </c>
      <c r="S58" s="68">
        <f>IF(AND(ISNUMBER(G58),M$4&gt;=cfg_li_min_mid_samples),G58/M$5,"")</f>
        <v/>
      </c>
      <c r="T58" s="68">
        <f>IF(AND(ISNUMBER(H58),N$4&gt;=cfg_li_min_mid_samples),H58/N$5,"")</f>
        <v/>
      </c>
      <c r="U58" s="68">
        <f>IF(AND(ISNUMBER(I58),O$4&gt;=cfg_li_min_mid_samples),I58/O$5,"")</f>
        <v/>
      </c>
      <c r="V58" s="68">
        <f>IF(AND(ISNUMBER(J58),P$4&gt;=cfg_li_min_mid_samples),J58/P$5,"")</f>
        <v/>
      </c>
      <c r="W58" s="68">
        <f>IF(AND(ISNUMBER(K58),Q$4&gt;=cfg_li_min_mid_samples),K58/Q$5,"")</f>
        <v/>
      </c>
      <c r="X58">
        <f>COUNT(R58:W58)</f>
        <v/>
      </c>
      <c r="Y58" s="68">
        <f>IF(X58&gt;=cfg_li_min_peers,MEDIAN(R58:W58),"")</f>
        <v/>
      </c>
      <c r="Z58" s="68">
        <f>IF(AND(ISNUMBER(R58),ISNUMBER(Y58)),R58/Y58,"")</f>
        <v/>
      </c>
      <c r="AA58" s="68">
        <f>IF(AND(ISNUMBER(S58),ISNUMBER(Y58)),S58/Y58,"")</f>
        <v/>
      </c>
      <c r="AB58" s="68">
        <f>IF(AND(ISNUMBER(T58),ISNUMBER(Y58)),T58/Y58,"")</f>
        <v/>
      </c>
      <c r="AC58" s="68">
        <f>IF(AND(ISNUMBER(U58),ISNUMBER(Y58)),U58/Y58,"")</f>
        <v/>
      </c>
      <c r="AD58" s="68">
        <f>IF(AND(ISNUMBER(V58),ISNUMBER(Y58)),V58/Y58,"")</f>
        <v/>
      </c>
      <c r="AE58" s="68">
        <f>IF(AND(ISNUMBER(W58),ISNUMBER(Y58)),W58/Y58,"")</f>
        <v/>
      </c>
      <c r="AF58" s="68">
        <f>IF(AND(E58=1,ISNUMBER(Z58)),Z58,"")</f>
        <v/>
      </c>
      <c r="AG58" s="68">
        <f>IF(AND(E58=1,ISNUMBER(AA58)),AA58,"")</f>
        <v/>
      </c>
      <c r="AH58" s="68">
        <f>IF(AND(E58=1,ISNUMBER(AB58)),AB58,"")</f>
        <v/>
      </c>
      <c r="AI58" s="68">
        <f>IF(AND(E58=1,ISNUMBER(AC58)),AC58,"")</f>
        <v/>
      </c>
      <c r="AJ58" s="68">
        <f>IF(AND(E58=1,ISNUMBER(AD58)),AD58,"")</f>
        <v/>
      </c>
      <c r="AK58" s="68">
        <f>IF(AND(E58=1,ISNUMBER(AE58)),AE58,"")</f>
        <v/>
      </c>
    </row>
    <row r="59">
      <c r="A59" s="65">
        <f>Raw_Data_LI!A59</f>
        <v/>
      </c>
      <c r="B59" s="66">
        <f>Raw_Data_LI!B59</f>
        <v/>
      </c>
      <c r="C59" s="66">
        <f>Raw_Data_LI!C59</f>
        <v/>
      </c>
      <c r="D59">
        <f>IF(AND(B59&gt;=cfg_li_poa_mid_min,B59&lt;=cfg_li_poa_mid_max),1,0)</f>
        <v/>
      </c>
      <c r="E59">
        <f>IF(AND(B59&gt;=cfg_li_poa_low_min,B59&lt;=cfg_li_poa_low_max,C59&gt;=cfg_li_low_elev_min),1,0)</f>
        <v/>
      </c>
      <c r="F59" s="67">
        <f>IF(Raw_Data_LI!D59="","",Raw_Data_LI!D59/B59)</f>
        <v/>
      </c>
      <c r="G59" s="67">
        <f>IF(Raw_Data_LI!E59="","",Raw_Data_LI!E59/B59)</f>
        <v/>
      </c>
      <c r="H59" s="67">
        <f>IF(Raw_Data_LI!F59="","",Raw_Data_LI!F59/B59)</f>
        <v/>
      </c>
      <c r="I59" s="67">
        <f>IF(Raw_Data_LI!G59="","",Raw_Data_LI!G59/B59)</f>
        <v/>
      </c>
      <c r="J59" s="67">
        <f>IF(Raw_Data_LI!H59="","",Raw_Data_LI!H59/B59)</f>
        <v/>
      </c>
      <c r="K59" s="67">
        <f>IF(Raw_Data_LI!I59="","",Raw_Data_LI!I59/B59)</f>
        <v/>
      </c>
      <c r="L59" s="67">
        <f>IF(AND(D59=1,ISNUMBER(F59),F59&gt;0),F59,"")</f>
        <v/>
      </c>
      <c r="M59" s="67">
        <f>IF(AND(D59=1,ISNUMBER(G59),G59&gt;0),G59,"")</f>
        <v/>
      </c>
      <c r="N59" s="67">
        <f>IF(AND(D59=1,ISNUMBER(H59),H59&gt;0),H59,"")</f>
        <v/>
      </c>
      <c r="O59" s="67">
        <f>IF(AND(D59=1,ISNUMBER(I59),I59&gt;0),I59,"")</f>
        <v/>
      </c>
      <c r="P59" s="67">
        <f>IF(AND(D59=1,ISNUMBER(J59),J59&gt;0),J59,"")</f>
        <v/>
      </c>
      <c r="Q59" s="67">
        <f>IF(AND(D59=1,ISNUMBER(K59),K59&gt;0),K59,"")</f>
        <v/>
      </c>
      <c r="R59" s="68">
        <f>IF(AND(ISNUMBER(F59),L$4&gt;=cfg_li_min_mid_samples),F59/L$5,"")</f>
        <v/>
      </c>
      <c r="S59" s="68">
        <f>IF(AND(ISNUMBER(G59),M$4&gt;=cfg_li_min_mid_samples),G59/M$5,"")</f>
        <v/>
      </c>
      <c r="T59" s="68">
        <f>IF(AND(ISNUMBER(H59),N$4&gt;=cfg_li_min_mid_samples),H59/N$5,"")</f>
        <v/>
      </c>
      <c r="U59" s="68">
        <f>IF(AND(ISNUMBER(I59),O$4&gt;=cfg_li_min_mid_samples),I59/O$5,"")</f>
        <v/>
      </c>
      <c r="V59" s="68">
        <f>IF(AND(ISNUMBER(J59),P$4&gt;=cfg_li_min_mid_samples),J59/P$5,"")</f>
        <v/>
      </c>
      <c r="W59" s="68">
        <f>IF(AND(ISNUMBER(K59),Q$4&gt;=cfg_li_min_mid_samples),K59/Q$5,"")</f>
        <v/>
      </c>
      <c r="X59">
        <f>COUNT(R59:W59)</f>
        <v/>
      </c>
      <c r="Y59" s="68">
        <f>IF(X59&gt;=cfg_li_min_peers,MEDIAN(R59:W59),"")</f>
        <v/>
      </c>
      <c r="Z59" s="68">
        <f>IF(AND(ISNUMBER(R59),ISNUMBER(Y59)),R59/Y59,"")</f>
        <v/>
      </c>
      <c r="AA59" s="68">
        <f>IF(AND(ISNUMBER(S59),ISNUMBER(Y59)),S59/Y59,"")</f>
        <v/>
      </c>
      <c r="AB59" s="68">
        <f>IF(AND(ISNUMBER(T59),ISNUMBER(Y59)),T59/Y59,"")</f>
        <v/>
      </c>
      <c r="AC59" s="68">
        <f>IF(AND(ISNUMBER(U59),ISNUMBER(Y59)),U59/Y59,"")</f>
        <v/>
      </c>
      <c r="AD59" s="68">
        <f>IF(AND(ISNUMBER(V59),ISNUMBER(Y59)),V59/Y59,"")</f>
        <v/>
      </c>
      <c r="AE59" s="68">
        <f>IF(AND(ISNUMBER(W59),ISNUMBER(Y59)),W59/Y59,"")</f>
        <v/>
      </c>
      <c r="AF59" s="68">
        <f>IF(AND(E59=1,ISNUMBER(Z59)),Z59,"")</f>
        <v/>
      </c>
      <c r="AG59" s="68">
        <f>IF(AND(E59=1,ISNUMBER(AA59)),AA59,"")</f>
        <v/>
      </c>
      <c r="AH59" s="68">
        <f>IF(AND(E59=1,ISNUMBER(AB59)),AB59,"")</f>
        <v/>
      </c>
      <c r="AI59" s="68">
        <f>IF(AND(E59=1,ISNUMBER(AC59)),AC59,"")</f>
        <v/>
      </c>
      <c r="AJ59" s="68">
        <f>IF(AND(E59=1,ISNUMBER(AD59)),AD59,"")</f>
        <v/>
      </c>
      <c r="AK59" s="68">
        <f>IF(AND(E59=1,ISNUMBER(AE59)),AE59,"")</f>
        <v/>
      </c>
    </row>
    <row r="60">
      <c r="A60" s="65">
        <f>Raw_Data_LI!A60</f>
        <v/>
      </c>
      <c r="B60" s="66">
        <f>Raw_Data_LI!B60</f>
        <v/>
      </c>
      <c r="C60" s="66">
        <f>Raw_Data_LI!C60</f>
        <v/>
      </c>
      <c r="D60">
        <f>IF(AND(B60&gt;=cfg_li_poa_mid_min,B60&lt;=cfg_li_poa_mid_max),1,0)</f>
        <v/>
      </c>
      <c r="E60">
        <f>IF(AND(B60&gt;=cfg_li_poa_low_min,B60&lt;=cfg_li_poa_low_max,C60&gt;=cfg_li_low_elev_min),1,0)</f>
        <v/>
      </c>
      <c r="F60" s="67">
        <f>IF(Raw_Data_LI!D60="","",Raw_Data_LI!D60/B60)</f>
        <v/>
      </c>
      <c r="G60" s="67">
        <f>IF(Raw_Data_LI!E60="","",Raw_Data_LI!E60/B60)</f>
        <v/>
      </c>
      <c r="H60" s="67">
        <f>IF(Raw_Data_LI!F60="","",Raw_Data_LI!F60/B60)</f>
        <v/>
      </c>
      <c r="I60" s="67">
        <f>IF(Raw_Data_LI!G60="","",Raw_Data_LI!G60/B60)</f>
        <v/>
      </c>
      <c r="J60" s="67">
        <f>IF(Raw_Data_LI!H60="","",Raw_Data_LI!H60/B60)</f>
        <v/>
      </c>
      <c r="K60" s="67">
        <f>IF(Raw_Data_LI!I60="","",Raw_Data_LI!I60/B60)</f>
        <v/>
      </c>
      <c r="L60" s="67">
        <f>IF(AND(D60=1,ISNUMBER(F60),F60&gt;0),F60,"")</f>
        <v/>
      </c>
      <c r="M60" s="67">
        <f>IF(AND(D60=1,ISNUMBER(G60),G60&gt;0),G60,"")</f>
        <v/>
      </c>
      <c r="N60" s="67">
        <f>IF(AND(D60=1,ISNUMBER(H60),H60&gt;0),H60,"")</f>
        <v/>
      </c>
      <c r="O60" s="67">
        <f>IF(AND(D60=1,ISNUMBER(I60),I60&gt;0),I60,"")</f>
        <v/>
      </c>
      <c r="P60" s="67">
        <f>IF(AND(D60=1,ISNUMBER(J60),J60&gt;0),J60,"")</f>
        <v/>
      </c>
      <c r="Q60" s="67">
        <f>IF(AND(D60=1,ISNUMBER(K60),K60&gt;0),K60,"")</f>
        <v/>
      </c>
      <c r="R60" s="68">
        <f>IF(AND(ISNUMBER(F60),L$4&gt;=cfg_li_min_mid_samples),F60/L$5,"")</f>
        <v/>
      </c>
      <c r="S60" s="68">
        <f>IF(AND(ISNUMBER(G60),M$4&gt;=cfg_li_min_mid_samples),G60/M$5,"")</f>
        <v/>
      </c>
      <c r="T60" s="68">
        <f>IF(AND(ISNUMBER(H60),N$4&gt;=cfg_li_min_mid_samples),H60/N$5,"")</f>
        <v/>
      </c>
      <c r="U60" s="68">
        <f>IF(AND(ISNUMBER(I60),O$4&gt;=cfg_li_min_mid_samples),I60/O$5,"")</f>
        <v/>
      </c>
      <c r="V60" s="68">
        <f>IF(AND(ISNUMBER(J60),P$4&gt;=cfg_li_min_mid_samples),J60/P$5,"")</f>
        <v/>
      </c>
      <c r="W60" s="68">
        <f>IF(AND(ISNUMBER(K60),Q$4&gt;=cfg_li_min_mid_samples),K60/Q$5,"")</f>
        <v/>
      </c>
      <c r="X60">
        <f>COUNT(R60:W60)</f>
        <v/>
      </c>
      <c r="Y60" s="68">
        <f>IF(X60&gt;=cfg_li_min_peers,MEDIAN(R60:W60),"")</f>
        <v/>
      </c>
      <c r="Z60" s="68">
        <f>IF(AND(ISNUMBER(R60),ISNUMBER(Y60)),R60/Y60,"")</f>
        <v/>
      </c>
      <c r="AA60" s="68">
        <f>IF(AND(ISNUMBER(S60),ISNUMBER(Y60)),S60/Y60,"")</f>
        <v/>
      </c>
      <c r="AB60" s="68">
        <f>IF(AND(ISNUMBER(T60),ISNUMBER(Y60)),T60/Y60,"")</f>
        <v/>
      </c>
      <c r="AC60" s="68">
        <f>IF(AND(ISNUMBER(U60),ISNUMBER(Y60)),U60/Y60,"")</f>
        <v/>
      </c>
      <c r="AD60" s="68">
        <f>IF(AND(ISNUMBER(V60),ISNUMBER(Y60)),V60/Y60,"")</f>
        <v/>
      </c>
      <c r="AE60" s="68">
        <f>IF(AND(ISNUMBER(W60),ISNUMBER(Y60)),W60/Y60,"")</f>
        <v/>
      </c>
      <c r="AF60" s="68">
        <f>IF(AND(E60=1,ISNUMBER(Z60)),Z60,"")</f>
        <v/>
      </c>
      <c r="AG60" s="68">
        <f>IF(AND(E60=1,ISNUMBER(AA60)),AA60,"")</f>
        <v/>
      </c>
      <c r="AH60" s="68">
        <f>IF(AND(E60=1,ISNUMBER(AB60)),AB60,"")</f>
        <v/>
      </c>
      <c r="AI60" s="68">
        <f>IF(AND(E60=1,ISNUMBER(AC60)),AC60,"")</f>
        <v/>
      </c>
      <c r="AJ60" s="68">
        <f>IF(AND(E60=1,ISNUMBER(AD60)),AD60,"")</f>
        <v/>
      </c>
      <c r="AK60" s="68">
        <f>IF(AND(E60=1,ISNUMBER(AE60)),AE60,"")</f>
        <v/>
      </c>
    </row>
    <row r="61">
      <c r="A61" s="65">
        <f>Raw_Data_LI!A61</f>
        <v/>
      </c>
      <c r="B61" s="66">
        <f>Raw_Data_LI!B61</f>
        <v/>
      </c>
      <c r="C61" s="66">
        <f>Raw_Data_LI!C61</f>
        <v/>
      </c>
      <c r="D61">
        <f>IF(AND(B61&gt;=cfg_li_poa_mid_min,B61&lt;=cfg_li_poa_mid_max),1,0)</f>
        <v/>
      </c>
      <c r="E61">
        <f>IF(AND(B61&gt;=cfg_li_poa_low_min,B61&lt;=cfg_li_poa_low_max,C61&gt;=cfg_li_low_elev_min),1,0)</f>
        <v/>
      </c>
      <c r="F61" s="67">
        <f>IF(Raw_Data_LI!D61="","",Raw_Data_LI!D61/B61)</f>
        <v/>
      </c>
      <c r="G61" s="67">
        <f>IF(Raw_Data_LI!E61="","",Raw_Data_LI!E61/B61)</f>
        <v/>
      </c>
      <c r="H61" s="67">
        <f>IF(Raw_Data_LI!F61="","",Raw_Data_LI!F61/B61)</f>
        <v/>
      </c>
      <c r="I61" s="67">
        <f>IF(Raw_Data_LI!G61="","",Raw_Data_LI!G61/B61)</f>
        <v/>
      </c>
      <c r="J61" s="67">
        <f>IF(Raw_Data_LI!H61="","",Raw_Data_LI!H61/B61)</f>
        <v/>
      </c>
      <c r="K61" s="67">
        <f>IF(Raw_Data_LI!I61="","",Raw_Data_LI!I61/B61)</f>
        <v/>
      </c>
      <c r="L61" s="67">
        <f>IF(AND(D61=1,ISNUMBER(F61),F61&gt;0),F61,"")</f>
        <v/>
      </c>
      <c r="M61" s="67">
        <f>IF(AND(D61=1,ISNUMBER(G61),G61&gt;0),G61,"")</f>
        <v/>
      </c>
      <c r="N61" s="67">
        <f>IF(AND(D61=1,ISNUMBER(H61),H61&gt;0),H61,"")</f>
        <v/>
      </c>
      <c r="O61" s="67">
        <f>IF(AND(D61=1,ISNUMBER(I61),I61&gt;0),I61,"")</f>
        <v/>
      </c>
      <c r="P61" s="67">
        <f>IF(AND(D61=1,ISNUMBER(J61),J61&gt;0),J61,"")</f>
        <v/>
      </c>
      <c r="Q61" s="67">
        <f>IF(AND(D61=1,ISNUMBER(K61),K61&gt;0),K61,"")</f>
        <v/>
      </c>
      <c r="R61" s="68">
        <f>IF(AND(ISNUMBER(F61),L$4&gt;=cfg_li_min_mid_samples),F61/L$5,"")</f>
        <v/>
      </c>
      <c r="S61" s="68">
        <f>IF(AND(ISNUMBER(G61),M$4&gt;=cfg_li_min_mid_samples),G61/M$5,"")</f>
        <v/>
      </c>
      <c r="T61" s="68">
        <f>IF(AND(ISNUMBER(H61),N$4&gt;=cfg_li_min_mid_samples),H61/N$5,"")</f>
        <v/>
      </c>
      <c r="U61" s="68">
        <f>IF(AND(ISNUMBER(I61),O$4&gt;=cfg_li_min_mid_samples),I61/O$5,"")</f>
        <v/>
      </c>
      <c r="V61" s="68">
        <f>IF(AND(ISNUMBER(J61),P$4&gt;=cfg_li_min_mid_samples),J61/P$5,"")</f>
        <v/>
      </c>
      <c r="W61" s="68">
        <f>IF(AND(ISNUMBER(K61),Q$4&gt;=cfg_li_min_mid_samples),K61/Q$5,"")</f>
        <v/>
      </c>
      <c r="X61">
        <f>COUNT(R61:W61)</f>
        <v/>
      </c>
      <c r="Y61" s="68">
        <f>IF(X61&gt;=cfg_li_min_peers,MEDIAN(R61:W61),"")</f>
        <v/>
      </c>
      <c r="Z61" s="68">
        <f>IF(AND(ISNUMBER(R61),ISNUMBER(Y61)),R61/Y61,"")</f>
        <v/>
      </c>
      <c r="AA61" s="68">
        <f>IF(AND(ISNUMBER(S61),ISNUMBER(Y61)),S61/Y61,"")</f>
        <v/>
      </c>
      <c r="AB61" s="68">
        <f>IF(AND(ISNUMBER(T61),ISNUMBER(Y61)),T61/Y61,"")</f>
        <v/>
      </c>
      <c r="AC61" s="68">
        <f>IF(AND(ISNUMBER(U61),ISNUMBER(Y61)),U61/Y61,"")</f>
        <v/>
      </c>
      <c r="AD61" s="68">
        <f>IF(AND(ISNUMBER(V61),ISNUMBER(Y61)),V61/Y61,"")</f>
        <v/>
      </c>
      <c r="AE61" s="68">
        <f>IF(AND(ISNUMBER(W61),ISNUMBER(Y61)),W61/Y61,"")</f>
        <v/>
      </c>
      <c r="AF61" s="68">
        <f>IF(AND(E61=1,ISNUMBER(Z61)),Z61,"")</f>
        <v/>
      </c>
      <c r="AG61" s="68">
        <f>IF(AND(E61=1,ISNUMBER(AA61)),AA61,"")</f>
        <v/>
      </c>
      <c r="AH61" s="68">
        <f>IF(AND(E61=1,ISNUMBER(AB61)),AB61,"")</f>
        <v/>
      </c>
      <c r="AI61" s="68">
        <f>IF(AND(E61=1,ISNUMBER(AC61)),AC61,"")</f>
        <v/>
      </c>
      <c r="AJ61" s="68">
        <f>IF(AND(E61=1,ISNUMBER(AD61)),AD61,"")</f>
        <v/>
      </c>
      <c r="AK61" s="68">
        <f>IF(AND(E61=1,ISNUMBER(AE61)),AE61,"")</f>
        <v/>
      </c>
    </row>
    <row r="62">
      <c r="A62" s="65">
        <f>Raw_Data_LI!A62</f>
        <v/>
      </c>
      <c r="B62" s="66">
        <f>Raw_Data_LI!B62</f>
        <v/>
      </c>
      <c r="C62" s="66">
        <f>Raw_Data_LI!C62</f>
        <v/>
      </c>
      <c r="D62">
        <f>IF(AND(B62&gt;=cfg_li_poa_mid_min,B62&lt;=cfg_li_poa_mid_max),1,0)</f>
        <v/>
      </c>
      <c r="E62">
        <f>IF(AND(B62&gt;=cfg_li_poa_low_min,B62&lt;=cfg_li_poa_low_max,C62&gt;=cfg_li_low_elev_min),1,0)</f>
        <v/>
      </c>
      <c r="F62" s="67">
        <f>IF(Raw_Data_LI!D62="","",Raw_Data_LI!D62/B62)</f>
        <v/>
      </c>
      <c r="G62" s="67">
        <f>IF(Raw_Data_LI!E62="","",Raw_Data_LI!E62/B62)</f>
        <v/>
      </c>
      <c r="H62" s="67">
        <f>IF(Raw_Data_LI!F62="","",Raw_Data_LI!F62/B62)</f>
        <v/>
      </c>
      <c r="I62" s="67">
        <f>IF(Raw_Data_LI!G62="","",Raw_Data_LI!G62/B62)</f>
        <v/>
      </c>
      <c r="J62" s="67">
        <f>IF(Raw_Data_LI!H62="","",Raw_Data_LI!H62/B62)</f>
        <v/>
      </c>
      <c r="K62" s="67">
        <f>IF(Raw_Data_LI!I62="","",Raw_Data_LI!I62/B62)</f>
        <v/>
      </c>
      <c r="L62" s="67">
        <f>IF(AND(D62=1,ISNUMBER(F62),F62&gt;0),F62,"")</f>
        <v/>
      </c>
      <c r="M62" s="67">
        <f>IF(AND(D62=1,ISNUMBER(G62),G62&gt;0),G62,"")</f>
        <v/>
      </c>
      <c r="N62" s="67">
        <f>IF(AND(D62=1,ISNUMBER(H62),H62&gt;0),H62,"")</f>
        <v/>
      </c>
      <c r="O62" s="67">
        <f>IF(AND(D62=1,ISNUMBER(I62),I62&gt;0),I62,"")</f>
        <v/>
      </c>
      <c r="P62" s="67">
        <f>IF(AND(D62=1,ISNUMBER(J62),J62&gt;0),J62,"")</f>
        <v/>
      </c>
      <c r="Q62" s="67">
        <f>IF(AND(D62=1,ISNUMBER(K62),K62&gt;0),K62,"")</f>
        <v/>
      </c>
      <c r="R62" s="68">
        <f>IF(AND(ISNUMBER(F62),L$4&gt;=cfg_li_min_mid_samples),F62/L$5,"")</f>
        <v/>
      </c>
      <c r="S62" s="68">
        <f>IF(AND(ISNUMBER(G62),M$4&gt;=cfg_li_min_mid_samples),G62/M$5,"")</f>
        <v/>
      </c>
      <c r="T62" s="68">
        <f>IF(AND(ISNUMBER(H62),N$4&gt;=cfg_li_min_mid_samples),H62/N$5,"")</f>
        <v/>
      </c>
      <c r="U62" s="68">
        <f>IF(AND(ISNUMBER(I62),O$4&gt;=cfg_li_min_mid_samples),I62/O$5,"")</f>
        <v/>
      </c>
      <c r="V62" s="68">
        <f>IF(AND(ISNUMBER(J62),P$4&gt;=cfg_li_min_mid_samples),J62/P$5,"")</f>
        <v/>
      </c>
      <c r="W62" s="68">
        <f>IF(AND(ISNUMBER(K62),Q$4&gt;=cfg_li_min_mid_samples),K62/Q$5,"")</f>
        <v/>
      </c>
      <c r="X62">
        <f>COUNT(R62:W62)</f>
        <v/>
      </c>
      <c r="Y62" s="68">
        <f>IF(X62&gt;=cfg_li_min_peers,MEDIAN(R62:W62),"")</f>
        <v/>
      </c>
      <c r="Z62" s="68">
        <f>IF(AND(ISNUMBER(R62),ISNUMBER(Y62)),R62/Y62,"")</f>
        <v/>
      </c>
      <c r="AA62" s="68">
        <f>IF(AND(ISNUMBER(S62),ISNUMBER(Y62)),S62/Y62,"")</f>
        <v/>
      </c>
      <c r="AB62" s="68">
        <f>IF(AND(ISNUMBER(T62),ISNUMBER(Y62)),T62/Y62,"")</f>
        <v/>
      </c>
      <c r="AC62" s="68">
        <f>IF(AND(ISNUMBER(U62),ISNUMBER(Y62)),U62/Y62,"")</f>
        <v/>
      </c>
      <c r="AD62" s="68">
        <f>IF(AND(ISNUMBER(V62),ISNUMBER(Y62)),V62/Y62,"")</f>
        <v/>
      </c>
      <c r="AE62" s="68">
        <f>IF(AND(ISNUMBER(W62),ISNUMBER(Y62)),W62/Y62,"")</f>
        <v/>
      </c>
      <c r="AF62" s="68">
        <f>IF(AND(E62=1,ISNUMBER(Z62)),Z62,"")</f>
        <v/>
      </c>
      <c r="AG62" s="68">
        <f>IF(AND(E62=1,ISNUMBER(AA62)),AA62,"")</f>
        <v/>
      </c>
      <c r="AH62" s="68">
        <f>IF(AND(E62=1,ISNUMBER(AB62)),AB62,"")</f>
        <v/>
      </c>
      <c r="AI62" s="68">
        <f>IF(AND(E62=1,ISNUMBER(AC62)),AC62,"")</f>
        <v/>
      </c>
      <c r="AJ62" s="68">
        <f>IF(AND(E62=1,ISNUMBER(AD62)),AD62,"")</f>
        <v/>
      </c>
      <c r="AK62" s="68">
        <f>IF(AND(E62=1,ISNUMBER(AE62)),AE62,"")</f>
        <v/>
      </c>
    </row>
    <row r="63">
      <c r="A63" s="65">
        <f>Raw_Data_LI!A63</f>
        <v/>
      </c>
      <c r="B63" s="66">
        <f>Raw_Data_LI!B63</f>
        <v/>
      </c>
      <c r="C63" s="66">
        <f>Raw_Data_LI!C63</f>
        <v/>
      </c>
      <c r="D63">
        <f>IF(AND(B63&gt;=cfg_li_poa_mid_min,B63&lt;=cfg_li_poa_mid_max),1,0)</f>
        <v/>
      </c>
      <c r="E63">
        <f>IF(AND(B63&gt;=cfg_li_poa_low_min,B63&lt;=cfg_li_poa_low_max,C63&gt;=cfg_li_low_elev_min),1,0)</f>
        <v/>
      </c>
      <c r="F63" s="67">
        <f>IF(Raw_Data_LI!D63="","",Raw_Data_LI!D63/B63)</f>
        <v/>
      </c>
      <c r="G63" s="67">
        <f>IF(Raw_Data_LI!E63="","",Raw_Data_LI!E63/B63)</f>
        <v/>
      </c>
      <c r="H63" s="67">
        <f>IF(Raw_Data_LI!F63="","",Raw_Data_LI!F63/B63)</f>
        <v/>
      </c>
      <c r="I63" s="67">
        <f>IF(Raw_Data_LI!G63="","",Raw_Data_LI!G63/B63)</f>
        <v/>
      </c>
      <c r="J63" s="67">
        <f>IF(Raw_Data_LI!H63="","",Raw_Data_LI!H63/B63)</f>
        <v/>
      </c>
      <c r="K63" s="67">
        <f>IF(Raw_Data_LI!I63="","",Raw_Data_LI!I63/B63)</f>
        <v/>
      </c>
      <c r="L63" s="67">
        <f>IF(AND(D63=1,ISNUMBER(F63),F63&gt;0),F63,"")</f>
        <v/>
      </c>
      <c r="M63" s="67">
        <f>IF(AND(D63=1,ISNUMBER(G63),G63&gt;0),G63,"")</f>
        <v/>
      </c>
      <c r="N63" s="67">
        <f>IF(AND(D63=1,ISNUMBER(H63),H63&gt;0),H63,"")</f>
        <v/>
      </c>
      <c r="O63" s="67">
        <f>IF(AND(D63=1,ISNUMBER(I63),I63&gt;0),I63,"")</f>
        <v/>
      </c>
      <c r="P63" s="67">
        <f>IF(AND(D63=1,ISNUMBER(J63),J63&gt;0),J63,"")</f>
        <v/>
      </c>
      <c r="Q63" s="67">
        <f>IF(AND(D63=1,ISNUMBER(K63),K63&gt;0),K63,"")</f>
        <v/>
      </c>
      <c r="R63" s="68">
        <f>IF(AND(ISNUMBER(F63),L$4&gt;=cfg_li_min_mid_samples),F63/L$5,"")</f>
        <v/>
      </c>
      <c r="S63" s="68">
        <f>IF(AND(ISNUMBER(G63),M$4&gt;=cfg_li_min_mid_samples),G63/M$5,"")</f>
        <v/>
      </c>
      <c r="T63" s="68">
        <f>IF(AND(ISNUMBER(H63),N$4&gt;=cfg_li_min_mid_samples),H63/N$5,"")</f>
        <v/>
      </c>
      <c r="U63" s="68">
        <f>IF(AND(ISNUMBER(I63),O$4&gt;=cfg_li_min_mid_samples),I63/O$5,"")</f>
        <v/>
      </c>
      <c r="V63" s="68">
        <f>IF(AND(ISNUMBER(J63),P$4&gt;=cfg_li_min_mid_samples),J63/P$5,"")</f>
        <v/>
      </c>
      <c r="W63" s="68">
        <f>IF(AND(ISNUMBER(K63),Q$4&gt;=cfg_li_min_mid_samples),K63/Q$5,"")</f>
        <v/>
      </c>
      <c r="X63">
        <f>COUNT(R63:W63)</f>
        <v/>
      </c>
      <c r="Y63" s="68">
        <f>IF(X63&gt;=cfg_li_min_peers,MEDIAN(R63:W63),"")</f>
        <v/>
      </c>
      <c r="Z63" s="68">
        <f>IF(AND(ISNUMBER(R63),ISNUMBER(Y63)),R63/Y63,"")</f>
        <v/>
      </c>
      <c r="AA63" s="68">
        <f>IF(AND(ISNUMBER(S63),ISNUMBER(Y63)),S63/Y63,"")</f>
        <v/>
      </c>
      <c r="AB63" s="68">
        <f>IF(AND(ISNUMBER(T63),ISNUMBER(Y63)),T63/Y63,"")</f>
        <v/>
      </c>
      <c r="AC63" s="68">
        <f>IF(AND(ISNUMBER(U63),ISNUMBER(Y63)),U63/Y63,"")</f>
        <v/>
      </c>
      <c r="AD63" s="68">
        <f>IF(AND(ISNUMBER(V63),ISNUMBER(Y63)),V63/Y63,"")</f>
        <v/>
      </c>
      <c r="AE63" s="68">
        <f>IF(AND(ISNUMBER(W63),ISNUMBER(Y63)),W63/Y63,"")</f>
        <v/>
      </c>
      <c r="AF63" s="68">
        <f>IF(AND(E63=1,ISNUMBER(Z63)),Z63,"")</f>
        <v/>
      </c>
      <c r="AG63" s="68">
        <f>IF(AND(E63=1,ISNUMBER(AA63)),AA63,"")</f>
        <v/>
      </c>
      <c r="AH63" s="68">
        <f>IF(AND(E63=1,ISNUMBER(AB63)),AB63,"")</f>
        <v/>
      </c>
      <c r="AI63" s="68">
        <f>IF(AND(E63=1,ISNUMBER(AC63)),AC63,"")</f>
        <v/>
      </c>
      <c r="AJ63" s="68">
        <f>IF(AND(E63=1,ISNUMBER(AD63)),AD63,"")</f>
        <v/>
      </c>
      <c r="AK63" s="68">
        <f>IF(AND(E63=1,ISNUMBER(AE63)),AE63,"")</f>
        <v/>
      </c>
    </row>
    <row r="64">
      <c r="A64" s="65">
        <f>Raw_Data_LI!A64</f>
        <v/>
      </c>
      <c r="B64" s="66">
        <f>Raw_Data_LI!B64</f>
        <v/>
      </c>
      <c r="C64" s="66">
        <f>Raw_Data_LI!C64</f>
        <v/>
      </c>
      <c r="D64">
        <f>IF(AND(B64&gt;=cfg_li_poa_mid_min,B64&lt;=cfg_li_poa_mid_max),1,0)</f>
        <v/>
      </c>
      <c r="E64">
        <f>IF(AND(B64&gt;=cfg_li_poa_low_min,B64&lt;=cfg_li_poa_low_max,C64&gt;=cfg_li_low_elev_min),1,0)</f>
        <v/>
      </c>
      <c r="F64" s="67">
        <f>IF(Raw_Data_LI!D64="","",Raw_Data_LI!D64/B64)</f>
        <v/>
      </c>
      <c r="G64" s="67">
        <f>IF(Raw_Data_LI!E64="","",Raw_Data_LI!E64/B64)</f>
        <v/>
      </c>
      <c r="H64" s="67">
        <f>IF(Raw_Data_LI!F64="","",Raw_Data_LI!F64/B64)</f>
        <v/>
      </c>
      <c r="I64" s="67">
        <f>IF(Raw_Data_LI!G64="","",Raw_Data_LI!G64/B64)</f>
        <v/>
      </c>
      <c r="J64" s="67">
        <f>IF(Raw_Data_LI!H64="","",Raw_Data_LI!H64/B64)</f>
        <v/>
      </c>
      <c r="K64" s="67">
        <f>IF(Raw_Data_LI!I64="","",Raw_Data_LI!I64/B64)</f>
        <v/>
      </c>
      <c r="L64" s="67">
        <f>IF(AND(D64=1,ISNUMBER(F64),F64&gt;0),F64,"")</f>
        <v/>
      </c>
      <c r="M64" s="67">
        <f>IF(AND(D64=1,ISNUMBER(G64),G64&gt;0),G64,"")</f>
        <v/>
      </c>
      <c r="N64" s="67">
        <f>IF(AND(D64=1,ISNUMBER(H64),H64&gt;0),H64,"")</f>
        <v/>
      </c>
      <c r="O64" s="67">
        <f>IF(AND(D64=1,ISNUMBER(I64),I64&gt;0),I64,"")</f>
        <v/>
      </c>
      <c r="P64" s="67">
        <f>IF(AND(D64=1,ISNUMBER(J64),J64&gt;0),J64,"")</f>
        <v/>
      </c>
      <c r="Q64" s="67">
        <f>IF(AND(D64=1,ISNUMBER(K64),K64&gt;0),K64,"")</f>
        <v/>
      </c>
      <c r="R64" s="68">
        <f>IF(AND(ISNUMBER(F64),L$4&gt;=cfg_li_min_mid_samples),F64/L$5,"")</f>
        <v/>
      </c>
      <c r="S64" s="68">
        <f>IF(AND(ISNUMBER(G64),M$4&gt;=cfg_li_min_mid_samples),G64/M$5,"")</f>
        <v/>
      </c>
      <c r="T64" s="68">
        <f>IF(AND(ISNUMBER(H64),N$4&gt;=cfg_li_min_mid_samples),H64/N$5,"")</f>
        <v/>
      </c>
      <c r="U64" s="68">
        <f>IF(AND(ISNUMBER(I64),O$4&gt;=cfg_li_min_mid_samples),I64/O$5,"")</f>
        <v/>
      </c>
      <c r="V64" s="68">
        <f>IF(AND(ISNUMBER(J64),P$4&gt;=cfg_li_min_mid_samples),J64/P$5,"")</f>
        <v/>
      </c>
      <c r="W64" s="68">
        <f>IF(AND(ISNUMBER(K64),Q$4&gt;=cfg_li_min_mid_samples),K64/Q$5,"")</f>
        <v/>
      </c>
      <c r="X64">
        <f>COUNT(R64:W64)</f>
        <v/>
      </c>
      <c r="Y64" s="68">
        <f>IF(X64&gt;=cfg_li_min_peers,MEDIAN(R64:W64),"")</f>
        <v/>
      </c>
      <c r="Z64" s="68">
        <f>IF(AND(ISNUMBER(R64),ISNUMBER(Y64)),R64/Y64,"")</f>
        <v/>
      </c>
      <c r="AA64" s="68">
        <f>IF(AND(ISNUMBER(S64),ISNUMBER(Y64)),S64/Y64,"")</f>
        <v/>
      </c>
      <c r="AB64" s="68">
        <f>IF(AND(ISNUMBER(T64),ISNUMBER(Y64)),T64/Y64,"")</f>
        <v/>
      </c>
      <c r="AC64" s="68">
        <f>IF(AND(ISNUMBER(U64),ISNUMBER(Y64)),U64/Y64,"")</f>
        <v/>
      </c>
      <c r="AD64" s="68">
        <f>IF(AND(ISNUMBER(V64),ISNUMBER(Y64)),V64/Y64,"")</f>
        <v/>
      </c>
      <c r="AE64" s="68">
        <f>IF(AND(ISNUMBER(W64),ISNUMBER(Y64)),W64/Y64,"")</f>
        <v/>
      </c>
      <c r="AF64" s="68">
        <f>IF(AND(E64=1,ISNUMBER(Z64)),Z64,"")</f>
        <v/>
      </c>
      <c r="AG64" s="68">
        <f>IF(AND(E64=1,ISNUMBER(AA64)),AA64,"")</f>
        <v/>
      </c>
      <c r="AH64" s="68">
        <f>IF(AND(E64=1,ISNUMBER(AB64)),AB64,"")</f>
        <v/>
      </c>
      <c r="AI64" s="68">
        <f>IF(AND(E64=1,ISNUMBER(AC64)),AC64,"")</f>
        <v/>
      </c>
      <c r="AJ64" s="68">
        <f>IF(AND(E64=1,ISNUMBER(AD64)),AD64,"")</f>
        <v/>
      </c>
      <c r="AK64" s="68">
        <f>IF(AND(E64=1,ISNUMBER(AE64)),AE64,"")</f>
        <v/>
      </c>
    </row>
    <row r="65">
      <c r="A65" s="65">
        <f>Raw_Data_LI!A65</f>
        <v/>
      </c>
      <c r="B65" s="66">
        <f>Raw_Data_LI!B65</f>
        <v/>
      </c>
      <c r="C65" s="66">
        <f>Raw_Data_LI!C65</f>
        <v/>
      </c>
      <c r="D65">
        <f>IF(AND(B65&gt;=cfg_li_poa_mid_min,B65&lt;=cfg_li_poa_mid_max),1,0)</f>
        <v/>
      </c>
      <c r="E65">
        <f>IF(AND(B65&gt;=cfg_li_poa_low_min,B65&lt;=cfg_li_poa_low_max,C65&gt;=cfg_li_low_elev_min),1,0)</f>
        <v/>
      </c>
      <c r="F65" s="67">
        <f>IF(Raw_Data_LI!D65="","",Raw_Data_LI!D65/B65)</f>
        <v/>
      </c>
      <c r="G65" s="67">
        <f>IF(Raw_Data_LI!E65="","",Raw_Data_LI!E65/B65)</f>
        <v/>
      </c>
      <c r="H65" s="67">
        <f>IF(Raw_Data_LI!F65="","",Raw_Data_LI!F65/B65)</f>
        <v/>
      </c>
      <c r="I65" s="67">
        <f>IF(Raw_Data_LI!G65="","",Raw_Data_LI!G65/B65)</f>
        <v/>
      </c>
      <c r="J65" s="67">
        <f>IF(Raw_Data_LI!H65="","",Raw_Data_LI!H65/B65)</f>
        <v/>
      </c>
      <c r="K65" s="67">
        <f>IF(Raw_Data_LI!I65="","",Raw_Data_LI!I65/B65)</f>
        <v/>
      </c>
      <c r="L65" s="67">
        <f>IF(AND(D65=1,ISNUMBER(F65),F65&gt;0),F65,"")</f>
        <v/>
      </c>
      <c r="M65" s="67">
        <f>IF(AND(D65=1,ISNUMBER(G65),G65&gt;0),G65,"")</f>
        <v/>
      </c>
      <c r="N65" s="67">
        <f>IF(AND(D65=1,ISNUMBER(H65),H65&gt;0),H65,"")</f>
        <v/>
      </c>
      <c r="O65" s="67">
        <f>IF(AND(D65=1,ISNUMBER(I65),I65&gt;0),I65,"")</f>
        <v/>
      </c>
      <c r="P65" s="67">
        <f>IF(AND(D65=1,ISNUMBER(J65),J65&gt;0),J65,"")</f>
        <v/>
      </c>
      <c r="Q65" s="67">
        <f>IF(AND(D65=1,ISNUMBER(K65),K65&gt;0),K65,"")</f>
        <v/>
      </c>
      <c r="R65" s="68">
        <f>IF(AND(ISNUMBER(F65),L$4&gt;=cfg_li_min_mid_samples),F65/L$5,"")</f>
        <v/>
      </c>
      <c r="S65" s="68">
        <f>IF(AND(ISNUMBER(G65),M$4&gt;=cfg_li_min_mid_samples),G65/M$5,"")</f>
        <v/>
      </c>
      <c r="T65" s="68">
        <f>IF(AND(ISNUMBER(H65),N$4&gt;=cfg_li_min_mid_samples),H65/N$5,"")</f>
        <v/>
      </c>
      <c r="U65" s="68">
        <f>IF(AND(ISNUMBER(I65),O$4&gt;=cfg_li_min_mid_samples),I65/O$5,"")</f>
        <v/>
      </c>
      <c r="V65" s="68">
        <f>IF(AND(ISNUMBER(J65),P$4&gt;=cfg_li_min_mid_samples),J65/P$5,"")</f>
        <v/>
      </c>
      <c r="W65" s="68">
        <f>IF(AND(ISNUMBER(K65),Q$4&gt;=cfg_li_min_mid_samples),K65/Q$5,"")</f>
        <v/>
      </c>
      <c r="X65">
        <f>COUNT(R65:W65)</f>
        <v/>
      </c>
      <c r="Y65" s="68">
        <f>IF(X65&gt;=cfg_li_min_peers,MEDIAN(R65:W65),"")</f>
        <v/>
      </c>
      <c r="Z65" s="68">
        <f>IF(AND(ISNUMBER(R65),ISNUMBER(Y65)),R65/Y65,"")</f>
        <v/>
      </c>
      <c r="AA65" s="68">
        <f>IF(AND(ISNUMBER(S65),ISNUMBER(Y65)),S65/Y65,"")</f>
        <v/>
      </c>
      <c r="AB65" s="68">
        <f>IF(AND(ISNUMBER(T65),ISNUMBER(Y65)),T65/Y65,"")</f>
        <v/>
      </c>
      <c r="AC65" s="68">
        <f>IF(AND(ISNUMBER(U65),ISNUMBER(Y65)),U65/Y65,"")</f>
        <v/>
      </c>
      <c r="AD65" s="68">
        <f>IF(AND(ISNUMBER(V65),ISNUMBER(Y65)),V65/Y65,"")</f>
        <v/>
      </c>
      <c r="AE65" s="68">
        <f>IF(AND(ISNUMBER(W65),ISNUMBER(Y65)),W65/Y65,"")</f>
        <v/>
      </c>
      <c r="AF65" s="68">
        <f>IF(AND(E65=1,ISNUMBER(Z65)),Z65,"")</f>
        <v/>
      </c>
      <c r="AG65" s="68">
        <f>IF(AND(E65=1,ISNUMBER(AA65)),AA65,"")</f>
        <v/>
      </c>
      <c r="AH65" s="68">
        <f>IF(AND(E65=1,ISNUMBER(AB65)),AB65,"")</f>
        <v/>
      </c>
      <c r="AI65" s="68">
        <f>IF(AND(E65=1,ISNUMBER(AC65)),AC65,"")</f>
        <v/>
      </c>
      <c r="AJ65" s="68">
        <f>IF(AND(E65=1,ISNUMBER(AD65)),AD65,"")</f>
        <v/>
      </c>
      <c r="AK65" s="68">
        <f>IF(AND(E65=1,ISNUMBER(AE65)),AE65,"")</f>
        <v/>
      </c>
    </row>
    <row r="66">
      <c r="A66" s="65">
        <f>Raw_Data_LI!A66</f>
        <v/>
      </c>
      <c r="B66" s="66">
        <f>Raw_Data_LI!B66</f>
        <v/>
      </c>
      <c r="C66" s="66">
        <f>Raw_Data_LI!C66</f>
        <v/>
      </c>
      <c r="D66">
        <f>IF(AND(B66&gt;=cfg_li_poa_mid_min,B66&lt;=cfg_li_poa_mid_max),1,0)</f>
        <v/>
      </c>
      <c r="E66">
        <f>IF(AND(B66&gt;=cfg_li_poa_low_min,B66&lt;=cfg_li_poa_low_max,C66&gt;=cfg_li_low_elev_min),1,0)</f>
        <v/>
      </c>
      <c r="F66" s="67">
        <f>IF(Raw_Data_LI!D66="","",Raw_Data_LI!D66/B66)</f>
        <v/>
      </c>
      <c r="G66" s="67">
        <f>IF(Raw_Data_LI!E66="","",Raw_Data_LI!E66/B66)</f>
        <v/>
      </c>
      <c r="H66" s="67">
        <f>IF(Raw_Data_LI!F66="","",Raw_Data_LI!F66/B66)</f>
        <v/>
      </c>
      <c r="I66" s="67">
        <f>IF(Raw_Data_LI!G66="","",Raw_Data_LI!G66/B66)</f>
        <v/>
      </c>
      <c r="J66" s="67">
        <f>IF(Raw_Data_LI!H66="","",Raw_Data_LI!H66/B66)</f>
        <v/>
      </c>
      <c r="K66" s="67">
        <f>IF(Raw_Data_LI!I66="","",Raw_Data_LI!I66/B66)</f>
        <v/>
      </c>
      <c r="L66" s="67">
        <f>IF(AND(D66=1,ISNUMBER(F66),F66&gt;0),F66,"")</f>
        <v/>
      </c>
      <c r="M66" s="67">
        <f>IF(AND(D66=1,ISNUMBER(G66),G66&gt;0),G66,"")</f>
        <v/>
      </c>
      <c r="N66" s="67">
        <f>IF(AND(D66=1,ISNUMBER(H66),H66&gt;0),H66,"")</f>
        <v/>
      </c>
      <c r="O66" s="67">
        <f>IF(AND(D66=1,ISNUMBER(I66),I66&gt;0),I66,"")</f>
        <v/>
      </c>
      <c r="P66" s="67">
        <f>IF(AND(D66=1,ISNUMBER(J66),J66&gt;0),J66,"")</f>
        <v/>
      </c>
      <c r="Q66" s="67">
        <f>IF(AND(D66=1,ISNUMBER(K66),K66&gt;0),K66,"")</f>
        <v/>
      </c>
      <c r="R66" s="68">
        <f>IF(AND(ISNUMBER(F66),L$4&gt;=cfg_li_min_mid_samples),F66/L$5,"")</f>
        <v/>
      </c>
      <c r="S66" s="68">
        <f>IF(AND(ISNUMBER(G66),M$4&gt;=cfg_li_min_mid_samples),G66/M$5,"")</f>
        <v/>
      </c>
      <c r="T66" s="68">
        <f>IF(AND(ISNUMBER(H66),N$4&gt;=cfg_li_min_mid_samples),H66/N$5,"")</f>
        <v/>
      </c>
      <c r="U66" s="68">
        <f>IF(AND(ISNUMBER(I66),O$4&gt;=cfg_li_min_mid_samples),I66/O$5,"")</f>
        <v/>
      </c>
      <c r="V66" s="68">
        <f>IF(AND(ISNUMBER(J66),P$4&gt;=cfg_li_min_mid_samples),J66/P$5,"")</f>
        <v/>
      </c>
      <c r="W66" s="68">
        <f>IF(AND(ISNUMBER(K66),Q$4&gt;=cfg_li_min_mid_samples),K66/Q$5,"")</f>
        <v/>
      </c>
      <c r="X66">
        <f>COUNT(R66:W66)</f>
        <v/>
      </c>
      <c r="Y66" s="68">
        <f>IF(X66&gt;=cfg_li_min_peers,MEDIAN(R66:W66),"")</f>
        <v/>
      </c>
      <c r="Z66" s="68">
        <f>IF(AND(ISNUMBER(R66),ISNUMBER(Y66)),R66/Y66,"")</f>
        <v/>
      </c>
      <c r="AA66" s="68">
        <f>IF(AND(ISNUMBER(S66),ISNUMBER(Y66)),S66/Y66,"")</f>
        <v/>
      </c>
      <c r="AB66" s="68">
        <f>IF(AND(ISNUMBER(T66),ISNUMBER(Y66)),T66/Y66,"")</f>
        <v/>
      </c>
      <c r="AC66" s="68">
        <f>IF(AND(ISNUMBER(U66),ISNUMBER(Y66)),U66/Y66,"")</f>
        <v/>
      </c>
      <c r="AD66" s="68">
        <f>IF(AND(ISNUMBER(V66),ISNUMBER(Y66)),V66/Y66,"")</f>
        <v/>
      </c>
      <c r="AE66" s="68">
        <f>IF(AND(ISNUMBER(W66),ISNUMBER(Y66)),W66/Y66,"")</f>
        <v/>
      </c>
      <c r="AF66" s="68">
        <f>IF(AND(E66=1,ISNUMBER(Z66)),Z66,"")</f>
        <v/>
      </c>
      <c r="AG66" s="68">
        <f>IF(AND(E66=1,ISNUMBER(AA66)),AA66,"")</f>
        <v/>
      </c>
      <c r="AH66" s="68">
        <f>IF(AND(E66=1,ISNUMBER(AB66)),AB66,"")</f>
        <v/>
      </c>
      <c r="AI66" s="68">
        <f>IF(AND(E66=1,ISNUMBER(AC66)),AC66,"")</f>
        <v/>
      </c>
      <c r="AJ66" s="68">
        <f>IF(AND(E66=1,ISNUMBER(AD66)),AD66,"")</f>
        <v/>
      </c>
      <c r="AK66" s="68">
        <f>IF(AND(E66=1,ISNUMBER(AE66)),AE66,"")</f>
        <v/>
      </c>
    </row>
    <row r="67">
      <c r="A67" s="65">
        <f>Raw_Data_LI!A67</f>
        <v/>
      </c>
      <c r="B67" s="66">
        <f>Raw_Data_LI!B67</f>
        <v/>
      </c>
      <c r="C67" s="66">
        <f>Raw_Data_LI!C67</f>
        <v/>
      </c>
      <c r="D67">
        <f>IF(AND(B67&gt;=cfg_li_poa_mid_min,B67&lt;=cfg_li_poa_mid_max),1,0)</f>
        <v/>
      </c>
      <c r="E67">
        <f>IF(AND(B67&gt;=cfg_li_poa_low_min,B67&lt;=cfg_li_poa_low_max,C67&gt;=cfg_li_low_elev_min),1,0)</f>
        <v/>
      </c>
      <c r="F67" s="67">
        <f>IF(Raw_Data_LI!D67="","",Raw_Data_LI!D67/B67)</f>
        <v/>
      </c>
      <c r="G67" s="67">
        <f>IF(Raw_Data_LI!E67="","",Raw_Data_LI!E67/B67)</f>
        <v/>
      </c>
      <c r="H67" s="67">
        <f>IF(Raw_Data_LI!F67="","",Raw_Data_LI!F67/B67)</f>
        <v/>
      </c>
      <c r="I67" s="67">
        <f>IF(Raw_Data_LI!G67="","",Raw_Data_LI!G67/B67)</f>
        <v/>
      </c>
      <c r="J67" s="67">
        <f>IF(Raw_Data_LI!H67="","",Raw_Data_LI!H67/B67)</f>
        <v/>
      </c>
      <c r="K67" s="67">
        <f>IF(Raw_Data_LI!I67="","",Raw_Data_LI!I67/B67)</f>
        <v/>
      </c>
      <c r="L67" s="67">
        <f>IF(AND(D67=1,ISNUMBER(F67),F67&gt;0),F67,"")</f>
        <v/>
      </c>
      <c r="M67" s="67">
        <f>IF(AND(D67=1,ISNUMBER(G67),G67&gt;0),G67,"")</f>
        <v/>
      </c>
      <c r="N67" s="67">
        <f>IF(AND(D67=1,ISNUMBER(H67),H67&gt;0),H67,"")</f>
        <v/>
      </c>
      <c r="O67" s="67">
        <f>IF(AND(D67=1,ISNUMBER(I67),I67&gt;0),I67,"")</f>
        <v/>
      </c>
      <c r="P67" s="67">
        <f>IF(AND(D67=1,ISNUMBER(J67),J67&gt;0),J67,"")</f>
        <v/>
      </c>
      <c r="Q67" s="67">
        <f>IF(AND(D67=1,ISNUMBER(K67),K67&gt;0),K67,"")</f>
        <v/>
      </c>
      <c r="R67" s="68">
        <f>IF(AND(ISNUMBER(F67),L$4&gt;=cfg_li_min_mid_samples),F67/L$5,"")</f>
        <v/>
      </c>
      <c r="S67" s="68">
        <f>IF(AND(ISNUMBER(G67),M$4&gt;=cfg_li_min_mid_samples),G67/M$5,"")</f>
        <v/>
      </c>
      <c r="T67" s="68">
        <f>IF(AND(ISNUMBER(H67),N$4&gt;=cfg_li_min_mid_samples),H67/N$5,"")</f>
        <v/>
      </c>
      <c r="U67" s="68">
        <f>IF(AND(ISNUMBER(I67),O$4&gt;=cfg_li_min_mid_samples),I67/O$5,"")</f>
        <v/>
      </c>
      <c r="V67" s="68">
        <f>IF(AND(ISNUMBER(J67),P$4&gt;=cfg_li_min_mid_samples),J67/P$5,"")</f>
        <v/>
      </c>
      <c r="W67" s="68">
        <f>IF(AND(ISNUMBER(K67),Q$4&gt;=cfg_li_min_mid_samples),K67/Q$5,"")</f>
        <v/>
      </c>
      <c r="X67">
        <f>COUNT(R67:W67)</f>
        <v/>
      </c>
      <c r="Y67" s="68">
        <f>IF(X67&gt;=cfg_li_min_peers,MEDIAN(R67:W67),"")</f>
        <v/>
      </c>
      <c r="Z67" s="68">
        <f>IF(AND(ISNUMBER(R67),ISNUMBER(Y67)),R67/Y67,"")</f>
        <v/>
      </c>
      <c r="AA67" s="68">
        <f>IF(AND(ISNUMBER(S67),ISNUMBER(Y67)),S67/Y67,"")</f>
        <v/>
      </c>
      <c r="AB67" s="68">
        <f>IF(AND(ISNUMBER(T67),ISNUMBER(Y67)),T67/Y67,"")</f>
        <v/>
      </c>
      <c r="AC67" s="68">
        <f>IF(AND(ISNUMBER(U67),ISNUMBER(Y67)),U67/Y67,"")</f>
        <v/>
      </c>
      <c r="AD67" s="68">
        <f>IF(AND(ISNUMBER(V67),ISNUMBER(Y67)),V67/Y67,"")</f>
        <v/>
      </c>
      <c r="AE67" s="68">
        <f>IF(AND(ISNUMBER(W67),ISNUMBER(Y67)),W67/Y67,"")</f>
        <v/>
      </c>
      <c r="AF67" s="68">
        <f>IF(AND(E67=1,ISNUMBER(Z67)),Z67,"")</f>
        <v/>
      </c>
      <c r="AG67" s="68">
        <f>IF(AND(E67=1,ISNUMBER(AA67)),AA67,"")</f>
        <v/>
      </c>
      <c r="AH67" s="68">
        <f>IF(AND(E67=1,ISNUMBER(AB67)),AB67,"")</f>
        <v/>
      </c>
      <c r="AI67" s="68">
        <f>IF(AND(E67=1,ISNUMBER(AC67)),AC67,"")</f>
        <v/>
      </c>
      <c r="AJ67" s="68">
        <f>IF(AND(E67=1,ISNUMBER(AD67)),AD67,"")</f>
        <v/>
      </c>
      <c r="AK67" s="68">
        <f>IF(AND(E67=1,ISNUMBER(AE67)),AE67,"")</f>
        <v/>
      </c>
    </row>
    <row r="68">
      <c r="A68" s="65">
        <f>Raw_Data_LI!A68</f>
        <v/>
      </c>
      <c r="B68" s="66">
        <f>Raw_Data_LI!B68</f>
        <v/>
      </c>
      <c r="C68" s="66">
        <f>Raw_Data_LI!C68</f>
        <v/>
      </c>
      <c r="D68">
        <f>IF(AND(B68&gt;=cfg_li_poa_mid_min,B68&lt;=cfg_li_poa_mid_max),1,0)</f>
        <v/>
      </c>
      <c r="E68">
        <f>IF(AND(B68&gt;=cfg_li_poa_low_min,B68&lt;=cfg_li_poa_low_max,C68&gt;=cfg_li_low_elev_min),1,0)</f>
        <v/>
      </c>
      <c r="F68" s="67">
        <f>IF(Raw_Data_LI!D68="","",Raw_Data_LI!D68/B68)</f>
        <v/>
      </c>
      <c r="G68" s="67">
        <f>IF(Raw_Data_LI!E68="","",Raw_Data_LI!E68/B68)</f>
        <v/>
      </c>
      <c r="H68" s="67">
        <f>IF(Raw_Data_LI!F68="","",Raw_Data_LI!F68/B68)</f>
        <v/>
      </c>
      <c r="I68" s="67">
        <f>IF(Raw_Data_LI!G68="","",Raw_Data_LI!G68/B68)</f>
        <v/>
      </c>
      <c r="J68" s="67">
        <f>IF(Raw_Data_LI!H68="","",Raw_Data_LI!H68/B68)</f>
        <v/>
      </c>
      <c r="K68" s="67">
        <f>IF(Raw_Data_LI!I68="","",Raw_Data_LI!I68/B68)</f>
        <v/>
      </c>
      <c r="L68" s="67">
        <f>IF(AND(D68=1,ISNUMBER(F68),F68&gt;0),F68,"")</f>
        <v/>
      </c>
      <c r="M68" s="67">
        <f>IF(AND(D68=1,ISNUMBER(G68),G68&gt;0),G68,"")</f>
        <v/>
      </c>
      <c r="N68" s="67">
        <f>IF(AND(D68=1,ISNUMBER(H68),H68&gt;0),H68,"")</f>
        <v/>
      </c>
      <c r="O68" s="67">
        <f>IF(AND(D68=1,ISNUMBER(I68),I68&gt;0),I68,"")</f>
        <v/>
      </c>
      <c r="P68" s="67">
        <f>IF(AND(D68=1,ISNUMBER(J68),J68&gt;0),J68,"")</f>
        <v/>
      </c>
      <c r="Q68" s="67">
        <f>IF(AND(D68=1,ISNUMBER(K68),K68&gt;0),K68,"")</f>
        <v/>
      </c>
      <c r="R68" s="68">
        <f>IF(AND(ISNUMBER(F68),L$4&gt;=cfg_li_min_mid_samples),F68/L$5,"")</f>
        <v/>
      </c>
      <c r="S68" s="68">
        <f>IF(AND(ISNUMBER(G68),M$4&gt;=cfg_li_min_mid_samples),G68/M$5,"")</f>
        <v/>
      </c>
      <c r="T68" s="68">
        <f>IF(AND(ISNUMBER(H68),N$4&gt;=cfg_li_min_mid_samples),H68/N$5,"")</f>
        <v/>
      </c>
      <c r="U68" s="68">
        <f>IF(AND(ISNUMBER(I68),O$4&gt;=cfg_li_min_mid_samples),I68/O$5,"")</f>
        <v/>
      </c>
      <c r="V68" s="68">
        <f>IF(AND(ISNUMBER(J68),P$4&gt;=cfg_li_min_mid_samples),J68/P$5,"")</f>
        <v/>
      </c>
      <c r="W68" s="68">
        <f>IF(AND(ISNUMBER(K68),Q$4&gt;=cfg_li_min_mid_samples),K68/Q$5,"")</f>
        <v/>
      </c>
      <c r="X68">
        <f>COUNT(R68:W68)</f>
        <v/>
      </c>
      <c r="Y68" s="68">
        <f>IF(X68&gt;=cfg_li_min_peers,MEDIAN(R68:W68),"")</f>
        <v/>
      </c>
      <c r="Z68" s="68">
        <f>IF(AND(ISNUMBER(R68),ISNUMBER(Y68)),R68/Y68,"")</f>
        <v/>
      </c>
      <c r="AA68" s="68">
        <f>IF(AND(ISNUMBER(S68),ISNUMBER(Y68)),S68/Y68,"")</f>
        <v/>
      </c>
      <c r="AB68" s="68">
        <f>IF(AND(ISNUMBER(T68),ISNUMBER(Y68)),T68/Y68,"")</f>
        <v/>
      </c>
      <c r="AC68" s="68">
        <f>IF(AND(ISNUMBER(U68),ISNUMBER(Y68)),U68/Y68,"")</f>
        <v/>
      </c>
      <c r="AD68" s="68">
        <f>IF(AND(ISNUMBER(V68),ISNUMBER(Y68)),V68/Y68,"")</f>
        <v/>
      </c>
      <c r="AE68" s="68">
        <f>IF(AND(ISNUMBER(W68),ISNUMBER(Y68)),W68/Y68,"")</f>
        <v/>
      </c>
      <c r="AF68" s="68">
        <f>IF(AND(E68=1,ISNUMBER(Z68)),Z68,"")</f>
        <v/>
      </c>
      <c r="AG68" s="68">
        <f>IF(AND(E68=1,ISNUMBER(AA68)),AA68,"")</f>
        <v/>
      </c>
      <c r="AH68" s="68">
        <f>IF(AND(E68=1,ISNUMBER(AB68)),AB68,"")</f>
        <v/>
      </c>
      <c r="AI68" s="68">
        <f>IF(AND(E68=1,ISNUMBER(AC68)),AC68,"")</f>
        <v/>
      </c>
      <c r="AJ68" s="68">
        <f>IF(AND(E68=1,ISNUMBER(AD68)),AD68,"")</f>
        <v/>
      </c>
      <c r="AK68" s="68">
        <f>IF(AND(E68=1,ISNUMBER(AE68)),AE68,"")</f>
        <v/>
      </c>
    </row>
    <row r="69">
      <c r="A69" s="65">
        <f>Raw_Data_LI!A69</f>
        <v/>
      </c>
      <c r="B69" s="66">
        <f>Raw_Data_LI!B69</f>
        <v/>
      </c>
      <c r="C69" s="66">
        <f>Raw_Data_LI!C69</f>
        <v/>
      </c>
      <c r="D69">
        <f>IF(AND(B69&gt;=cfg_li_poa_mid_min,B69&lt;=cfg_li_poa_mid_max),1,0)</f>
        <v/>
      </c>
      <c r="E69">
        <f>IF(AND(B69&gt;=cfg_li_poa_low_min,B69&lt;=cfg_li_poa_low_max,C69&gt;=cfg_li_low_elev_min),1,0)</f>
        <v/>
      </c>
      <c r="F69" s="67">
        <f>IF(Raw_Data_LI!D69="","",Raw_Data_LI!D69/B69)</f>
        <v/>
      </c>
      <c r="G69" s="67">
        <f>IF(Raw_Data_LI!E69="","",Raw_Data_LI!E69/B69)</f>
        <v/>
      </c>
      <c r="H69" s="67">
        <f>IF(Raw_Data_LI!F69="","",Raw_Data_LI!F69/B69)</f>
        <v/>
      </c>
      <c r="I69" s="67">
        <f>IF(Raw_Data_LI!G69="","",Raw_Data_LI!G69/B69)</f>
        <v/>
      </c>
      <c r="J69" s="67">
        <f>IF(Raw_Data_LI!H69="","",Raw_Data_LI!H69/B69)</f>
        <v/>
      </c>
      <c r="K69" s="67">
        <f>IF(Raw_Data_LI!I69="","",Raw_Data_LI!I69/B69)</f>
        <v/>
      </c>
      <c r="L69" s="67">
        <f>IF(AND(D69=1,ISNUMBER(F69),F69&gt;0),F69,"")</f>
        <v/>
      </c>
      <c r="M69" s="67">
        <f>IF(AND(D69=1,ISNUMBER(G69),G69&gt;0),G69,"")</f>
        <v/>
      </c>
      <c r="N69" s="67">
        <f>IF(AND(D69=1,ISNUMBER(H69),H69&gt;0),H69,"")</f>
        <v/>
      </c>
      <c r="O69" s="67">
        <f>IF(AND(D69=1,ISNUMBER(I69),I69&gt;0),I69,"")</f>
        <v/>
      </c>
      <c r="P69" s="67">
        <f>IF(AND(D69=1,ISNUMBER(J69),J69&gt;0),J69,"")</f>
        <v/>
      </c>
      <c r="Q69" s="67">
        <f>IF(AND(D69=1,ISNUMBER(K69),K69&gt;0),K69,"")</f>
        <v/>
      </c>
      <c r="R69" s="68">
        <f>IF(AND(ISNUMBER(F69),L$4&gt;=cfg_li_min_mid_samples),F69/L$5,"")</f>
        <v/>
      </c>
      <c r="S69" s="68">
        <f>IF(AND(ISNUMBER(G69),M$4&gt;=cfg_li_min_mid_samples),G69/M$5,"")</f>
        <v/>
      </c>
      <c r="T69" s="68">
        <f>IF(AND(ISNUMBER(H69),N$4&gt;=cfg_li_min_mid_samples),H69/N$5,"")</f>
        <v/>
      </c>
      <c r="U69" s="68">
        <f>IF(AND(ISNUMBER(I69),O$4&gt;=cfg_li_min_mid_samples),I69/O$5,"")</f>
        <v/>
      </c>
      <c r="V69" s="68">
        <f>IF(AND(ISNUMBER(J69),P$4&gt;=cfg_li_min_mid_samples),J69/P$5,"")</f>
        <v/>
      </c>
      <c r="W69" s="68">
        <f>IF(AND(ISNUMBER(K69),Q$4&gt;=cfg_li_min_mid_samples),K69/Q$5,"")</f>
        <v/>
      </c>
      <c r="X69">
        <f>COUNT(R69:W69)</f>
        <v/>
      </c>
      <c r="Y69" s="68">
        <f>IF(X69&gt;=cfg_li_min_peers,MEDIAN(R69:W69),"")</f>
        <v/>
      </c>
      <c r="Z69" s="68">
        <f>IF(AND(ISNUMBER(R69),ISNUMBER(Y69)),R69/Y69,"")</f>
        <v/>
      </c>
      <c r="AA69" s="68">
        <f>IF(AND(ISNUMBER(S69),ISNUMBER(Y69)),S69/Y69,"")</f>
        <v/>
      </c>
      <c r="AB69" s="68">
        <f>IF(AND(ISNUMBER(T69),ISNUMBER(Y69)),T69/Y69,"")</f>
        <v/>
      </c>
      <c r="AC69" s="68">
        <f>IF(AND(ISNUMBER(U69),ISNUMBER(Y69)),U69/Y69,"")</f>
        <v/>
      </c>
      <c r="AD69" s="68">
        <f>IF(AND(ISNUMBER(V69),ISNUMBER(Y69)),V69/Y69,"")</f>
        <v/>
      </c>
      <c r="AE69" s="68">
        <f>IF(AND(ISNUMBER(W69),ISNUMBER(Y69)),W69/Y69,"")</f>
        <v/>
      </c>
      <c r="AF69" s="68">
        <f>IF(AND(E69=1,ISNUMBER(Z69)),Z69,"")</f>
        <v/>
      </c>
      <c r="AG69" s="68">
        <f>IF(AND(E69=1,ISNUMBER(AA69)),AA69,"")</f>
        <v/>
      </c>
      <c r="AH69" s="68">
        <f>IF(AND(E69=1,ISNUMBER(AB69)),AB69,"")</f>
        <v/>
      </c>
      <c r="AI69" s="68">
        <f>IF(AND(E69=1,ISNUMBER(AC69)),AC69,"")</f>
        <v/>
      </c>
      <c r="AJ69" s="68">
        <f>IF(AND(E69=1,ISNUMBER(AD69)),AD69,"")</f>
        <v/>
      </c>
      <c r="AK69" s="68">
        <f>IF(AND(E69=1,ISNUMBER(AE69)),AE69,"")</f>
        <v/>
      </c>
    </row>
    <row r="70">
      <c r="A70" s="65">
        <f>Raw_Data_LI!A70</f>
        <v/>
      </c>
      <c r="B70" s="66">
        <f>Raw_Data_LI!B70</f>
        <v/>
      </c>
      <c r="C70" s="66">
        <f>Raw_Data_LI!C70</f>
        <v/>
      </c>
      <c r="D70">
        <f>IF(AND(B70&gt;=cfg_li_poa_mid_min,B70&lt;=cfg_li_poa_mid_max),1,0)</f>
        <v/>
      </c>
      <c r="E70">
        <f>IF(AND(B70&gt;=cfg_li_poa_low_min,B70&lt;=cfg_li_poa_low_max,C70&gt;=cfg_li_low_elev_min),1,0)</f>
        <v/>
      </c>
      <c r="F70" s="67">
        <f>IF(Raw_Data_LI!D70="","",Raw_Data_LI!D70/B70)</f>
        <v/>
      </c>
      <c r="G70" s="67">
        <f>IF(Raw_Data_LI!E70="","",Raw_Data_LI!E70/B70)</f>
        <v/>
      </c>
      <c r="H70" s="67">
        <f>IF(Raw_Data_LI!F70="","",Raw_Data_LI!F70/B70)</f>
        <v/>
      </c>
      <c r="I70" s="67">
        <f>IF(Raw_Data_LI!G70="","",Raw_Data_LI!G70/B70)</f>
        <v/>
      </c>
      <c r="J70" s="67">
        <f>IF(Raw_Data_LI!H70="","",Raw_Data_LI!H70/B70)</f>
        <v/>
      </c>
      <c r="K70" s="67">
        <f>IF(Raw_Data_LI!I70="","",Raw_Data_LI!I70/B70)</f>
        <v/>
      </c>
      <c r="L70" s="67">
        <f>IF(AND(D70=1,ISNUMBER(F70),F70&gt;0),F70,"")</f>
        <v/>
      </c>
      <c r="M70" s="67">
        <f>IF(AND(D70=1,ISNUMBER(G70),G70&gt;0),G70,"")</f>
        <v/>
      </c>
      <c r="N70" s="67">
        <f>IF(AND(D70=1,ISNUMBER(H70),H70&gt;0),H70,"")</f>
        <v/>
      </c>
      <c r="O70" s="67">
        <f>IF(AND(D70=1,ISNUMBER(I70),I70&gt;0),I70,"")</f>
        <v/>
      </c>
      <c r="P70" s="67">
        <f>IF(AND(D70=1,ISNUMBER(J70),J70&gt;0),J70,"")</f>
        <v/>
      </c>
      <c r="Q70" s="67">
        <f>IF(AND(D70=1,ISNUMBER(K70),K70&gt;0),K70,"")</f>
        <v/>
      </c>
      <c r="R70" s="68">
        <f>IF(AND(ISNUMBER(F70),L$4&gt;=cfg_li_min_mid_samples),F70/L$5,"")</f>
        <v/>
      </c>
      <c r="S70" s="68">
        <f>IF(AND(ISNUMBER(G70),M$4&gt;=cfg_li_min_mid_samples),G70/M$5,"")</f>
        <v/>
      </c>
      <c r="T70" s="68">
        <f>IF(AND(ISNUMBER(H70),N$4&gt;=cfg_li_min_mid_samples),H70/N$5,"")</f>
        <v/>
      </c>
      <c r="U70" s="68">
        <f>IF(AND(ISNUMBER(I70),O$4&gt;=cfg_li_min_mid_samples),I70/O$5,"")</f>
        <v/>
      </c>
      <c r="V70" s="68">
        <f>IF(AND(ISNUMBER(J70),P$4&gt;=cfg_li_min_mid_samples),J70/P$5,"")</f>
        <v/>
      </c>
      <c r="W70" s="68">
        <f>IF(AND(ISNUMBER(K70),Q$4&gt;=cfg_li_min_mid_samples),K70/Q$5,"")</f>
        <v/>
      </c>
      <c r="X70">
        <f>COUNT(R70:W70)</f>
        <v/>
      </c>
      <c r="Y70" s="68">
        <f>IF(X70&gt;=cfg_li_min_peers,MEDIAN(R70:W70),"")</f>
        <v/>
      </c>
      <c r="Z70" s="68">
        <f>IF(AND(ISNUMBER(R70),ISNUMBER(Y70)),R70/Y70,"")</f>
        <v/>
      </c>
      <c r="AA70" s="68">
        <f>IF(AND(ISNUMBER(S70),ISNUMBER(Y70)),S70/Y70,"")</f>
        <v/>
      </c>
      <c r="AB70" s="68">
        <f>IF(AND(ISNUMBER(T70),ISNUMBER(Y70)),T70/Y70,"")</f>
        <v/>
      </c>
      <c r="AC70" s="68">
        <f>IF(AND(ISNUMBER(U70),ISNUMBER(Y70)),U70/Y70,"")</f>
        <v/>
      </c>
      <c r="AD70" s="68">
        <f>IF(AND(ISNUMBER(V70),ISNUMBER(Y70)),V70/Y70,"")</f>
        <v/>
      </c>
      <c r="AE70" s="68">
        <f>IF(AND(ISNUMBER(W70),ISNUMBER(Y70)),W70/Y70,"")</f>
        <v/>
      </c>
      <c r="AF70" s="68">
        <f>IF(AND(E70=1,ISNUMBER(Z70)),Z70,"")</f>
        <v/>
      </c>
      <c r="AG70" s="68">
        <f>IF(AND(E70=1,ISNUMBER(AA70)),AA70,"")</f>
        <v/>
      </c>
      <c r="AH70" s="68">
        <f>IF(AND(E70=1,ISNUMBER(AB70)),AB70,"")</f>
        <v/>
      </c>
      <c r="AI70" s="68">
        <f>IF(AND(E70=1,ISNUMBER(AC70)),AC70,"")</f>
        <v/>
      </c>
      <c r="AJ70" s="68">
        <f>IF(AND(E70=1,ISNUMBER(AD70)),AD70,"")</f>
        <v/>
      </c>
      <c r="AK70" s="68">
        <f>IF(AND(E70=1,ISNUMBER(AE70)),AE70,"")</f>
        <v/>
      </c>
    </row>
    <row r="71">
      <c r="A71" s="65">
        <f>Raw_Data_LI!A71</f>
        <v/>
      </c>
      <c r="B71" s="66">
        <f>Raw_Data_LI!B71</f>
        <v/>
      </c>
      <c r="C71" s="66">
        <f>Raw_Data_LI!C71</f>
        <v/>
      </c>
      <c r="D71">
        <f>IF(AND(B71&gt;=cfg_li_poa_mid_min,B71&lt;=cfg_li_poa_mid_max),1,0)</f>
        <v/>
      </c>
      <c r="E71">
        <f>IF(AND(B71&gt;=cfg_li_poa_low_min,B71&lt;=cfg_li_poa_low_max,C71&gt;=cfg_li_low_elev_min),1,0)</f>
        <v/>
      </c>
      <c r="F71" s="67">
        <f>IF(Raw_Data_LI!D71="","",Raw_Data_LI!D71/B71)</f>
        <v/>
      </c>
      <c r="G71" s="67">
        <f>IF(Raw_Data_LI!E71="","",Raw_Data_LI!E71/B71)</f>
        <v/>
      </c>
      <c r="H71" s="67">
        <f>IF(Raw_Data_LI!F71="","",Raw_Data_LI!F71/B71)</f>
        <v/>
      </c>
      <c r="I71" s="67">
        <f>IF(Raw_Data_LI!G71="","",Raw_Data_LI!G71/B71)</f>
        <v/>
      </c>
      <c r="J71" s="67">
        <f>IF(Raw_Data_LI!H71="","",Raw_Data_LI!H71/B71)</f>
        <v/>
      </c>
      <c r="K71" s="67">
        <f>IF(Raw_Data_LI!I71="","",Raw_Data_LI!I71/B71)</f>
        <v/>
      </c>
      <c r="L71" s="67">
        <f>IF(AND(D71=1,ISNUMBER(F71),F71&gt;0),F71,"")</f>
        <v/>
      </c>
      <c r="M71" s="67">
        <f>IF(AND(D71=1,ISNUMBER(G71),G71&gt;0),G71,"")</f>
        <v/>
      </c>
      <c r="N71" s="67">
        <f>IF(AND(D71=1,ISNUMBER(H71),H71&gt;0),H71,"")</f>
        <v/>
      </c>
      <c r="O71" s="67">
        <f>IF(AND(D71=1,ISNUMBER(I71),I71&gt;0),I71,"")</f>
        <v/>
      </c>
      <c r="P71" s="67">
        <f>IF(AND(D71=1,ISNUMBER(J71),J71&gt;0),J71,"")</f>
        <v/>
      </c>
      <c r="Q71" s="67">
        <f>IF(AND(D71=1,ISNUMBER(K71),K71&gt;0),K71,"")</f>
        <v/>
      </c>
      <c r="R71" s="68">
        <f>IF(AND(ISNUMBER(F71),L$4&gt;=cfg_li_min_mid_samples),F71/L$5,"")</f>
        <v/>
      </c>
      <c r="S71" s="68">
        <f>IF(AND(ISNUMBER(G71),M$4&gt;=cfg_li_min_mid_samples),G71/M$5,"")</f>
        <v/>
      </c>
      <c r="T71" s="68">
        <f>IF(AND(ISNUMBER(H71),N$4&gt;=cfg_li_min_mid_samples),H71/N$5,"")</f>
        <v/>
      </c>
      <c r="U71" s="68">
        <f>IF(AND(ISNUMBER(I71),O$4&gt;=cfg_li_min_mid_samples),I71/O$5,"")</f>
        <v/>
      </c>
      <c r="V71" s="68">
        <f>IF(AND(ISNUMBER(J71),P$4&gt;=cfg_li_min_mid_samples),J71/P$5,"")</f>
        <v/>
      </c>
      <c r="W71" s="68">
        <f>IF(AND(ISNUMBER(K71),Q$4&gt;=cfg_li_min_mid_samples),K71/Q$5,"")</f>
        <v/>
      </c>
      <c r="X71">
        <f>COUNT(R71:W71)</f>
        <v/>
      </c>
      <c r="Y71" s="68">
        <f>IF(X71&gt;=cfg_li_min_peers,MEDIAN(R71:W71),"")</f>
        <v/>
      </c>
      <c r="Z71" s="68">
        <f>IF(AND(ISNUMBER(R71),ISNUMBER(Y71)),R71/Y71,"")</f>
        <v/>
      </c>
      <c r="AA71" s="68">
        <f>IF(AND(ISNUMBER(S71),ISNUMBER(Y71)),S71/Y71,"")</f>
        <v/>
      </c>
      <c r="AB71" s="68">
        <f>IF(AND(ISNUMBER(T71),ISNUMBER(Y71)),T71/Y71,"")</f>
        <v/>
      </c>
      <c r="AC71" s="68">
        <f>IF(AND(ISNUMBER(U71),ISNUMBER(Y71)),U71/Y71,"")</f>
        <v/>
      </c>
      <c r="AD71" s="68">
        <f>IF(AND(ISNUMBER(V71),ISNUMBER(Y71)),V71/Y71,"")</f>
        <v/>
      </c>
      <c r="AE71" s="68">
        <f>IF(AND(ISNUMBER(W71),ISNUMBER(Y71)),W71/Y71,"")</f>
        <v/>
      </c>
      <c r="AF71" s="68">
        <f>IF(AND(E71=1,ISNUMBER(Z71)),Z71,"")</f>
        <v/>
      </c>
      <c r="AG71" s="68">
        <f>IF(AND(E71=1,ISNUMBER(AA71)),AA71,"")</f>
        <v/>
      </c>
      <c r="AH71" s="68">
        <f>IF(AND(E71=1,ISNUMBER(AB71)),AB71,"")</f>
        <v/>
      </c>
      <c r="AI71" s="68">
        <f>IF(AND(E71=1,ISNUMBER(AC71)),AC71,"")</f>
        <v/>
      </c>
      <c r="AJ71" s="68">
        <f>IF(AND(E71=1,ISNUMBER(AD71)),AD71,"")</f>
        <v/>
      </c>
      <c r="AK71" s="68">
        <f>IF(AND(E71=1,ISNUMBER(AE71)),AE71,"")</f>
        <v/>
      </c>
    </row>
    <row r="72">
      <c r="A72" s="65">
        <f>Raw_Data_LI!A72</f>
        <v/>
      </c>
      <c r="B72" s="66">
        <f>Raw_Data_LI!B72</f>
        <v/>
      </c>
      <c r="C72" s="66">
        <f>Raw_Data_LI!C72</f>
        <v/>
      </c>
      <c r="D72">
        <f>IF(AND(B72&gt;=cfg_li_poa_mid_min,B72&lt;=cfg_li_poa_mid_max),1,0)</f>
        <v/>
      </c>
      <c r="E72">
        <f>IF(AND(B72&gt;=cfg_li_poa_low_min,B72&lt;=cfg_li_poa_low_max,C72&gt;=cfg_li_low_elev_min),1,0)</f>
        <v/>
      </c>
      <c r="F72" s="67">
        <f>IF(Raw_Data_LI!D72="","",Raw_Data_LI!D72/B72)</f>
        <v/>
      </c>
      <c r="G72" s="67">
        <f>IF(Raw_Data_LI!E72="","",Raw_Data_LI!E72/B72)</f>
        <v/>
      </c>
      <c r="H72" s="67">
        <f>IF(Raw_Data_LI!F72="","",Raw_Data_LI!F72/B72)</f>
        <v/>
      </c>
      <c r="I72" s="67">
        <f>IF(Raw_Data_LI!G72="","",Raw_Data_LI!G72/B72)</f>
        <v/>
      </c>
      <c r="J72" s="67">
        <f>IF(Raw_Data_LI!H72="","",Raw_Data_LI!H72/B72)</f>
        <v/>
      </c>
      <c r="K72" s="67">
        <f>IF(Raw_Data_LI!I72="","",Raw_Data_LI!I72/B72)</f>
        <v/>
      </c>
      <c r="L72" s="67">
        <f>IF(AND(D72=1,ISNUMBER(F72),F72&gt;0),F72,"")</f>
        <v/>
      </c>
      <c r="M72" s="67">
        <f>IF(AND(D72=1,ISNUMBER(G72),G72&gt;0),G72,"")</f>
        <v/>
      </c>
      <c r="N72" s="67">
        <f>IF(AND(D72=1,ISNUMBER(H72),H72&gt;0),H72,"")</f>
        <v/>
      </c>
      <c r="O72" s="67">
        <f>IF(AND(D72=1,ISNUMBER(I72),I72&gt;0),I72,"")</f>
        <v/>
      </c>
      <c r="P72" s="67">
        <f>IF(AND(D72=1,ISNUMBER(J72),J72&gt;0),J72,"")</f>
        <v/>
      </c>
      <c r="Q72" s="67">
        <f>IF(AND(D72=1,ISNUMBER(K72),K72&gt;0),K72,"")</f>
        <v/>
      </c>
      <c r="R72" s="68">
        <f>IF(AND(ISNUMBER(F72),L$4&gt;=cfg_li_min_mid_samples),F72/L$5,"")</f>
        <v/>
      </c>
      <c r="S72" s="68">
        <f>IF(AND(ISNUMBER(G72),M$4&gt;=cfg_li_min_mid_samples),G72/M$5,"")</f>
        <v/>
      </c>
      <c r="T72" s="68">
        <f>IF(AND(ISNUMBER(H72),N$4&gt;=cfg_li_min_mid_samples),H72/N$5,"")</f>
        <v/>
      </c>
      <c r="U72" s="68">
        <f>IF(AND(ISNUMBER(I72),O$4&gt;=cfg_li_min_mid_samples),I72/O$5,"")</f>
        <v/>
      </c>
      <c r="V72" s="68">
        <f>IF(AND(ISNUMBER(J72),P$4&gt;=cfg_li_min_mid_samples),J72/P$5,"")</f>
        <v/>
      </c>
      <c r="W72" s="68">
        <f>IF(AND(ISNUMBER(K72),Q$4&gt;=cfg_li_min_mid_samples),K72/Q$5,"")</f>
        <v/>
      </c>
      <c r="X72">
        <f>COUNT(R72:W72)</f>
        <v/>
      </c>
      <c r="Y72" s="68">
        <f>IF(X72&gt;=cfg_li_min_peers,MEDIAN(R72:W72),"")</f>
        <v/>
      </c>
      <c r="Z72" s="68">
        <f>IF(AND(ISNUMBER(R72),ISNUMBER(Y72)),R72/Y72,"")</f>
        <v/>
      </c>
      <c r="AA72" s="68">
        <f>IF(AND(ISNUMBER(S72),ISNUMBER(Y72)),S72/Y72,"")</f>
        <v/>
      </c>
      <c r="AB72" s="68">
        <f>IF(AND(ISNUMBER(T72),ISNUMBER(Y72)),T72/Y72,"")</f>
        <v/>
      </c>
      <c r="AC72" s="68">
        <f>IF(AND(ISNUMBER(U72),ISNUMBER(Y72)),U72/Y72,"")</f>
        <v/>
      </c>
      <c r="AD72" s="68">
        <f>IF(AND(ISNUMBER(V72),ISNUMBER(Y72)),V72/Y72,"")</f>
        <v/>
      </c>
      <c r="AE72" s="68">
        <f>IF(AND(ISNUMBER(W72),ISNUMBER(Y72)),W72/Y72,"")</f>
        <v/>
      </c>
      <c r="AF72" s="68">
        <f>IF(AND(E72=1,ISNUMBER(Z72)),Z72,"")</f>
        <v/>
      </c>
      <c r="AG72" s="68">
        <f>IF(AND(E72=1,ISNUMBER(AA72)),AA72,"")</f>
        <v/>
      </c>
      <c r="AH72" s="68">
        <f>IF(AND(E72=1,ISNUMBER(AB72)),AB72,"")</f>
        <v/>
      </c>
      <c r="AI72" s="68">
        <f>IF(AND(E72=1,ISNUMBER(AC72)),AC72,"")</f>
        <v/>
      </c>
      <c r="AJ72" s="68">
        <f>IF(AND(E72=1,ISNUMBER(AD72)),AD72,"")</f>
        <v/>
      </c>
      <c r="AK72" s="68">
        <f>IF(AND(E72=1,ISNUMBER(AE72)),AE72,"")</f>
        <v/>
      </c>
    </row>
    <row r="73">
      <c r="A73" s="65">
        <f>Raw_Data_LI!A73</f>
        <v/>
      </c>
      <c r="B73" s="66">
        <f>Raw_Data_LI!B73</f>
        <v/>
      </c>
      <c r="C73" s="66">
        <f>Raw_Data_LI!C73</f>
        <v/>
      </c>
      <c r="D73">
        <f>IF(AND(B73&gt;=cfg_li_poa_mid_min,B73&lt;=cfg_li_poa_mid_max),1,0)</f>
        <v/>
      </c>
      <c r="E73">
        <f>IF(AND(B73&gt;=cfg_li_poa_low_min,B73&lt;=cfg_li_poa_low_max,C73&gt;=cfg_li_low_elev_min),1,0)</f>
        <v/>
      </c>
      <c r="F73" s="67">
        <f>IF(Raw_Data_LI!D73="","",Raw_Data_LI!D73/B73)</f>
        <v/>
      </c>
      <c r="G73" s="67">
        <f>IF(Raw_Data_LI!E73="","",Raw_Data_LI!E73/B73)</f>
        <v/>
      </c>
      <c r="H73" s="67">
        <f>IF(Raw_Data_LI!F73="","",Raw_Data_LI!F73/B73)</f>
        <v/>
      </c>
      <c r="I73" s="67">
        <f>IF(Raw_Data_LI!G73="","",Raw_Data_LI!G73/B73)</f>
        <v/>
      </c>
      <c r="J73" s="67">
        <f>IF(Raw_Data_LI!H73="","",Raw_Data_LI!H73/B73)</f>
        <v/>
      </c>
      <c r="K73" s="67">
        <f>IF(Raw_Data_LI!I73="","",Raw_Data_LI!I73/B73)</f>
        <v/>
      </c>
      <c r="L73" s="67">
        <f>IF(AND(D73=1,ISNUMBER(F73),F73&gt;0),F73,"")</f>
        <v/>
      </c>
      <c r="M73" s="67">
        <f>IF(AND(D73=1,ISNUMBER(G73),G73&gt;0),G73,"")</f>
        <v/>
      </c>
      <c r="N73" s="67">
        <f>IF(AND(D73=1,ISNUMBER(H73),H73&gt;0),H73,"")</f>
        <v/>
      </c>
      <c r="O73" s="67">
        <f>IF(AND(D73=1,ISNUMBER(I73),I73&gt;0),I73,"")</f>
        <v/>
      </c>
      <c r="P73" s="67">
        <f>IF(AND(D73=1,ISNUMBER(J73),J73&gt;0),J73,"")</f>
        <v/>
      </c>
      <c r="Q73" s="67">
        <f>IF(AND(D73=1,ISNUMBER(K73),K73&gt;0),K73,"")</f>
        <v/>
      </c>
      <c r="R73" s="68">
        <f>IF(AND(ISNUMBER(F73),L$4&gt;=cfg_li_min_mid_samples),F73/L$5,"")</f>
        <v/>
      </c>
      <c r="S73" s="68">
        <f>IF(AND(ISNUMBER(G73),M$4&gt;=cfg_li_min_mid_samples),G73/M$5,"")</f>
        <v/>
      </c>
      <c r="T73" s="68">
        <f>IF(AND(ISNUMBER(H73),N$4&gt;=cfg_li_min_mid_samples),H73/N$5,"")</f>
        <v/>
      </c>
      <c r="U73" s="68">
        <f>IF(AND(ISNUMBER(I73),O$4&gt;=cfg_li_min_mid_samples),I73/O$5,"")</f>
        <v/>
      </c>
      <c r="V73" s="68">
        <f>IF(AND(ISNUMBER(J73),P$4&gt;=cfg_li_min_mid_samples),J73/P$5,"")</f>
        <v/>
      </c>
      <c r="W73" s="68">
        <f>IF(AND(ISNUMBER(K73),Q$4&gt;=cfg_li_min_mid_samples),K73/Q$5,"")</f>
        <v/>
      </c>
      <c r="X73">
        <f>COUNT(R73:W73)</f>
        <v/>
      </c>
      <c r="Y73" s="68">
        <f>IF(X73&gt;=cfg_li_min_peers,MEDIAN(R73:W73),"")</f>
        <v/>
      </c>
      <c r="Z73" s="68">
        <f>IF(AND(ISNUMBER(R73),ISNUMBER(Y73)),R73/Y73,"")</f>
        <v/>
      </c>
      <c r="AA73" s="68">
        <f>IF(AND(ISNUMBER(S73),ISNUMBER(Y73)),S73/Y73,"")</f>
        <v/>
      </c>
      <c r="AB73" s="68">
        <f>IF(AND(ISNUMBER(T73),ISNUMBER(Y73)),T73/Y73,"")</f>
        <v/>
      </c>
      <c r="AC73" s="68">
        <f>IF(AND(ISNUMBER(U73),ISNUMBER(Y73)),U73/Y73,"")</f>
        <v/>
      </c>
      <c r="AD73" s="68">
        <f>IF(AND(ISNUMBER(V73),ISNUMBER(Y73)),V73/Y73,"")</f>
        <v/>
      </c>
      <c r="AE73" s="68">
        <f>IF(AND(ISNUMBER(W73),ISNUMBER(Y73)),W73/Y73,"")</f>
        <v/>
      </c>
      <c r="AF73" s="68">
        <f>IF(AND(E73=1,ISNUMBER(Z73)),Z73,"")</f>
        <v/>
      </c>
      <c r="AG73" s="68">
        <f>IF(AND(E73=1,ISNUMBER(AA73)),AA73,"")</f>
        <v/>
      </c>
      <c r="AH73" s="68">
        <f>IF(AND(E73=1,ISNUMBER(AB73)),AB73,"")</f>
        <v/>
      </c>
      <c r="AI73" s="68">
        <f>IF(AND(E73=1,ISNUMBER(AC73)),AC73,"")</f>
        <v/>
      </c>
      <c r="AJ73" s="68">
        <f>IF(AND(E73=1,ISNUMBER(AD73)),AD73,"")</f>
        <v/>
      </c>
      <c r="AK73" s="68">
        <f>IF(AND(E73=1,ISNUMBER(AE73)),AE73,"")</f>
        <v/>
      </c>
    </row>
    <row r="74">
      <c r="A74" s="65">
        <f>Raw_Data_LI!A74</f>
        <v/>
      </c>
      <c r="B74" s="66">
        <f>Raw_Data_LI!B74</f>
        <v/>
      </c>
      <c r="C74" s="66">
        <f>Raw_Data_LI!C74</f>
        <v/>
      </c>
      <c r="D74">
        <f>IF(AND(B74&gt;=cfg_li_poa_mid_min,B74&lt;=cfg_li_poa_mid_max),1,0)</f>
        <v/>
      </c>
      <c r="E74">
        <f>IF(AND(B74&gt;=cfg_li_poa_low_min,B74&lt;=cfg_li_poa_low_max,C74&gt;=cfg_li_low_elev_min),1,0)</f>
        <v/>
      </c>
      <c r="F74" s="67">
        <f>IF(Raw_Data_LI!D74="","",Raw_Data_LI!D74/B74)</f>
        <v/>
      </c>
      <c r="G74" s="67">
        <f>IF(Raw_Data_LI!E74="","",Raw_Data_LI!E74/B74)</f>
        <v/>
      </c>
      <c r="H74" s="67">
        <f>IF(Raw_Data_LI!F74="","",Raw_Data_LI!F74/B74)</f>
        <v/>
      </c>
      <c r="I74" s="67">
        <f>IF(Raw_Data_LI!G74="","",Raw_Data_LI!G74/B74)</f>
        <v/>
      </c>
      <c r="J74" s="67">
        <f>IF(Raw_Data_LI!H74="","",Raw_Data_LI!H74/B74)</f>
        <v/>
      </c>
      <c r="K74" s="67">
        <f>IF(Raw_Data_LI!I74="","",Raw_Data_LI!I74/B74)</f>
        <v/>
      </c>
      <c r="L74" s="67">
        <f>IF(AND(D74=1,ISNUMBER(F74),F74&gt;0),F74,"")</f>
        <v/>
      </c>
      <c r="M74" s="67">
        <f>IF(AND(D74=1,ISNUMBER(G74),G74&gt;0),G74,"")</f>
        <v/>
      </c>
      <c r="N74" s="67">
        <f>IF(AND(D74=1,ISNUMBER(H74),H74&gt;0),H74,"")</f>
        <v/>
      </c>
      <c r="O74" s="67">
        <f>IF(AND(D74=1,ISNUMBER(I74),I74&gt;0),I74,"")</f>
        <v/>
      </c>
      <c r="P74" s="67">
        <f>IF(AND(D74=1,ISNUMBER(J74),J74&gt;0),J74,"")</f>
        <v/>
      </c>
      <c r="Q74" s="67">
        <f>IF(AND(D74=1,ISNUMBER(K74),K74&gt;0),K74,"")</f>
        <v/>
      </c>
      <c r="R74" s="68">
        <f>IF(AND(ISNUMBER(F74),L$4&gt;=cfg_li_min_mid_samples),F74/L$5,"")</f>
        <v/>
      </c>
      <c r="S74" s="68">
        <f>IF(AND(ISNUMBER(G74),M$4&gt;=cfg_li_min_mid_samples),G74/M$5,"")</f>
        <v/>
      </c>
      <c r="T74" s="68">
        <f>IF(AND(ISNUMBER(H74),N$4&gt;=cfg_li_min_mid_samples),H74/N$5,"")</f>
        <v/>
      </c>
      <c r="U74" s="68">
        <f>IF(AND(ISNUMBER(I74),O$4&gt;=cfg_li_min_mid_samples),I74/O$5,"")</f>
        <v/>
      </c>
      <c r="V74" s="68">
        <f>IF(AND(ISNUMBER(J74),P$4&gt;=cfg_li_min_mid_samples),J74/P$5,"")</f>
        <v/>
      </c>
      <c r="W74" s="68">
        <f>IF(AND(ISNUMBER(K74),Q$4&gt;=cfg_li_min_mid_samples),K74/Q$5,"")</f>
        <v/>
      </c>
      <c r="X74">
        <f>COUNT(R74:W74)</f>
        <v/>
      </c>
      <c r="Y74" s="68">
        <f>IF(X74&gt;=cfg_li_min_peers,MEDIAN(R74:W74),"")</f>
        <v/>
      </c>
      <c r="Z74" s="68">
        <f>IF(AND(ISNUMBER(R74),ISNUMBER(Y74)),R74/Y74,"")</f>
        <v/>
      </c>
      <c r="AA74" s="68">
        <f>IF(AND(ISNUMBER(S74),ISNUMBER(Y74)),S74/Y74,"")</f>
        <v/>
      </c>
      <c r="AB74" s="68">
        <f>IF(AND(ISNUMBER(T74),ISNUMBER(Y74)),T74/Y74,"")</f>
        <v/>
      </c>
      <c r="AC74" s="68">
        <f>IF(AND(ISNUMBER(U74),ISNUMBER(Y74)),U74/Y74,"")</f>
        <v/>
      </c>
      <c r="AD74" s="68">
        <f>IF(AND(ISNUMBER(V74),ISNUMBER(Y74)),V74/Y74,"")</f>
        <v/>
      </c>
      <c r="AE74" s="68">
        <f>IF(AND(ISNUMBER(W74),ISNUMBER(Y74)),W74/Y74,"")</f>
        <v/>
      </c>
      <c r="AF74" s="68">
        <f>IF(AND(E74=1,ISNUMBER(Z74)),Z74,"")</f>
        <v/>
      </c>
      <c r="AG74" s="68">
        <f>IF(AND(E74=1,ISNUMBER(AA74)),AA74,"")</f>
        <v/>
      </c>
      <c r="AH74" s="68">
        <f>IF(AND(E74=1,ISNUMBER(AB74)),AB74,"")</f>
        <v/>
      </c>
      <c r="AI74" s="68">
        <f>IF(AND(E74=1,ISNUMBER(AC74)),AC74,"")</f>
        <v/>
      </c>
      <c r="AJ74" s="68">
        <f>IF(AND(E74=1,ISNUMBER(AD74)),AD74,"")</f>
        <v/>
      </c>
      <c r="AK74" s="68">
        <f>IF(AND(E74=1,ISNUMBER(AE74)),AE74,"")</f>
        <v/>
      </c>
    </row>
    <row r="75">
      <c r="A75" s="65">
        <f>Raw_Data_LI!A75</f>
        <v/>
      </c>
      <c r="B75" s="66">
        <f>Raw_Data_LI!B75</f>
        <v/>
      </c>
      <c r="C75" s="66">
        <f>Raw_Data_LI!C75</f>
        <v/>
      </c>
      <c r="D75">
        <f>IF(AND(B75&gt;=cfg_li_poa_mid_min,B75&lt;=cfg_li_poa_mid_max),1,0)</f>
        <v/>
      </c>
      <c r="E75">
        <f>IF(AND(B75&gt;=cfg_li_poa_low_min,B75&lt;=cfg_li_poa_low_max,C75&gt;=cfg_li_low_elev_min),1,0)</f>
        <v/>
      </c>
      <c r="F75" s="67">
        <f>IF(Raw_Data_LI!D75="","",Raw_Data_LI!D75/B75)</f>
        <v/>
      </c>
      <c r="G75" s="67">
        <f>IF(Raw_Data_LI!E75="","",Raw_Data_LI!E75/B75)</f>
        <v/>
      </c>
      <c r="H75" s="67">
        <f>IF(Raw_Data_LI!F75="","",Raw_Data_LI!F75/B75)</f>
        <v/>
      </c>
      <c r="I75" s="67">
        <f>IF(Raw_Data_LI!G75="","",Raw_Data_LI!G75/B75)</f>
        <v/>
      </c>
      <c r="J75" s="67">
        <f>IF(Raw_Data_LI!H75="","",Raw_Data_LI!H75/B75)</f>
        <v/>
      </c>
      <c r="K75" s="67">
        <f>IF(Raw_Data_LI!I75="","",Raw_Data_LI!I75/B75)</f>
        <v/>
      </c>
      <c r="L75" s="67">
        <f>IF(AND(D75=1,ISNUMBER(F75),F75&gt;0),F75,"")</f>
        <v/>
      </c>
      <c r="M75" s="67">
        <f>IF(AND(D75=1,ISNUMBER(G75),G75&gt;0),G75,"")</f>
        <v/>
      </c>
      <c r="N75" s="67">
        <f>IF(AND(D75=1,ISNUMBER(H75),H75&gt;0),H75,"")</f>
        <v/>
      </c>
      <c r="O75" s="67">
        <f>IF(AND(D75=1,ISNUMBER(I75),I75&gt;0),I75,"")</f>
        <v/>
      </c>
      <c r="P75" s="67">
        <f>IF(AND(D75=1,ISNUMBER(J75),J75&gt;0),J75,"")</f>
        <v/>
      </c>
      <c r="Q75" s="67">
        <f>IF(AND(D75=1,ISNUMBER(K75),K75&gt;0),K75,"")</f>
        <v/>
      </c>
      <c r="R75" s="68">
        <f>IF(AND(ISNUMBER(F75),L$4&gt;=cfg_li_min_mid_samples),F75/L$5,"")</f>
        <v/>
      </c>
      <c r="S75" s="68">
        <f>IF(AND(ISNUMBER(G75),M$4&gt;=cfg_li_min_mid_samples),G75/M$5,"")</f>
        <v/>
      </c>
      <c r="T75" s="68">
        <f>IF(AND(ISNUMBER(H75),N$4&gt;=cfg_li_min_mid_samples),H75/N$5,"")</f>
        <v/>
      </c>
      <c r="U75" s="68">
        <f>IF(AND(ISNUMBER(I75),O$4&gt;=cfg_li_min_mid_samples),I75/O$5,"")</f>
        <v/>
      </c>
      <c r="V75" s="68">
        <f>IF(AND(ISNUMBER(J75),P$4&gt;=cfg_li_min_mid_samples),J75/P$5,"")</f>
        <v/>
      </c>
      <c r="W75" s="68">
        <f>IF(AND(ISNUMBER(K75),Q$4&gt;=cfg_li_min_mid_samples),K75/Q$5,"")</f>
        <v/>
      </c>
      <c r="X75">
        <f>COUNT(R75:W75)</f>
        <v/>
      </c>
      <c r="Y75" s="68">
        <f>IF(X75&gt;=cfg_li_min_peers,MEDIAN(R75:W75),"")</f>
        <v/>
      </c>
      <c r="Z75" s="68">
        <f>IF(AND(ISNUMBER(R75),ISNUMBER(Y75)),R75/Y75,"")</f>
        <v/>
      </c>
      <c r="AA75" s="68">
        <f>IF(AND(ISNUMBER(S75),ISNUMBER(Y75)),S75/Y75,"")</f>
        <v/>
      </c>
      <c r="AB75" s="68">
        <f>IF(AND(ISNUMBER(T75),ISNUMBER(Y75)),T75/Y75,"")</f>
        <v/>
      </c>
      <c r="AC75" s="68">
        <f>IF(AND(ISNUMBER(U75),ISNUMBER(Y75)),U75/Y75,"")</f>
        <v/>
      </c>
      <c r="AD75" s="68">
        <f>IF(AND(ISNUMBER(V75),ISNUMBER(Y75)),V75/Y75,"")</f>
        <v/>
      </c>
      <c r="AE75" s="68">
        <f>IF(AND(ISNUMBER(W75),ISNUMBER(Y75)),W75/Y75,"")</f>
        <v/>
      </c>
      <c r="AF75" s="68">
        <f>IF(AND(E75=1,ISNUMBER(Z75)),Z75,"")</f>
        <v/>
      </c>
      <c r="AG75" s="68">
        <f>IF(AND(E75=1,ISNUMBER(AA75)),AA75,"")</f>
        <v/>
      </c>
      <c r="AH75" s="68">
        <f>IF(AND(E75=1,ISNUMBER(AB75)),AB75,"")</f>
        <v/>
      </c>
      <c r="AI75" s="68">
        <f>IF(AND(E75=1,ISNUMBER(AC75)),AC75,"")</f>
        <v/>
      </c>
      <c r="AJ75" s="68">
        <f>IF(AND(E75=1,ISNUMBER(AD75)),AD75,"")</f>
        <v/>
      </c>
      <c r="AK75" s="68">
        <f>IF(AND(E75=1,ISNUMBER(AE75)),AE75,"")</f>
        <v/>
      </c>
    </row>
    <row r="76">
      <c r="A76" s="65">
        <f>Raw_Data_LI!A76</f>
        <v/>
      </c>
      <c r="B76" s="66">
        <f>Raw_Data_LI!B76</f>
        <v/>
      </c>
      <c r="C76" s="66">
        <f>Raw_Data_LI!C76</f>
        <v/>
      </c>
      <c r="D76">
        <f>IF(AND(B76&gt;=cfg_li_poa_mid_min,B76&lt;=cfg_li_poa_mid_max),1,0)</f>
        <v/>
      </c>
      <c r="E76">
        <f>IF(AND(B76&gt;=cfg_li_poa_low_min,B76&lt;=cfg_li_poa_low_max,C76&gt;=cfg_li_low_elev_min),1,0)</f>
        <v/>
      </c>
      <c r="F76" s="67">
        <f>IF(Raw_Data_LI!D76="","",Raw_Data_LI!D76/B76)</f>
        <v/>
      </c>
      <c r="G76" s="67">
        <f>IF(Raw_Data_LI!E76="","",Raw_Data_LI!E76/B76)</f>
        <v/>
      </c>
      <c r="H76" s="67">
        <f>IF(Raw_Data_LI!F76="","",Raw_Data_LI!F76/B76)</f>
        <v/>
      </c>
      <c r="I76" s="67">
        <f>IF(Raw_Data_LI!G76="","",Raw_Data_LI!G76/B76)</f>
        <v/>
      </c>
      <c r="J76" s="67">
        <f>IF(Raw_Data_LI!H76="","",Raw_Data_LI!H76/B76)</f>
        <v/>
      </c>
      <c r="K76" s="67">
        <f>IF(Raw_Data_LI!I76="","",Raw_Data_LI!I76/B76)</f>
        <v/>
      </c>
      <c r="L76" s="67">
        <f>IF(AND(D76=1,ISNUMBER(F76),F76&gt;0),F76,"")</f>
        <v/>
      </c>
      <c r="M76" s="67">
        <f>IF(AND(D76=1,ISNUMBER(G76),G76&gt;0),G76,"")</f>
        <v/>
      </c>
      <c r="N76" s="67">
        <f>IF(AND(D76=1,ISNUMBER(H76),H76&gt;0),H76,"")</f>
        <v/>
      </c>
      <c r="O76" s="67">
        <f>IF(AND(D76=1,ISNUMBER(I76),I76&gt;0),I76,"")</f>
        <v/>
      </c>
      <c r="P76" s="67">
        <f>IF(AND(D76=1,ISNUMBER(J76),J76&gt;0),J76,"")</f>
        <v/>
      </c>
      <c r="Q76" s="67">
        <f>IF(AND(D76=1,ISNUMBER(K76),K76&gt;0),K76,"")</f>
        <v/>
      </c>
      <c r="R76" s="68">
        <f>IF(AND(ISNUMBER(F76),L$4&gt;=cfg_li_min_mid_samples),F76/L$5,"")</f>
        <v/>
      </c>
      <c r="S76" s="68">
        <f>IF(AND(ISNUMBER(G76),M$4&gt;=cfg_li_min_mid_samples),G76/M$5,"")</f>
        <v/>
      </c>
      <c r="T76" s="68">
        <f>IF(AND(ISNUMBER(H76),N$4&gt;=cfg_li_min_mid_samples),H76/N$5,"")</f>
        <v/>
      </c>
      <c r="U76" s="68">
        <f>IF(AND(ISNUMBER(I76),O$4&gt;=cfg_li_min_mid_samples),I76/O$5,"")</f>
        <v/>
      </c>
      <c r="V76" s="68">
        <f>IF(AND(ISNUMBER(J76),P$4&gt;=cfg_li_min_mid_samples),J76/P$5,"")</f>
        <v/>
      </c>
      <c r="W76" s="68">
        <f>IF(AND(ISNUMBER(K76),Q$4&gt;=cfg_li_min_mid_samples),K76/Q$5,"")</f>
        <v/>
      </c>
      <c r="X76">
        <f>COUNT(R76:W76)</f>
        <v/>
      </c>
      <c r="Y76" s="68">
        <f>IF(X76&gt;=cfg_li_min_peers,MEDIAN(R76:W76),"")</f>
        <v/>
      </c>
      <c r="Z76" s="68">
        <f>IF(AND(ISNUMBER(R76),ISNUMBER(Y76)),R76/Y76,"")</f>
        <v/>
      </c>
      <c r="AA76" s="68">
        <f>IF(AND(ISNUMBER(S76),ISNUMBER(Y76)),S76/Y76,"")</f>
        <v/>
      </c>
      <c r="AB76" s="68">
        <f>IF(AND(ISNUMBER(T76),ISNUMBER(Y76)),T76/Y76,"")</f>
        <v/>
      </c>
      <c r="AC76" s="68">
        <f>IF(AND(ISNUMBER(U76),ISNUMBER(Y76)),U76/Y76,"")</f>
        <v/>
      </c>
      <c r="AD76" s="68">
        <f>IF(AND(ISNUMBER(V76),ISNUMBER(Y76)),V76/Y76,"")</f>
        <v/>
      </c>
      <c r="AE76" s="68">
        <f>IF(AND(ISNUMBER(W76),ISNUMBER(Y76)),W76/Y76,"")</f>
        <v/>
      </c>
      <c r="AF76" s="68">
        <f>IF(AND(E76=1,ISNUMBER(Z76)),Z76,"")</f>
        <v/>
      </c>
      <c r="AG76" s="68">
        <f>IF(AND(E76=1,ISNUMBER(AA76)),AA76,"")</f>
        <v/>
      </c>
      <c r="AH76" s="68">
        <f>IF(AND(E76=1,ISNUMBER(AB76)),AB76,"")</f>
        <v/>
      </c>
      <c r="AI76" s="68">
        <f>IF(AND(E76=1,ISNUMBER(AC76)),AC76,"")</f>
        <v/>
      </c>
      <c r="AJ76" s="68">
        <f>IF(AND(E76=1,ISNUMBER(AD76)),AD76,"")</f>
        <v/>
      </c>
      <c r="AK76" s="68">
        <f>IF(AND(E76=1,ISNUMBER(AE76)),AE76,"")</f>
        <v/>
      </c>
    </row>
    <row r="77">
      <c r="A77" s="65">
        <f>Raw_Data_LI!A77</f>
        <v/>
      </c>
      <c r="B77" s="66">
        <f>Raw_Data_LI!B77</f>
        <v/>
      </c>
      <c r="C77" s="66">
        <f>Raw_Data_LI!C77</f>
        <v/>
      </c>
      <c r="D77">
        <f>IF(AND(B77&gt;=cfg_li_poa_mid_min,B77&lt;=cfg_li_poa_mid_max),1,0)</f>
        <v/>
      </c>
      <c r="E77">
        <f>IF(AND(B77&gt;=cfg_li_poa_low_min,B77&lt;=cfg_li_poa_low_max,C77&gt;=cfg_li_low_elev_min),1,0)</f>
        <v/>
      </c>
      <c r="F77" s="67">
        <f>IF(Raw_Data_LI!D77="","",Raw_Data_LI!D77/B77)</f>
        <v/>
      </c>
      <c r="G77" s="67">
        <f>IF(Raw_Data_LI!E77="","",Raw_Data_LI!E77/B77)</f>
        <v/>
      </c>
      <c r="H77" s="67">
        <f>IF(Raw_Data_LI!F77="","",Raw_Data_LI!F77/B77)</f>
        <v/>
      </c>
      <c r="I77" s="67">
        <f>IF(Raw_Data_LI!G77="","",Raw_Data_LI!G77/B77)</f>
        <v/>
      </c>
      <c r="J77" s="67">
        <f>IF(Raw_Data_LI!H77="","",Raw_Data_LI!H77/B77)</f>
        <v/>
      </c>
      <c r="K77" s="67">
        <f>IF(Raw_Data_LI!I77="","",Raw_Data_LI!I77/B77)</f>
        <v/>
      </c>
      <c r="L77" s="67">
        <f>IF(AND(D77=1,ISNUMBER(F77),F77&gt;0),F77,"")</f>
        <v/>
      </c>
      <c r="M77" s="67">
        <f>IF(AND(D77=1,ISNUMBER(G77),G77&gt;0),G77,"")</f>
        <v/>
      </c>
      <c r="N77" s="67">
        <f>IF(AND(D77=1,ISNUMBER(H77),H77&gt;0),H77,"")</f>
        <v/>
      </c>
      <c r="O77" s="67">
        <f>IF(AND(D77=1,ISNUMBER(I77),I77&gt;0),I77,"")</f>
        <v/>
      </c>
      <c r="P77" s="67">
        <f>IF(AND(D77=1,ISNUMBER(J77),J77&gt;0),J77,"")</f>
        <v/>
      </c>
      <c r="Q77" s="67">
        <f>IF(AND(D77=1,ISNUMBER(K77),K77&gt;0),K77,"")</f>
        <v/>
      </c>
      <c r="R77" s="68">
        <f>IF(AND(ISNUMBER(F77),L$4&gt;=cfg_li_min_mid_samples),F77/L$5,"")</f>
        <v/>
      </c>
      <c r="S77" s="68">
        <f>IF(AND(ISNUMBER(G77),M$4&gt;=cfg_li_min_mid_samples),G77/M$5,"")</f>
        <v/>
      </c>
      <c r="T77" s="68">
        <f>IF(AND(ISNUMBER(H77),N$4&gt;=cfg_li_min_mid_samples),H77/N$5,"")</f>
        <v/>
      </c>
      <c r="U77" s="68">
        <f>IF(AND(ISNUMBER(I77),O$4&gt;=cfg_li_min_mid_samples),I77/O$5,"")</f>
        <v/>
      </c>
      <c r="V77" s="68">
        <f>IF(AND(ISNUMBER(J77),P$4&gt;=cfg_li_min_mid_samples),J77/P$5,"")</f>
        <v/>
      </c>
      <c r="W77" s="68">
        <f>IF(AND(ISNUMBER(K77),Q$4&gt;=cfg_li_min_mid_samples),K77/Q$5,"")</f>
        <v/>
      </c>
      <c r="X77">
        <f>COUNT(R77:W77)</f>
        <v/>
      </c>
      <c r="Y77" s="68">
        <f>IF(X77&gt;=cfg_li_min_peers,MEDIAN(R77:W77),"")</f>
        <v/>
      </c>
      <c r="Z77" s="68">
        <f>IF(AND(ISNUMBER(R77),ISNUMBER(Y77)),R77/Y77,"")</f>
        <v/>
      </c>
      <c r="AA77" s="68">
        <f>IF(AND(ISNUMBER(S77),ISNUMBER(Y77)),S77/Y77,"")</f>
        <v/>
      </c>
      <c r="AB77" s="68">
        <f>IF(AND(ISNUMBER(T77),ISNUMBER(Y77)),T77/Y77,"")</f>
        <v/>
      </c>
      <c r="AC77" s="68">
        <f>IF(AND(ISNUMBER(U77),ISNUMBER(Y77)),U77/Y77,"")</f>
        <v/>
      </c>
      <c r="AD77" s="68">
        <f>IF(AND(ISNUMBER(V77),ISNUMBER(Y77)),V77/Y77,"")</f>
        <v/>
      </c>
      <c r="AE77" s="68">
        <f>IF(AND(ISNUMBER(W77),ISNUMBER(Y77)),W77/Y77,"")</f>
        <v/>
      </c>
      <c r="AF77" s="68">
        <f>IF(AND(E77=1,ISNUMBER(Z77)),Z77,"")</f>
        <v/>
      </c>
      <c r="AG77" s="68">
        <f>IF(AND(E77=1,ISNUMBER(AA77)),AA77,"")</f>
        <v/>
      </c>
      <c r="AH77" s="68">
        <f>IF(AND(E77=1,ISNUMBER(AB77)),AB77,"")</f>
        <v/>
      </c>
      <c r="AI77" s="68">
        <f>IF(AND(E77=1,ISNUMBER(AC77)),AC77,"")</f>
        <v/>
      </c>
      <c r="AJ77" s="68">
        <f>IF(AND(E77=1,ISNUMBER(AD77)),AD77,"")</f>
        <v/>
      </c>
      <c r="AK77" s="68">
        <f>IF(AND(E77=1,ISNUMBER(AE77)),AE77,"")</f>
        <v/>
      </c>
    </row>
    <row r="78">
      <c r="A78" s="65">
        <f>Raw_Data_LI!A78</f>
        <v/>
      </c>
      <c r="B78" s="66">
        <f>Raw_Data_LI!B78</f>
        <v/>
      </c>
      <c r="C78" s="66">
        <f>Raw_Data_LI!C78</f>
        <v/>
      </c>
      <c r="D78">
        <f>IF(AND(B78&gt;=cfg_li_poa_mid_min,B78&lt;=cfg_li_poa_mid_max),1,0)</f>
        <v/>
      </c>
      <c r="E78">
        <f>IF(AND(B78&gt;=cfg_li_poa_low_min,B78&lt;=cfg_li_poa_low_max,C78&gt;=cfg_li_low_elev_min),1,0)</f>
        <v/>
      </c>
      <c r="F78" s="67">
        <f>IF(Raw_Data_LI!D78="","",Raw_Data_LI!D78/B78)</f>
        <v/>
      </c>
      <c r="G78" s="67">
        <f>IF(Raw_Data_LI!E78="","",Raw_Data_LI!E78/B78)</f>
        <v/>
      </c>
      <c r="H78" s="67">
        <f>IF(Raw_Data_LI!F78="","",Raw_Data_LI!F78/B78)</f>
        <v/>
      </c>
      <c r="I78" s="67">
        <f>IF(Raw_Data_LI!G78="","",Raw_Data_LI!G78/B78)</f>
        <v/>
      </c>
      <c r="J78" s="67">
        <f>IF(Raw_Data_LI!H78="","",Raw_Data_LI!H78/B78)</f>
        <v/>
      </c>
      <c r="K78" s="67">
        <f>IF(Raw_Data_LI!I78="","",Raw_Data_LI!I78/B78)</f>
        <v/>
      </c>
      <c r="L78" s="67">
        <f>IF(AND(D78=1,ISNUMBER(F78),F78&gt;0),F78,"")</f>
        <v/>
      </c>
      <c r="M78" s="67">
        <f>IF(AND(D78=1,ISNUMBER(G78),G78&gt;0),G78,"")</f>
        <v/>
      </c>
      <c r="N78" s="67">
        <f>IF(AND(D78=1,ISNUMBER(H78),H78&gt;0),H78,"")</f>
        <v/>
      </c>
      <c r="O78" s="67">
        <f>IF(AND(D78=1,ISNUMBER(I78),I78&gt;0),I78,"")</f>
        <v/>
      </c>
      <c r="P78" s="67">
        <f>IF(AND(D78=1,ISNUMBER(J78),J78&gt;0),J78,"")</f>
        <v/>
      </c>
      <c r="Q78" s="67">
        <f>IF(AND(D78=1,ISNUMBER(K78),K78&gt;0),K78,"")</f>
        <v/>
      </c>
      <c r="R78" s="68">
        <f>IF(AND(ISNUMBER(F78),L$4&gt;=cfg_li_min_mid_samples),F78/L$5,"")</f>
        <v/>
      </c>
      <c r="S78" s="68">
        <f>IF(AND(ISNUMBER(G78),M$4&gt;=cfg_li_min_mid_samples),G78/M$5,"")</f>
        <v/>
      </c>
      <c r="T78" s="68">
        <f>IF(AND(ISNUMBER(H78),N$4&gt;=cfg_li_min_mid_samples),H78/N$5,"")</f>
        <v/>
      </c>
      <c r="U78" s="68">
        <f>IF(AND(ISNUMBER(I78),O$4&gt;=cfg_li_min_mid_samples),I78/O$5,"")</f>
        <v/>
      </c>
      <c r="V78" s="68">
        <f>IF(AND(ISNUMBER(J78),P$4&gt;=cfg_li_min_mid_samples),J78/P$5,"")</f>
        <v/>
      </c>
      <c r="W78" s="68">
        <f>IF(AND(ISNUMBER(K78),Q$4&gt;=cfg_li_min_mid_samples),K78/Q$5,"")</f>
        <v/>
      </c>
      <c r="X78">
        <f>COUNT(R78:W78)</f>
        <v/>
      </c>
      <c r="Y78" s="68">
        <f>IF(X78&gt;=cfg_li_min_peers,MEDIAN(R78:W78),"")</f>
        <v/>
      </c>
      <c r="Z78" s="68">
        <f>IF(AND(ISNUMBER(R78),ISNUMBER(Y78)),R78/Y78,"")</f>
        <v/>
      </c>
      <c r="AA78" s="68">
        <f>IF(AND(ISNUMBER(S78),ISNUMBER(Y78)),S78/Y78,"")</f>
        <v/>
      </c>
      <c r="AB78" s="68">
        <f>IF(AND(ISNUMBER(T78),ISNUMBER(Y78)),T78/Y78,"")</f>
        <v/>
      </c>
      <c r="AC78" s="68">
        <f>IF(AND(ISNUMBER(U78),ISNUMBER(Y78)),U78/Y78,"")</f>
        <v/>
      </c>
      <c r="AD78" s="68">
        <f>IF(AND(ISNUMBER(V78),ISNUMBER(Y78)),V78/Y78,"")</f>
        <v/>
      </c>
      <c r="AE78" s="68">
        <f>IF(AND(ISNUMBER(W78),ISNUMBER(Y78)),W78/Y78,"")</f>
        <v/>
      </c>
      <c r="AF78" s="68">
        <f>IF(AND(E78=1,ISNUMBER(Z78)),Z78,"")</f>
        <v/>
      </c>
      <c r="AG78" s="68">
        <f>IF(AND(E78=1,ISNUMBER(AA78)),AA78,"")</f>
        <v/>
      </c>
      <c r="AH78" s="68">
        <f>IF(AND(E78=1,ISNUMBER(AB78)),AB78,"")</f>
        <v/>
      </c>
      <c r="AI78" s="68">
        <f>IF(AND(E78=1,ISNUMBER(AC78)),AC78,"")</f>
        <v/>
      </c>
      <c r="AJ78" s="68">
        <f>IF(AND(E78=1,ISNUMBER(AD78)),AD78,"")</f>
        <v/>
      </c>
      <c r="AK78" s="68">
        <f>IF(AND(E78=1,ISNUMBER(AE78)),AE78,"")</f>
        <v/>
      </c>
    </row>
    <row r="79">
      <c r="A79" s="65">
        <f>Raw_Data_LI!A79</f>
        <v/>
      </c>
      <c r="B79" s="66">
        <f>Raw_Data_LI!B79</f>
        <v/>
      </c>
      <c r="C79" s="66">
        <f>Raw_Data_LI!C79</f>
        <v/>
      </c>
      <c r="D79">
        <f>IF(AND(B79&gt;=cfg_li_poa_mid_min,B79&lt;=cfg_li_poa_mid_max),1,0)</f>
        <v/>
      </c>
      <c r="E79">
        <f>IF(AND(B79&gt;=cfg_li_poa_low_min,B79&lt;=cfg_li_poa_low_max,C79&gt;=cfg_li_low_elev_min),1,0)</f>
        <v/>
      </c>
      <c r="F79" s="67">
        <f>IF(Raw_Data_LI!D79="","",Raw_Data_LI!D79/B79)</f>
        <v/>
      </c>
      <c r="G79" s="67">
        <f>IF(Raw_Data_LI!E79="","",Raw_Data_LI!E79/B79)</f>
        <v/>
      </c>
      <c r="H79" s="67">
        <f>IF(Raw_Data_LI!F79="","",Raw_Data_LI!F79/B79)</f>
        <v/>
      </c>
      <c r="I79" s="67">
        <f>IF(Raw_Data_LI!G79="","",Raw_Data_LI!G79/B79)</f>
        <v/>
      </c>
      <c r="J79" s="67">
        <f>IF(Raw_Data_LI!H79="","",Raw_Data_LI!H79/B79)</f>
        <v/>
      </c>
      <c r="K79" s="67">
        <f>IF(Raw_Data_LI!I79="","",Raw_Data_LI!I79/B79)</f>
        <v/>
      </c>
      <c r="L79" s="67">
        <f>IF(AND(D79=1,ISNUMBER(F79),F79&gt;0),F79,"")</f>
        <v/>
      </c>
      <c r="M79" s="67">
        <f>IF(AND(D79=1,ISNUMBER(G79),G79&gt;0),G79,"")</f>
        <v/>
      </c>
      <c r="N79" s="67">
        <f>IF(AND(D79=1,ISNUMBER(H79),H79&gt;0),H79,"")</f>
        <v/>
      </c>
      <c r="O79" s="67">
        <f>IF(AND(D79=1,ISNUMBER(I79),I79&gt;0),I79,"")</f>
        <v/>
      </c>
      <c r="P79" s="67">
        <f>IF(AND(D79=1,ISNUMBER(J79),J79&gt;0),J79,"")</f>
        <v/>
      </c>
      <c r="Q79" s="67">
        <f>IF(AND(D79=1,ISNUMBER(K79),K79&gt;0),K79,"")</f>
        <v/>
      </c>
      <c r="R79" s="68">
        <f>IF(AND(ISNUMBER(F79),L$4&gt;=cfg_li_min_mid_samples),F79/L$5,"")</f>
        <v/>
      </c>
      <c r="S79" s="68">
        <f>IF(AND(ISNUMBER(G79),M$4&gt;=cfg_li_min_mid_samples),G79/M$5,"")</f>
        <v/>
      </c>
      <c r="T79" s="68">
        <f>IF(AND(ISNUMBER(H79),N$4&gt;=cfg_li_min_mid_samples),H79/N$5,"")</f>
        <v/>
      </c>
      <c r="U79" s="68">
        <f>IF(AND(ISNUMBER(I79),O$4&gt;=cfg_li_min_mid_samples),I79/O$5,"")</f>
        <v/>
      </c>
      <c r="V79" s="68">
        <f>IF(AND(ISNUMBER(J79),P$4&gt;=cfg_li_min_mid_samples),J79/P$5,"")</f>
        <v/>
      </c>
      <c r="W79" s="68">
        <f>IF(AND(ISNUMBER(K79),Q$4&gt;=cfg_li_min_mid_samples),K79/Q$5,"")</f>
        <v/>
      </c>
      <c r="X79">
        <f>COUNT(R79:W79)</f>
        <v/>
      </c>
      <c r="Y79" s="68">
        <f>IF(X79&gt;=cfg_li_min_peers,MEDIAN(R79:W79),"")</f>
        <v/>
      </c>
      <c r="Z79" s="68">
        <f>IF(AND(ISNUMBER(R79),ISNUMBER(Y79)),R79/Y79,"")</f>
        <v/>
      </c>
      <c r="AA79" s="68">
        <f>IF(AND(ISNUMBER(S79),ISNUMBER(Y79)),S79/Y79,"")</f>
        <v/>
      </c>
      <c r="AB79" s="68">
        <f>IF(AND(ISNUMBER(T79),ISNUMBER(Y79)),T79/Y79,"")</f>
        <v/>
      </c>
      <c r="AC79" s="68">
        <f>IF(AND(ISNUMBER(U79),ISNUMBER(Y79)),U79/Y79,"")</f>
        <v/>
      </c>
      <c r="AD79" s="68">
        <f>IF(AND(ISNUMBER(V79),ISNUMBER(Y79)),V79/Y79,"")</f>
        <v/>
      </c>
      <c r="AE79" s="68">
        <f>IF(AND(ISNUMBER(W79),ISNUMBER(Y79)),W79/Y79,"")</f>
        <v/>
      </c>
      <c r="AF79" s="68">
        <f>IF(AND(E79=1,ISNUMBER(Z79)),Z79,"")</f>
        <v/>
      </c>
      <c r="AG79" s="68">
        <f>IF(AND(E79=1,ISNUMBER(AA79)),AA79,"")</f>
        <v/>
      </c>
      <c r="AH79" s="68">
        <f>IF(AND(E79=1,ISNUMBER(AB79)),AB79,"")</f>
        <v/>
      </c>
      <c r="AI79" s="68">
        <f>IF(AND(E79=1,ISNUMBER(AC79)),AC79,"")</f>
        <v/>
      </c>
      <c r="AJ79" s="68">
        <f>IF(AND(E79=1,ISNUMBER(AD79)),AD79,"")</f>
        <v/>
      </c>
      <c r="AK79" s="68">
        <f>IF(AND(E79=1,ISNUMBER(AE79)),AE79,"")</f>
        <v/>
      </c>
    </row>
    <row r="80">
      <c r="A80" s="65">
        <f>Raw_Data_LI!A80</f>
        <v/>
      </c>
      <c r="B80" s="66">
        <f>Raw_Data_LI!B80</f>
        <v/>
      </c>
      <c r="C80" s="66">
        <f>Raw_Data_LI!C80</f>
        <v/>
      </c>
      <c r="D80">
        <f>IF(AND(B80&gt;=cfg_li_poa_mid_min,B80&lt;=cfg_li_poa_mid_max),1,0)</f>
        <v/>
      </c>
      <c r="E80">
        <f>IF(AND(B80&gt;=cfg_li_poa_low_min,B80&lt;=cfg_li_poa_low_max,C80&gt;=cfg_li_low_elev_min),1,0)</f>
        <v/>
      </c>
      <c r="F80" s="67">
        <f>IF(Raw_Data_LI!D80="","",Raw_Data_LI!D80/B80)</f>
        <v/>
      </c>
      <c r="G80" s="67">
        <f>IF(Raw_Data_LI!E80="","",Raw_Data_LI!E80/B80)</f>
        <v/>
      </c>
      <c r="H80" s="67">
        <f>IF(Raw_Data_LI!F80="","",Raw_Data_LI!F80/B80)</f>
        <v/>
      </c>
      <c r="I80" s="67">
        <f>IF(Raw_Data_LI!G80="","",Raw_Data_LI!G80/B80)</f>
        <v/>
      </c>
      <c r="J80" s="67">
        <f>IF(Raw_Data_LI!H80="","",Raw_Data_LI!H80/B80)</f>
        <v/>
      </c>
      <c r="K80" s="67">
        <f>IF(Raw_Data_LI!I80="","",Raw_Data_LI!I80/B80)</f>
        <v/>
      </c>
      <c r="L80" s="67">
        <f>IF(AND(D80=1,ISNUMBER(F80),F80&gt;0),F80,"")</f>
        <v/>
      </c>
      <c r="M80" s="67">
        <f>IF(AND(D80=1,ISNUMBER(G80),G80&gt;0),G80,"")</f>
        <v/>
      </c>
      <c r="N80" s="67">
        <f>IF(AND(D80=1,ISNUMBER(H80),H80&gt;0),H80,"")</f>
        <v/>
      </c>
      <c r="O80" s="67">
        <f>IF(AND(D80=1,ISNUMBER(I80),I80&gt;0),I80,"")</f>
        <v/>
      </c>
      <c r="P80" s="67">
        <f>IF(AND(D80=1,ISNUMBER(J80),J80&gt;0),J80,"")</f>
        <v/>
      </c>
      <c r="Q80" s="67">
        <f>IF(AND(D80=1,ISNUMBER(K80),K80&gt;0),K80,"")</f>
        <v/>
      </c>
      <c r="R80" s="68">
        <f>IF(AND(ISNUMBER(F80),L$4&gt;=cfg_li_min_mid_samples),F80/L$5,"")</f>
        <v/>
      </c>
      <c r="S80" s="68">
        <f>IF(AND(ISNUMBER(G80),M$4&gt;=cfg_li_min_mid_samples),G80/M$5,"")</f>
        <v/>
      </c>
      <c r="T80" s="68">
        <f>IF(AND(ISNUMBER(H80),N$4&gt;=cfg_li_min_mid_samples),H80/N$5,"")</f>
        <v/>
      </c>
      <c r="U80" s="68">
        <f>IF(AND(ISNUMBER(I80),O$4&gt;=cfg_li_min_mid_samples),I80/O$5,"")</f>
        <v/>
      </c>
      <c r="V80" s="68">
        <f>IF(AND(ISNUMBER(J80),P$4&gt;=cfg_li_min_mid_samples),J80/P$5,"")</f>
        <v/>
      </c>
      <c r="W80" s="68">
        <f>IF(AND(ISNUMBER(K80),Q$4&gt;=cfg_li_min_mid_samples),K80/Q$5,"")</f>
        <v/>
      </c>
      <c r="X80">
        <f>COUNT(R80:W80)</f>
        <v/>
      </c>
      <c r="Y80" s="68">
        <f>IF(X80&gt;=cfg_li_min_peers,MEDIAN(R80:W80),"")</f>
        <v/>
      </c>
      <c r="Z80" s="68">
        <f>IF(AND(ISNUMBER(R80),ISNUMBER(Y80)),R80/Y80,"")</f>
        <v/>
      </c>
      <c r="AA80" s="68">
        <f>IF(AND(ISNUMBER(S80),ISNUMBER(Y80)),S80/Y80,"")</f>
        <v/>
      </c>
      <c r="AB80" s="68">
        <f>IF(AND(ISNUMBER(T80),ISNUMBER(Y80)),T80/Y80,"")</f>
        <v/>
      </c>
      <c r="AC80" s="68">
        <f>IF(AND(ISNUMBER(U80),ISNUMBER(Y80)),U80/Y80,"")</f>
        <v/>
      </c>
      <c r="AD80" s="68">
        <f>IF(AND(ISNUMBER(V80),ISNUMBER(Y80)),V80/Y80,"")</f>
        <v/>
      </c>
      <c r="AE80" s="68">
        <f>IF(AND(ISNUMBER(W80),ISNUMBER(Y80)),W80/Y80,"")</f>
        <v/>
      </c>
      <c r="AF80" s="68">
        <f>IF(AND(E80=1,ISNUMBER(Z80)),Z80,"")</f>
        <v/>
      </c>
      <c r="AG80" s="68">
        <f>IF(AND(E80=1,ISNUMBER(AA80)),AA80,"")</f>
        <v/>
      </c>
      <c r="AH80" s="68">
        <f>IF(AND(E80=1,ISNUMBER(AB80)),AB80,"")</f>
        <v/>
      </c>
      <c r="AI80" s="68">
        <f>IF(AND(E80=1,ISNUMBER(AC80)),AC80,"")</f>
        <v/>
      </c>
      <c r="AJ80" s="68">
        <f>IF(AND(E80=1,ISNUMBER(AD80)),AD80,"")</f>
        <v/>
      </c>
      <c r="AK80" s="68">
        <f>IF(AND(E80=1,ISNUMBER(AE80)),AE80,"")</f>
        <v/>
      </c>
    </row>
    <row r="81">
      <c r="A81" s="65">
        <f>Raw_Data_LI!A81</f>
        <v/>
      </c>
      <c r="B81" s="66">
        <f>Raw_Data_LI!B81</f>
        <v/>
      </c>
      <c r="C81" s="66">
        <f>Raw_Data_LI!C81</f>
        <v/>
      </c>
      <c r="D81">
        <f>IF(AND(B81&gt;=cfg_li_poa_mid_min,B81&lt;=cfg_li_poa_mid_max),1,0)</f>
        <v/>
      </c>
      <c r="E81">
        <f>IF(AND(B81&gt;=cfg_li_poa_low_min,B81&lt;=cfg_li_poa_low_max,C81&gt;=cfg_li_low_elev_min),1,0)</f>
        <v/>
      </c>
      <c r="F81" s="67">
        <f>IF(Raw_Data_LI!D81="","",Raw_Data_LI!D81/B81)</f>
        <v/>
      </c>
      <c r="G81" s="67">
        <f>IF(Raw_Data_LI!E81="","",Raw_Data_LI!E81/B81)</f>
        <v/>
      </c>
      <c r="H81" s="67">
        <f>IF(Raw_Data_LI!F81="","",Raw_Data_LI!F81/B81)</f>
        <v/>
      </c>
      <c r="I81" s="67">
        <f>IF(Raw_Data_LI!G81="","",Raw_Data_LI!G81/B81)</f>
        <v/>
      </c>
      <c r="J81" s="67">
        <f>IF(Raw_Data_LI!H81="","",Raw_Data_LI!H81/B81)</f>
        <v/>
      </c>
      <c r="K81" s="67">
        <f>IF(Raw_Data_LI!I81="","",Raw_Data_LI!I81/B81)</f>
        <v/>
      </c>
      <c r="L81" s="67">
        <f>IF(AND(D81=1,ISNUMBER(F81),F81&gt;0),F81,"")</f>
        <v/>
      </c>
      <c r="M81" s="67">
        <f>IF(AND(D81=1,ISNUMBER(G81),G81&gt;0),G81,"")</f>
        <v/>
      </c>
      <c r="N81" s="67">
        <f>IF(AND(D81=1,ISNUMBER(H81),H81&gt;0),H81,"")</f>
        <v/>
      </c>
      <c r="O81" s="67">
        <f>IF(AND(D81=1,ISNUMBER(I81),I81&gt;0),I81,"")</f>
        <v/>
      </c>
      <c r="P81" s="67">
        <f>IF(AND(D81=1,ISNUMBER(J81),J81&gt;0),J81,"")</f>
        <v/>
      </c>
      <c r="Q81" s="67">
        <f>IF(AND(D81=1,ISNUMBER(K81),K81&gt;0),K81,"")</f>
        <v/>
      </c>
      <c r="R81" s="68">
        <f>IF(AND(ISNUMBER(F81),L$4&gt;=cfg_li_min_mid_samples),F81/L$5,"")</f>
        <v/>
      </c>
      <c r="S81" s="68">
        <f>IF(AND(ISNUMBER(G81),M$4&gt;=cfg_li_min_mid_samples),G81/M$5,"")</f>
        <v/>
      </c>
      <c r="T81" s="68">
        <f>IF(AND(ISNUMBER(H81),N$4&gt;=cfg_li_min_mid_samples),H81/N$5,"")</f>
        <v/>
      </c>
      <c r="U81" s="68">
        <f>IF(AND(ISNUMBER(I81),O$4&gt;=cfg_li_min_mid_samples),I81/O$5,"")</f>
        <v/>
      </c>
      <c r="V81" s="68">
        <f>IF(AND(ISNUMBER(J81),P$4&gt;=cfg_li_min_mid_samples),J81/P$5,"")</f>
        <v/>
      </c>
      <c r="W81" s="68">
        <f>IF(AND(ISNUMBER(K81),Q$4&gt;=cfg_li_min_mid_samples),K81/Q$5,"")</f>
        <v/>
      </c>
      <c r="X81">
        <f>COUNT(R81:W81)</f>
        <v/>
      </c>
      <c r="Y81" s="68">
        <f>IF(X81&gt;=cfg_li_min_peers,MEDIAN(R81:W81),"")</f>
        <v/>
      </c>
      <c r="Z81" s="68">
        <f>IF(AND(ISNUMBER(R81),ISNUMBER(Y81)),R81/Y81,"")</f>
        <v/>
      </c>
      <c r="AA81" s="68">
        <f>IF(AND(ISNUMBER(S81),ISNUMBER(Y81)),S81/Y81,"")</f>
        <v/>
      </c>
      <c r="AB81" s="68">
        <f>IF(AND(ISNUMBER(T81),ISNUMBER(Y81)),T81/Y81,"")</f>
        <v/>
      </c>
      <c r="AC81" s="68">
        <f>IF(AND(ISNUMBER(U81),ISNUMBER(Y81)),U81/Y81,"")</f>
        <v/>
      </c>
      <c r="AD81" s="68">
        <f>IF(AND(ISNUMBER(V81),ISNUMBER(Y81)),V81/Y81,"")</f>
        <v/>
      </c>
      <c r="AE81" s="68">
        <f>IF(AND(ISNUMBER(W81),ISNUMBER(Y81)),W81/Y81,"")</f>
        <v/>
      </c>
      <c r="AF81" s="68">
        <f>IF(AND(E81=1,ISNUMBER(Z81)),Z81,"")</f>
        <v/>
      </c>
      <c r="AG81" s="68">
        <f>IF(AND(E81=1,ISNUMBER(AA81)),AA81,"")</f>
        <v/>
      </c>
      <c r="AH81" s="68">
        <f>IF(AND(E81=1,ISNUMBER(AB81)),AB81,"")</f>
        <v/>
      </c>
      <c r="AI81" s="68">
        <f>IF(AND(E81=1,ISNUMBER(AC81)),AC81,"")</f>
        <v/>
      </c>
      <c r="AJ81" s="68">
        <f>IF(AND(E81=1,ISNUMBER(AD81)),AD81,"")</f>
        <v/>
      </c>
      <c r="AK81" s="68">
        <f>IF(AND(E81=1,ISNUMBER(AE81)),AE81,"")</f>
        <v/>
      </c>
    </row>
    <row r="82">
      <c r="A82" s="65">
        <f>Raw_Data_LI!A82</f>
        <v/>
      </c>
      <c r="B82" s="66">
        <f>Raw_Data_LI!B82</f>
        <v/>
      </c>
      <c r="C82" s="66">
        <f>Raw_Data_LI!C82</f>
        <v/>
      </c>
      <c r="D82">
        <f>IF(AND(B82&gt;=cfg_li_poa_mid_min,B82&lt;=cfg_li_poa_mid_max),1,0)</f>
        <v/>
      </c>
      <c r="E82">
        <f>IF(AND(B82&gt;=cfg_li_poa_low_min,B82&lt;=cfg_li_poa_low_max,C82&gt;=cfg_li_low_elev_min),1,0)</f>
        <v/>
      </c>
      <c r="F82" s="67">
        <f>IF(Raw_Data_LI!D82="","",Raw_Data_LI!D82/B82)</f>
        <v/>
      </c>
      <c r="G82" s="67">
        <f>IF(Raw_Data_LI!E82="","",Raw_Data_LI!E82/B82)</f>
        <v/>
      </c>
      <c r="H82" s="67">
        <f>IF(Raw_Data_LI!F82="","",Raw_Data_LI!F82/B82)</f>
        <v/>
      </c>
      <c r="I82" s="67">
        <f>IF(Raw_Data_LI!G82="","",Raw_Data_LI!G82/B82)</f>
        <v/>
      </c>
      <c r="J82" s="67">
        <f>IF(Raw_Data_LI!H82="","",Raw_Data_LI!H82/B82)</f>
        <v/>
      </c>
      <c r="K82" s="67">
        <f>IF(Raw_Data_LI!I82="","",Raw_Data_LI!I82/B82)</f>
        <v/>
      </c>
      <c r="L82" s="67">
        <f>IF(AND(D82=1,ISNUMBER(F82),F82&gt;0),F82,"")</f>
        <v/>
      </c>
      <c r="M82" s="67">
        <f>IF(AND(D82=1,ISNUMBER(G82),G82&gt;0),G82,"")</f>
        <v/>
      </c>
      <c r="N82" s="67">
        <f>IF(AND(D82=1,ISNUMBER(H82),H82&gt;0),H82,"")</f>
        <v/>
      </c>
      <c r="O82" s="67">
        <f>IF(AND(D82=1,ISNUMBER(I82),I82&gt;0),I82,"")</f>
        <v/>
      </c>
      <c r="P82" s="67">
        <f>IF(AND(D82=1,ISNUMBER(J82),J82&gt;0),J82,"")</f>
        <v/>
      </c>
      <c r="Q82" s="67">
        <f>IF(AND(D82=1,ISNUMBER(K82),K82&gt;0),K82,"")</f>
        <v/>
      </c>
      <c r="R82" s="68">
        <f>IF(AND(ISNUMBER(F82),L$4&gt;=cfg_li_min_mid_samples),F82/L$5,"")</f>
        <v/>
      </c>
      <c r="S82" s="68">
        <f>IF(AND(ISNUMBER(G82),M$4&gt;=cfg_li_min_mid_samples),G82/M$5,"")</f>
        <v/>
      </c>
      <c r="T82" s="68">
        <f>IF(AND(ISNUMBER(H82),N$4&gt;=cfg_li_min_mid_samples),H82/N$5,"")</f>
        <v/>
      </c>
      <c r="U82" s="68">
        <f>IF(AND(ISNUMBER(I82),O$4&gt;=cfg_li_min_mid_samples),I82/O$5,"")</f>
        <v/>
      </c>
      <c r="V82" s="68">
        <f>IF(AND(ISNUMBER(J82),P$4&gt;=cfg_li_min_mid_samples),J82/P$5,"")</f>
        <v/>
      </c>
      <c r="W82" s="68">
        <f>IF(AND(ISNUMBER(K82),Q$4&gt;=cfg_li_min_mid_samples),K82/Q$5,"")</f>
        <v/>
      </c>
      <c r="X82">
        <f>COUNT(R82:W82)</f>
        <v/>
      </c>
      <c r="Y82" s="68">
        <f>IF(X82&gt;=cfg_li_min_peers,MEDIAN(R82:W82),"")</f>
        <v/>
      </c>
      <c r="Z82" s="68">
        <f>IF(AND(ISNUMBER(R82),ISNUMBER(Y82)),R82/Y82,"")</f>
        <v/>
      </c>
      <c r="AA82" s="68">
        <f>IF(AND(ISNUMBER(S82),ISNUMBER(Y82)),S82/Y82,"")</f>
        <v/>
      </c>
      <c r="AB82" s="68">
        <f>IF(AND(ISNUMBER(T82),ISNUMBER(Y82)),T82/Y82,"")</f>
        <v/>
      </c>
      <c r="AC82" s="68">
        <f>IF(AND(ISNUMBER(U82),ISNUMBER(Y82)),U82/Y82,"")</f>
        <v/>
      </c>
      <c r="AD82" s="68">
        <f>IF(AND(ISNUMBER(V82),ISNUMBER(Y82)),V82/Y82,"")</f>
        <v/>
      </c>
      <c r="AE82" s="68">
        <f>IF(AND(ISNUMBER(W82),ISNUMBER(Y82)),W82/Y82,"")</f>
        <v/>
      </c>
      <c r="AF82" s="68">
        <f>IF(AND(E82=1,ISNUMBER(Z82)),Z82,"")</f>
        <v/>
      </c>
      <c r="AG82" s="68">
        <f>IF(AND(E82=1,ISNUMBER(AA82)),AA82,"")</f>
        <v/>
      </c>
      <c r="AH82" s="68">
        <f>IF(AND(E82=1,ISNUMBER(AB82)),AB82,"")</f>
        <v/>
      </c>
      <c r="AI82" s="68">
        <f>IF(AND(E82=1,ISNUMBER(AC82)),AC82,"")</f>
        <v/>
      </c>
      <c r="AJ82" s="68">
        <f>IF(AND(E82=1,ISNUMBER(AD82)),AD82,"")</f>
        <v/>
      </c>
      <c r="AK82" s="68">
        <f>IF(AND(E82=1,ISNUMBER(AE82)),AE82,"")</f>
        <v/>
      </c>
    </row>
    <row r="83">
      <c r="A83" s="65">
        <f>Raw_Data_LI!A83</f>
        <v/>
      </c>
      <c r="B83" s="66">
        <f>Raw_Data_LI!B83</f>
        <v/>
      </c>
      <c r="C83" s="66">
        <f>Raw_Data_LI!C83</f>
        <v/>
      </c>
      <c r="D83">
        <f>IF(AND(B83&gt;=cfg_li_poa_mid_min,B83&lt;=cfg_li_poa_mid_max),1,0)</f>
        <v/>
      </c>
      <c r="E83">
        <f>IF(AND(B83&gt;=cfg_li_poa_low_min,B83&lt;=cfg_li_poa_low_max,C83&gt;=cfg_li_low_elev_min),1,0)</f>
        <v/>
      </c>
      <c r="F83" s="67">
        <f>IF(Raw_Data_LI!D83="","",Raw_Data_LI!D83/B83)</f>
        <v/>
      </c>
      <c r="G83" s="67">
        <f>IF(Raw_Data_LI!E83="","",Raw_Data_LI!E83/B83)</f>
        <v/>
      </c>
      <c r="H83" s="67">
        <f>IF(Raw_Data_LI!F83="","",Raw_Data_LI!F83/B83)</f>
        <v/>
      </c>
      <c r="I83" s="67">
        <f>IF(Raw_Data_LI!G83="","",Raw_Data_LI!G83/B83)</f>
        <v/>
      </c>
      <c r="J83" s="67">
        <f>IF(Raw_Data_LI!H83="","",Raw_Data_LI!H83/B83)</f>
        <v/>
      </c>
      <c r="K83" s="67">
        <f>IF(Raw_Data_LI!I83="","",Raw_Data_LI!I83/B83)</f>
        <v/>
      </c>
      <c r="L83" s="67">
        <f>IF(AND(D83=1,ISNUMBER(F83),F83&gt;0),F83,"")</f>
        <v/>
      </c>
      <c r="M83" s="67">
        <f>IF(AND(D83=1,ISNUMBER(G83),G83&gt;0),G83,"")</f>
        <v/>
      </c>
      <c r="N83" s="67">
        <f>IF(AND(D83=1,ISNUMBER(H83),H83&gt;0),H83,"")</f>
        <v/>
      </c>
      <c r="O83" s="67">
        <f>IF(AND(D83=1,ISNUMBER(I83),I83&gt;0),I83,"")</f>
        <v/>
      </c>
      <c r="P83" s="67">
        <f>IF(AND(D83=1,ISNUMBER(J83),J83&gt;0),J83,"")</f>
        <v/>
      </c>
      <c r="Q83" s="67">
        <f>IF(AND(D83=1,ISNUMBER(K83),K83&gt;0),K83,"")</f>
        <v/>
      </c>
      <c r="R83" s="68">
        <f>IF(AND(ISNUMBER(F83),L$4&gt;=cfg_li_min_mid_samples),F83/L$5,"")</f>
        <v/>
      </c>
      <c r="S83" s="68">
        <f>IF(AND(ISNUMBER(G83),M$4&gt;=cfg_li_min_mid_samples),G83/M$5,"")</f>
        <v/>
      </c>
      <c r="T83" s="68">
        <f>IF(AND(ISNUMBER(H83),N$4&gt;=cfg_li_min_mid_samples),H83/N$5,"")</f>
        <v/>
      </c>
      <c r="U83" s="68">
        <f>IF(AND(ISNUMBER(I83),O$4&gt;=cfg_li_min_mid_samples),I83/O$5,"")</f>
        <v/>
      </c>
      <c r="V83" s="68">
        <f>IF(AND(ISNUMBER(J83),P$4&gt;=cfg_li_min_mid_samples),J83/P$5,"")</f>
        <v/>
      </c>
      <c r="W83" s="68">
        <f>IF(AND(ISNUMBER(K83),Q$4&gt;=cfg_li_min_mid_samples),K83/Q$5,"")</f>
        <v/>
      </c>
      <c r="X83">
        <f>COUNT(R83:W83)</f>
        <v/>
      </c>
      <c r="Y83" s="68">
        <f>IF(X83&gt;=cfg_li_min_peers,MEDIAN(R83:W83),"")</f>
        <v/>
      </c>
      <c r="Z83" s="68">
        <f>IF(AND(ISNUMBER(R83),ISNUMBER(Y83)),R83/Y83,"")</f>
        <v/>
      </c>
      <c r="AA83" s="68">
        <f>IF(AND(ISNUMBER(S83),ISNUMBER(Y83)),S83/Y83,"")</f>
        <v/>
      </c>
      <c r="AB83" s="68">
        <f>IF(AND(ISNUMBER(T83),ISNUMBER(Y83)),T83/Y83,"")</f>
        <v/>
      </c>
      <c r="AC83" s="68">
        <f>IF(AND(ISNUMBER(U83),ISNUMBER(Y83)),U83/Y83,"")</f>
        <v/>
      </c>
      <c r="AD83" s="68">
        <f>IF(AND(ISNUMBER(V83),ISNUMBER(Y83)),V83/Y83,"")</f>
        <v/>
      </c>
      <c r="AE83" s="68">
        <f>IF(AND(ISNUMBER(W83),ISNUMBER(Y83)),W83/Y83,"")</f>
        <v/>
      </c>
      <c r="AF83" s="68">
        <f>IF(AND(E83=1,ISNUMBER(Z83)),Z83,"")</f>
        <v/>
      </c>
      <c r="AG83" s="68">
        <f>IF(AND(E83=1,ISNUMBER(AA83)),AA83,"")</f>
        <v/>
      </c>
      <c r="AH83" s="68">
        <f>IF(AND(E83=1,ISNUMBER(AB83)),AB83,"")</f>
        <v/>
      </c>
      <c r="AI83" s="68">
        <f>IF(AND(E83=1,ISNUMBER(AC83)),AC83,"")</f>
        <v/>
      </c>
      <c r="AJ83" s="68">
        <f>IF(AND(E83=1,ISNUMBER(AD83)),AD83,"")</f>
        <v/>
      </c>
      <c r="AK83" s="68">
        <f>IF(AND(E83=1,ISNUMBER(AE83)),AE83,"")</f>
        <v/>
      </c>
    </row>
    <row r="84">
      <c r="A84" s="65">
        <f>Raw_Data_LI!A84</f>
        <v/>
      </c>
      <c r="B84" s="66">
        <f>Raw_Data_LI!B84</f>
        <v/>
      </c>
      <c r="C84" s="66">
        <f>Raw_Data_LI!C84</f>
        <v/>
      </c>
      <c r="D84">
        <f>IF(AND(B84&gt;=cfg_li_poa_mid_min,B84&lt;=cfg_li_poa_mid_max),1,0)</f>
        <v/>
      </c>
      <c r="E84">
        <f>IF(AND(B84&gt;=cfg_li_poa_low_min,B84&lt;=cfg_li_poa_low_max,C84&gt;=cfg_li_low_elev_min),1,0)</f>
        <v/>
      </c>
      <c r="F84" s="67">
        <f>IF(Raw_Data_LI!D84="","",Raw_Data_LI!D84/B84)</f>
        <v/>
      </c>
      <c r="G84" s="67">
        <f>IF(Raw_Data_LI!E84="","",Raw_Data_LI!E84/B84)</f>
        <v/>
      </c>
      <c r="H84" s="67">
        <f>IF(Raw_Data_LI!F84="","",Raw_Data_LI!F84/B84)</f>
        <v/>
      </c>
      <c r="I84" s="67">
        <f>IF(Raw_Data_LI!G84="","",Raw_Data_LI!G84/B84)</f>
        <v/>
      </c>
      <c r="J84" s="67">
        <f>IF(Raw_Data_LI!H84="","",Raw_Data_LI!H84/B84)</f>
        <v/>
      </c>
      <c r="K84" s="67">
        <f>IF(Raw_Data_LI!I84="","",Raw_Data_LI!I84/B84)</f>
        <v/>
      </c>
      <c r="L84" s="67">
        <f>IF(AND(D84=1,ISNUMBER(F84),F84&gt;0),F84,"")</f>
        <v/>
      </c>
      <c r="M84" s="67">
        <f>IF(AND(D84=1,ISNUMBER(G84),G84&gt;0),G84,"")</f>
        <v/>
      </c>
      <c r="N84" s="67">
        <f>IF(AND(D84=1,ISNUMBER(H84),H84&gt;0),H84,"")</f>
        <v/>
      </c>
      <c r="O84" s="67">
        <f>IF(AND(D84=1,ISNUMBER(I84),I84&gt;0),I84,"")</f>
        <v/>
      </c>
      <c r="P84" s="67">
        <f>IF(AND(D84=1,ISNUMBER(J84),J84&gt;0),J84,"")</f>
        <v/>
      </c>
      <c r="Q84" s="67">
        <f>IF(AND(D84=1,ISNUMBER(K84),K84&gt;0),K84,"")</f>
        <v/>
      </c>
      <c r="R84" s="68">
        <f>IF(AND(ISNUMBER(F84),L$4&gt;=cfg_li_min_mid_samples),F84/L$5,"")</f>
        <v/>
      </c>
      <c r="S84" s="68">
        <f>IF(AND(ISNUMBER(G84),M$4&gt;=cfg_li_min_mid_samples),G84/M$5,"")</f>
        <v/>
      </c>
      <c r="T84" s="68">
        <f>IF(AND(ISNUMBER(H84),N$4&gt;=cfg_li_min_mid_samples),H84/N$5,"")</f>
        <v/>
      </c>
      <c r="U84" s="68">
        <f>IF(AND(ISNUMBER(I84),O$4&gt;=cfg_li_min_mid_samples),I84/O$5,"")</f>
        <v/>
      </c>
      <c r="V84" s="68">
        <f>IF(AND(ISNUMBER(J84),P$4&gt;=cfg_li_min_mid_samples),J84/P$5,"")</f>
        <v/>
      </c>
      <c r="W84" s="68">
        <f>IF(AND(ISNUMBER(K84),Q$4&gt;=cfg_li_min_mid_samples),K84/Q$5,"")</f>
        <v/>
      </c>
      <c r="X84">
        <f>COUNT(R84:W84)</f>
        <v/>
      </c>
      <c r="Y84" s="68">
        <f>IF(X84&gt;=cfg_li_min_peers,MEDIAN(R84:W84),"")</f>
        <v/>
      </c>
      <c r="Z84" s="68">
        <f>IF(AND(ISNUMBER(R84),ISNUMBER(Y84)),R84/Y84,"")</f>
        <v/>
      </c>
      <c r="AA84" s="68">
        <f>IF(AND(ISNUMBER(S84),ISNUMBER(Y84)),S84/Y84,"")</f>
        <v/>
      </c>
      <c r="AB84" s="68">
        <f>IF(AND(ISNUMBER(T84),ISNUMBER(Y84)),T84/Y84,"")</f>
        <v/>
      </c>
      <c r="AC84" s="68">
        <f>IF(AND(ISNUMBER(U84),ISNUMBER(Y84)),U84/Y84,"")</f>
        <v/>
      </c>
      <c r="AD84" s="68">
        <f>IF(AND(ISNUMBER(V84),ISNUMBER(Y84)),V84/Y84,"")</f>
        <v/>
      </c>
      <c r="AE84" s="68">
        <f>IF(AND(ISNUMBER(W84),ISNUMBER(Y84)),W84/Y84,"")</f>
        <v/>
      </c>
      <c r="AF84" s="68">
        <f>IF(AND(E84=1,ISNUMBER(Z84)),Z84,"")</f>
        <v/>
      </c>
      <c r="AG84" s="68">
        <f>IF(AND(E84=1,ISNUMBER(AA84)),AA84,"")</f>
        <v/>
      </c>
      <c r="AH84" s="68">
        <f>IF(AND(E84=1,ISNUMBER(AB84)),AB84,"")</f>
        <v/>
      </c>
      <c r="AI84" s="68">
        <f>IF(AND(E84=1,ISNUMBER(AC84)),AC84,"")</f>
        <v/>
      </c>
      <c r="AJ84" s="68">
        <f>IF(AND(E84=1,ISNUMBER(AD84)),AD84,"")</f>
        <v/>
      </c>
      <c r="AK84" s="68">
        <f>IF(AND(E84=1,ISNUMBER(AE84)),AE84,"")</f>
        <v/>
      </c>
    </row>
    <row r="85">
      <c r="A85" s="65">
        <f>Raw_Data_LI!A85</f>
        <v/>
      </c>
      <c r="B85" s="66">
        <f>Raw_Data_LI!B85</f>
        <v/>
      </c>
      <c r="C85" s="66">
        <f>Raw_Data_LI!C85</f>
        <v/>
      </c>
      <c r="D85">
        <f>IF(AND(B85&gt;=cfg_li_poa_mid_min,B85&lt;=cfg_li_poa_mid_max),1,0)</f>
        <v/>
      </c>
      <c r="E85">
        <f>IF(AND(B85&gt;=cfg_li_poa_low_min,B85&lt;=cfg_li_poa_low_max,C85&gt;=cfg_li_low_elev_min),1,0)</f>
        <v/>
      </c>
      <c r="F85" s="67">
        <f>IF(Raw_Data_LI!D85="","",Raw_Data_LI!D85/B85)</f>
        <v/>
      </c>
      <c r="G85" s="67">
        <f>IF(Raw_Data_LI!E85="","",Raw_Data_LI!E85/B85)</f>
        <v/>
      </c>
      <c r="H85" s="67">
        <f>IF(Raw_Data_LI!F85="","",Raw_Data_LI!F85/B85)</f>
        <v/>
      </c>
      <c r="I85" s="67">
        <f>IF(Raw_Data_LI!G85="","",Raw_Data_LI!G85/B85)</f>
        <v/>
      </c>
      <c r="J85" s="67">
        <f>IF(Raw_Data_LI!H85="","",Raw_Data_LI!H85/B85)</f>
        <v/>
      </c>
      <c r="K85" s="67">
        <f>IF(Raw_Data_LI!I85="","",Raw_Data_LI!I85/B85)</f>
        <v/>
      </c>
      <c r="L85" s="67">
        <f>IF(AND(D85=1,ISNUMBER(F85),F85&gt;0),F85,"")</f>
        <v/>
      </c>
      <c r="M85" s="67">
        <f>IF(AND(D85=1,ISNUMBER(G85),G85&gt;0),G85,"")</f>
        <v/>
      </c>
      <c r="N85" s="67">
        <f>IF(AND(D85=1,ISNUMBER(H85),H85&gt;0),H85,"")</f>
        <v/>
      </c>
      <c r="O85" s="67">
        <f>IF(AND(D85=1,ISNUMBER(I85),I85&gt;0),I85,"")</f>
        <v/>
      </c>
      <c r="P85" s="67">
        <f>IF(AND(D85=1,ISNUMBER(J85),J85&gt;0),J85,"")</f>
        <v/>
      </c>
      <c r="Q85" s="67">
        <f>IF(AND(D85=1,ISNUMBER(K85),K85&gt;0),K85,"")</f>
        <v/>
      </c>
      <c r="R85" s="68">
        <f>IF(AND(ISNUMBER(F85),L$4&gt;=cfg_li_min_mid_samples),F85/L$5,"")</f>
        <v/>
      </c>
      <c r="S85" s="68">
        <f>IF(AND(ISNUMBER(G85),M$4&gt;=cfg_li_min_mid_samples),G85/M$5,"")</f>
        <v/>
      </c>
      <c r="T85" s="68">
        <f>IF(AND(ISNUMBER(H85),N$4&gt;=cfg_li_min_mid_samples),H85/N$5,"")</f>
        <v/>
      </c>
      <c r="U85" s="68">
        <f>IF(AND(ISNUMBER(I85),O$4&gt;=cfg_li_min_mid_samples),I85/O$5,"")</f>
        <v/>
      </c>
      <c r="V85" s="68">
        <f>IF(AND(ISNUMBER(J85),P$4&gt;=cfg_li_min_mid_samples),J85/P$5,"")</f>
        <v/>
      </c>
      <c r="W85" s="68">
        <f>IF(AND(ISNUMBER(K85),Q$4&gt;=cfg_li_min_mid_samples),K85/Q$5,"")</f>
        <v/>
      </c>
      <c r="X85">
        <f>COUNT(R85:W85)</f>
        <v/>
      </c>
      <c r="Y85" s="68">
        <f>IF(X85&gt;=cfg_li_min_peers,MEDIAN(R85:W85),"")</f>
        <v/>
      </c>
      <c r="Z85" s="68">
        <f>IF(AND(ISNUMBER(R85),ISNUMBER(Y85)),R85/Y85,"")</f>
        <v/>
      </c>
      <c r="AA85" s="68">
        <f>IF(AND(ISNUMBER(S85),ISNUMBER(Y85)),S85/Y85,"")</f>
        <v/>
      </c>
      <c r="AB85" s="68">
        <f>IF(AND(ISNUMBER(T85),ISNUMBER(Y85)),T85/Y85,"")</f>
        <v/>
      </c>
      <c r="AC85" s="68">
        <f>IF(AND(ISNUMBER(U85),ISNUMBER(Y85)),U85/Y85,"")</f>
        <v/>
      </c>
      <c r="AD85" s="68">
        <f>IF(AND(ISNUMBER(V85),ISNUMBER(Y85)),V85/Y85,"")</f>
        <v/>
      </c>
      <c r="AE85" s="68">
        <f>IF(AND(ISNUMBER(W85),ISNUMBER(Y85)),W85/Y85,"")</f>
        <v/>
      </c>
      <c r="AF85" s="68">
        <f>IF(AND(E85=1,ISNUMBER(Z85)),Z85,"")</f>
        <v/>
      </c>
      <c r="AG85" s="68">
        <f>IF(AND(E85=1,ISNUMBER(AA85)),AA85,"")</f>
        <v/>
      </c>
      <c r="AH85" s="68">
        <f>IF(AND(E85=1,ISNUMBER(AB85)),AB85,"")</f>
        <v/>
      </c>
      <c r="AI85" s="68">
        <f>IF(AND(E85=1,ISNUMBER(AC85)),AC85,"")</f>
        <v/>
      </c>
      <c r="AJ85" s="68">
        <f>IF(AND(E85=1,ISNUMBER(AD85)),AD85,"")</f>
        <v/>
      </c>
      <c r="AK85" s="68">
        <f>IF(AND(E85=1,ISNUMBER(AE85)),AE85,"")</f>
        <v/>
      </c>
    </row>
    <row r="86">
      <c r="A86" s="65">
        <f>Raw_Data_LI!A86</f>
        <v/>
      </c>
      <c r="B86" s="66">
        <f>Raw_Data_LI!B86</f>
        <v/>
      </c>
      <c r="C86" s="66">
        <f>Raw_Data_LI!C86</f>
        <v/>
      </c>
      <c r="D86">
        <f>IF(AND(B86&gt;=cfg_li_poa_mid_min,B86&lt;=cfg_li_poa_mid_max),1,0)</f>
        <v/>
      </c>
      <c r="E86">
        <f>IF(AND(B86&gt;=cfg_li_poa_low_min,B86&lt;=cfg_li_poa_low_max,C86&gt;=cfg_li_low_elev_min),1,0)</f>
        <v/>
      </c>
      <c r="F86" s="67">
        <f>IF(Raw_Data_LI!D86="","",Raw_Data_LI!D86/B86)</f>
        <v/>
      </c>
      <c r="G86" s="67">
        <f>IF(Raw_Data_LI!E86="","",Raw_Data_LI!E86/B86)</f>
        <v/>
      </c>
      <c r="H86" s="67">
        <f>IF(Raw_Data_LI!F86="","",Raw_Data_LI!F86/B86)</f>
        <v/>
      </c>
      <c r="I86" s="67">
        <f>IF(Raw_Data_LI!G86="","",Raw_Data_LI!G86/B86)</f>
        <v/>
      </c>
      <c r="J86" s="67">
        <f>IF(Raw_Data_LI!H86="","",Raw_Data_LI!H86/B86)</f>
        <v/>
      </c>
      <c r="K86" s="67">
        <f>IF(Raw_Data_LI!I86="","",Raw_Data_LI!I86/B86)</f>
        <v/>
      </c>
      <c r="L86" s="67">
        <f>IF(AND(D86=1,ISNUMBER(F86),F86&gt;0),F86,"")</f>
        <v/>
      </c>
      <c r="M86" s="67">
        <f>IF(AND(D86=1,ISNUMBER(G86),G86&gt;0),G86,"")</f>
        <v/>
      </c>
      <c r="N86" s="67">
        <f>IF(AND(D86=1,ISNUMBER(H86),H86&gt;0),H86,"")</f>
        <v/>
      </c>
      <c r="O86" s="67">
        <f>IF(AND(D86=1,ISNUMBER(I86),I86&gt;0),I86,"")</f>
        <v/>
      </c>
      <c r="P86" s="67">
        <f>IF(AND(D86=1,ISNUMBER(J86),J86&gt;0),J86,"")</f>
        <v/>
      </c>
      <c r="Q86" s="67">
        <f>IF(AND(D86=1,ISNUMBER(K86),K86&gt;0),K86,"")</f>
        <v/>
      </c>
      <c r="R86" s="68">
        <f>IF(AND(ISNUMBER(F86),L$4&gt;=cfg_li_min_mid_samples),F86/L$5,"")</f>
        <v/>
      </c>
      <c r="S86" s="68">
        <f>IF(AND(ISNUMBER(G86),M$4&gt;=cfg_li_min_mid_samples),G86/M$5,"")</f>
        <v/>
      </c>
      <c r="T86" s="68">
        <f>IF(AND(ISNUMBER(H86),N$4&gt;=cfg_li_min_mid_samples),H86/N$5,"")</f>
        <v/>
      </c>
      <c r="U86" s="68">
        <f>IF(AND(ISNUMBER(I86),O$4&gt;=cfg_li_min_mid_samples),I86/O$5,"")</f>
        <v/>
      </c>
      <c r="V86" s="68">
        <f>IF(AND(ISNUMBER(J86),P$4&gt;=cfg_li_min_mid_samples),J86/P$5,"")</f>
        <v/>
      </c>
      <c r="W86" s="68">
        <f>IF(AND(ISNUMBER(K86),Q$4&gt;=cfg_li_min_mid_samples),K86/Q$5,"")</f>
        <v/>
      </c>
      <c r="X86">
        <f>COUNT(R86:W86)</f>
        <v/>
      </c>
      <c r="Y86" s="68">
        <f>IF(X86&gt;=cfg_li_min_peers,MEDIAN(R86:W86),"")</f>
        <v/>
      </c>
      <c r="Z86" s="68">
        <f>IF(AND(ISNUMBER(R86),ISNUMBER(Y86)),R86/Y86,"")</f>
        <v/>
      </c>
      <c r="AA86" s="68">
        <f>IF(AND(ISNUMBER(S86),ISNUMBER(Y86)),S86/Y86,"")</f>
        <v/>
      </c>
      <c r="AB86" s="68">
        <f>IF(AND(ISNUMBER(T86),ISNUMBER(Y86)),T86/Y86,"")</f>
        <v/>
      </c>
      <c r="AC86" s="68">
        <f>IF(AND(ISNUMBER(U86),ISNUMBER(Y86)),U86/Y86,"")</f>
        <v/>
      </c>
      <c r="AD86" s="68">
        <f>IF(AND(ISNUMBER(V86),ISNUMBER(Y86)),V86/Y86,"")</f>
        <v/>
      </c>
      <c r="AE86" s="68">
        <f>IF(AND(ISNUMBER(W86),ISNUMBER(Y86)),W86/Y86,"")</f>
        <v/>
      </c>
      <c r="AF86" s="68">
        <f>IF(AND(E86=1,ISNUMBER(Z86)),Z86,"")</f>
        <v/>
      </c>
      <c r="AG86" s="68">
        <f>IF(AND(E86=1,ISNUMBER(AA86)),AA86,"")</f>
        <v/>
      </c>
      <c r="AH86" s="68">
        <f>IF(AND(E86=1,ISNUMBER(AB86)),AB86,"")</f>
        <v/>
      </c>
      <c r="AI86" s="68">
        <f>IF(AND(E86=1,ISNUMBER(AC86)),AC86,"")</f>
        <v/>
      </c>
      <c r="AJ86" s="68">
        <f>IF(AND(E86=1,ISNUMBER(AD86)),AD86,"")</f>
        <v/>
      </c>
      <c r="AK86" s="68">
        <f>IF(AND(E86=1,ISNUMBER(AE86)),AE86,"")</f>
        <v/>
      </c>
    </row>
    <row r="87">
      <c r="A87" s="65">
        <f>Raw_Data_LI!A87</f>
        <v/>
      </c>
      <c r="B87" s="66">
        <f>Raw_Data_LI!B87</f>
        <v/>
      </c>
      <c r="C87" s="66">
        <f>Raw_Data_LI!C87</f>
        <v/>
      </c>
      <c r="D87">
        <f>IF(AND(B87&gt;=cfg_li_poa_mid_min,B87&lt;=cfg_li_poa_mid_max),1,0)</f>
        <v/>
      </c>
      <c r="E87">
        <f>IF(AND(B87&gt;=cfg_li_poa_low_min,B87&lt;=cfg_li_poa_low_max,C87&gt;=cfg_li_low_elev_min),1,0)</f>
        <v/>
      </c>
      <c r="F87" s="67">
        <f>IF(Raw_Data_LI!D87="","",Raw_Data_LI!D87/B87)</f>
        <v/>
      </c>
      <c r="G87" s="67">
        <f>IF(Raw_Data_LI!E87="","",Raw_Data_LI!E87/B87)</f>
        <v/>
      </c>
      <c r="H87" s="67">
        <f>IF(Raw_Data_LI!F87="","",Raw_Data_LI!F87/B87)</f>
        <v/>
      </c>
      <c r="I87" s="67">
        <f>IF(Raw_Data_LI!G87="","",Raw_Data_LI!G87/B87)</f>
        <v/>
      </c>
      <c r="J87" s="67">
        <f>IF(Raw_Data_LI!H87="","",Raw_Data_LI!H87/B87)</f>
        <v/>
      </c>
      <c r="K87" s="67">
        <f>IF(Raw_Data_LI!I87="","",Raw_Data_LI!I87/B87)</f>
        <v/>
      </c>
      <c r="L87" s="67">
        <f>IF(AND(D87=1,ISNUMBER(F87),F87&gt;0),F87,"")</f>
        <v/>
      </c>
      <c r="M87" s="67">
        <f>IF(AND(D87=1,ISNUMBER(G87),G87&gt;0),G87,"")</f>
        <v/>
      </c>
      <c r="N87" s="67">
        <f>IF(AND(D87=1,ISNUMBER(H87),H87&gt;0),H87,"")</f>
        <v/>
      </c>
      <c r="O87" s="67">
        <f>IF(AND(D87=1,ISNUMBER(I87),I87&gt;0),I87,"")</f>
        <v/>
      </c>
      <c r="P87" s="67">
        <f>IF(AND(D87=1,ISNUMBER(J87),J87&gt;0),J87,"")</f>
        <v/>
      </c>
      <c r="Q87" s="67">
        <f>IF(AND(D87=1,ISNUMBER(K87),K87&gt;0),K87,"")</f>
        <v/>
      </c>
      <c r="R87" s="68">
        <f>IF(AND(ISNUMBER(F87),L$4&gt;=cfg_li_min_mid_samples),F87/L$5,"")</f>
        <v/>
      </c>
      <c r="S87" s="68">
        <f>IF(AND(ISNUMBER(G87),M$4&gt;=cfg_li_min_mid_samples),G87/M$5,"")</f>
        <v/>
      </c>
      <c r="T87" s="68">
        <f>IF(AND(ISNUMBER(H87),N$4&gt;=cfg_li_min_mid_samples),H87/N$5,"")</f>
        <v/>
      </c>
      <c r="U87" s="68">
        <f>IF(AND(ISNUMBER(I87),O$4&gt;=cfg_li_min_mid_samples),I87/O$5,"")</f>
        <v/>
      </c>
      <c r="V87" s="68">
        <f>IF(AND(ISNUMBER(J87),P$4&gt;=cfg_li_min_mid_samples),J87/P$5,"")</f>
        <v/>
      </c>
      <c r="W87" s="68">
        <f>IF(AND(ISNUMBER(K87),Q$4&gt;=cfg_li_min_mid_samples),K87/Q$5,"")</f>
        <v/>
      </c>
      <c r="X87">
        <f>COUNT(R87:W87)</f>
        <v/>
      </c>
      <c r="Y87" s="68">
        <f>IF(X87&gt;=cfg_li_min_peers,MEDIAN(R87:W87),"")</f>
        <v/>
      </c>
      <c r="Z87" s="68">
        <f>IF(AND(ISNUMBER(R87),ISNUMBER(Y87)),R87/Y87,"")</f>
        <v/>
      </c>
      <c r="AA87" s="68">
        <f>IF(AND(ISNUMBER(S87),ISNUMBER(Y87)),S87/Y87,"")</f>
        <v/>
      </c>
      <c r="AB87" s="68">
        <f>IF(AND(ISNUMBER(T87),ISNUMBER(Y87)),T87/Y87,"")</f>
        <v/>
      </c>
      <c r="AC87" s="68">
        <f>IF(AND(ISNUMBER(U87),ISNUMBER(Y87)),U87/Y87,"")</f>
        <v/>
      </c>
      <c r="AD87" s="68">
        <f>IF(AND(ISNUMBER(V87),ISNUMBER(Y87)),V87/Y87,"")</f>
        <v/>
      </c>
      <c r="AE87" s="68">
        <f>IF(AND(ISNUMBER(W87),ISNUMBER(Y87)),W87/Y87,"")</f>
        <v/>
      </c>
      <c r="AF87" s="68">
        <f>IF(AND(E87=1,ISNUMBER(Z87)),Z87,"")</f>
        <v/>
      </c>
      <c r="AG87" s="68">
        <f>IF(AND(E87=1,ISNUMBER(AA87)),AA87,"")</f>
        <v/>
      </c>
      <c r="AH87" s="68">
        <f>IF(AND(E87=1,ISNUMBER(AB87)),AB87,"")</f>
        <v/>
      </c>
      <c r="AI87" s="68">
        <f>IF(AND(E87=1,ISNUMBER(AC87)),AC87,"")</f>
        <v/>
      </c>
      <c r="AJ87" s="68">
        <f>IF(AND(E87=1,ISNUMBER(AD87)),AD87,"")</f>
        <v/>
      </c>
      <c r="AK87" s="68">
        <f>IF(AND(E87=1,ISNUMBER(AE87)),AE87,"")</f>
        <v/>
      </c>
    </row>
    <row r="88">
      <c r="A88" s="65">
        <f>Raw_Data_LI!A88</f>
        <v/>
      </c>
      <c r="B88" s="66">
        <f>Raw_Data_LI!B88</f>
        <v/>
      </c>
      <c r="C88" s="66">
        <f>Raw_Data_LI!C88</f>
        <v/>
      </c>
      <c r="D88">
        <f>IF(AND(B88&gt;=cfg_li_poa_mid_min,B88&lt;=cfg_li_poa_mid_max),1,0)</f>
        <v/>
      </c>
      <c r="E88">
        <f>IF(AND(B88&gt;=cfg_li_poa_low_min,B88&lt;=cfg_li_poa_low_max,C88&gt;=cfg_li_low_elev_min),1,0)</f>
        <v/>
      </c>
      <c r="F88" s="67">
        <f>IF(Raw_Data_LI!D88="","",Raw_Data_LI!D88/B88)</f>
        <v/>
      </c>
      <c r="G88" s="67">
        <f>IF(Raw_Data_LI!E88="","",Raw_Data_LI!E88/B88)</f>
        <v/>
      </c>
      <c r="H88" s="67">
        <f>IF(Raw_Data_LI!F88="","",Raw_Data_LI!F88/B88)</f>
        <v/>
      </c>
      <c r="I88" s="67">
        <f>IF(Raw_Data_LI!G88="","",Raw_Data_LI!G88/B88)</f>
        <v/>
      </c>
      <c r="J88" s="67">
        <f>IF(Raw_Data_LI!H88="","",Raw_Data_LI!H88/B88)</f>
        <v/>
      </c>
      <c r="K88" s="67">
        <f>IF(Raw_Data_LI!I88="","",Raw_Data_LI!I88/B88)</f>
        <v/>
      </c>
      <c r="L88" s="67">
        <f>IF(AND(D88=1,ISNUMBER(F88),F88&gt;0),F88,"")</f>
        <v/>
      </c>
      <c r="M88" s="67">
        <f>IF(AND(D88=1,ISNUMBER(G88),G88&gt;0),G88,"")</f>
        <v/>
      </c>
      <c r="N88" s="67">
        <f>IF(AND(D88=1,ISNUMBER(H88),H88&gt;0),H88,"")</f>
        <v/>
      </c>
      <c r="O88" s="67">
        <f>IF(AND(D88=1,ISNUMBER(I88),I88&gt;0),I88,"")</f>
        <v/>
      </c>
      <c r="P88" s="67">
        <f>IF(AND(D88=1,ISNUMBER(J88),J88&gt;0),J88,"")</f>
        <v/>
      </c>
      <c r="Q88" s="67">
        <f>IF(AND(D88=1,ISNUMBER(K88),K88&gt;0),K88,"")</f>
        <v/>
      </c>
      <c r="R88" s="68">
        <f>IF(AND(ISNUMBER(F88),L$4&gt;=cfg_li_min_mid_samples),F88/L$5,"")</f>
        <v/>
      </c>
      <c r="S88" s="68">
        <f>IF(AND(ISNUMBER(G88),M$4&gt;=cfg_li_min_mid_samples),G88/M$5,"")</f>
        <v/>
      </c>
      <c r="T88" s="68">
        <f>IF(AND(ISNUMBER(H88),N$4&gt;=cfg_li_min_mid_samples),H88/N$5,"")</f>
        <v/>
      </c>
      <c r="U88" s="68">
        <f>IF(AND(ISNUMBER(I88),O$4&gt;=cfg_li_min_mid_samples),I88/O$5,"")</f>
        <v/>
      </c>
      <c r="V88" s="68">
        <f>IF(AND(ISNUMBER(J88),P$4&gt;=cfg_li_min_mid_samples),J88/P$5,"")</f>
        <v/>
      </c>
      <c r="W88" s="68">
        <f>IF(AND(ISNUMBER(K88),Q$4&gt;=cfg_li_min_mid_samples),K88/Q$5,"")</f>
        <v/>
      </c>
      <c r="X88">
        <f>COUNT(R88:W88)</f>
        <v/>
      </c>
      <c r="Y88" s="68">
        <f>IF(X88&gt;=cfg_li_min_peers,MEDIAN(R88:W88),"")</f>
        <v/>
      </c>
      <c r="Z88" s="68">
        <f>IF(AND(ISNUMBER(R88),ISNUMBER(Y88)),R88/Y88,"")</f>
        <v/>
      </c>
      <c r="AA88" s="68">
        <f>IF(AND(ISNUMBER(S88),ISNUMBER(Y88)),S88/Y88,"")</f>
        <v/>
      </c>
      <c r="AB88" s="68">
        <f>IF(AND(ISNUMBER(T88),ISNUMBER(Y88)),T88/Y88,"")</f>
        <v/>
      </c>
      <c r="AC88" s="68">
        <f>IF(AND(ISNUMBER(U88),ISNUMBER(Y88)),U88/Y88,"")</f>
        <v/>
      </c>
      <c r="AD88" s="68">
        <f>IF(AND(ISNUMBER(V88),ISNUMBER(Y88)),V88/Y88,"")</f>
        <v/>
      </c>
      <c r="AE88" s="68">
        <f>IF(AND(ISNUMBER(W88),ISNUMBER(Y88)),W88/Y88,"")</f>
        <v/>
      </c>
      <c r="AF88" s="68">
        <f>IF(AND(E88=1,ISNUMBER(Z88)),Z88,"")</f>
        <v/>
      </c>
      <c r="AG88" s="68">
        <f>IF(AND(E88=1,ISNUMBER(AA88)),AA88,"")</f>
        <v/>
      </c>
      <c r="AH88" s="68">
        <f>IF(AND(E88=1,ISNUMBER(AB88)),AB88,"")</f>
        <v/>
      </c>
      <c r="AI88" s="68">
        <f>IF(AND(E88=1,ISNUMBER(AC88)),AC88,"")</f>
        <v/>
      </c>
      <c r="AJ88" s="68">
        <f>IF(AND(E88=1,ISNUMBER(AD88)),AD88,"")</f>
        <v/>
      </c>
      <c r="AK88" s="68">
        <f>IF(AND(E88=1,ISNUMBER(AE88)),AE88,"")</f>
        <v/>
      </c>
    </row>
    <row r="89">
      <c r="A89" s="65">
        <f>Raw_Data_LI!A89</f>
        <v/>
      </c>
      <c r="B89" s="66">
        <f>Raw_Data_LI!B89</f>
        <v/>
      </c>
      <c r="C89" s="66">
        <f>Raw_Data_LI!C89</f>
        <v/>
      </c>
      <c r="D89">
        <f>IF(AND(B89&gt;=cfg_li_poa_mid_min,B89&lt;=cfg_li_poa_mid_max),1,0)</f>
        <v/>
      </c>
      <c r="E89">
        <f>IF(AND(B89&gt;=cfg_li_poa_low_min,B89&lt;=cfg_li_poa_low_max,C89&gt;=cfg_li_low_elev_min),1,0)</f>
        <v/>
      </c>
      <c r="F89" s="67">
        <f>IF(Raw_Data_LI!D89="","",Raw_Data_LI!D89/B89)</f>
        <v/>
      </c>
      <c r="G89" s="67">
        <f>IF(Raw_Data_LI!E89="","",Raw_Data_LI!E89/B89)</f>
        <v/>
      </c>
      <c r="H89" s="67">
        <f>IF(Raw_Data_LI!F89="","",Raw_Data_LI!F89/B89)</f>
        <v/>
      </c>
      <c r="I89" s="67">
        <f>IF(Raw_Data_LI!G89="","",Raw_Data_LI!G89/B89)</f>
        <v/>
      </c>
      <c r="J89" s="67">
        <f>IF(Raw_Data_LI!H89="","",Raw_Data_LI!H89/B89)</f>
        <v/>
      </c>
      <c r="K89" s="67">
        <f>IF(Raw_Data_LI!I89="","",Raw_Data_LI!I89/B89)</f>
        <v/>
      </c>
      <c r="L89" s="67">
        <f>IF(AND(D89=1,ISNUMBER(F89),F89&gt;0),F89,"")</f>
        <v/>
      </c>
      <c r="M89" s="67">
        <f>IF(AND(D89=1,ISNUMBER(G89),G89&gt;0),G89,"")</f>
        <v/>
      </c>
      <c r="N89" s="67">
        <f>IF(AND(D89=1,ISNUMBER(H89),H89&gt;0),H89,"")</f>
        <v/>
      </c>
      <c r="O89" s="67">
        <f>IF(AND(D89=1,ISNUMBER(I89),I89&gt;0),I89,"")</f>
        <v/>
      </c>
      <c r="P89" s="67">
        <f>IF(AND(D89=1,ISNUMBER(J89),J89&gt;0),J89,"")</f>
        <v/>
      </c>
      <c r="Q89" s="67">
        <f>IF(AND(D89=1,ISNUMBER(K89),K89&gt;0),K89,"")</f>
        <v/>
      </c>
      <c r="R89" s="68">
        <f>IF(AND(ISNUMBER(F89),L$4&gt;=cfg_li_min_mid_samples),F89/L$5,"")</f>
        <v/>
      </c>
      <c r="S89" s="68">
        <f>IF(AND(ISNUMBER(G89),M$4&gt;=cfg_li_min_mid_samples),G89/M$5,"")</f>
        <v/>
      </c>
      <c r="T89" s="68">
        <f>IF(AND(ISNUMBER(H89),N$4&gt;=cfg_li_min_mid_samples),H89/N$5,"")</f>
        <v/>
      </c>
      <c r="U89" s="68">
        <f>IF(AND(ISNUMBER(I89),O$4&gt;=cfg_li_min_mid_samples),I89/O$5,"")</f>
        <v/>
      </c>
      <c r="V89" s="68">
        <f>IF(AND(ISNUMBER(J89),P$4&gt;=cfg_li_min_mid_samples),J89/P$5,"")</f>
        <v/>
      </c>
      <c r="W89" s="68">
        <f>IF(AND(ISNUMBER(K89),Q$4&gt;=cfg_li_min_mid_samples),K89/Q$5,"")</f>
        <v/>
      </c>
      <c r="X89">
        <f>COUNT(R89:W89)</f>
        <v/>
      </c>
      <c r="Y89" s="68">
        <f>IF(X89&gt;=cfg_li_min_peers,MEDIAN(R89:W89),"")</f>
        <v/>
      </c>
      <c r="Z89" s="68">
        <f>IF(AND(ISNUMBER(R89),ISNUMBER(Y89)),R89/Y89,"")</f>
        <v/>
      </c>
      <c r="AA89" s="68">
        <f>IF(AND(ISNUMBER(S89),ISNUMBER(Y89)),S89/Y89,"")</f>
        <v/>
      </c>
      <c r="AB89" s="68">
        <f>IF(AND(ISNUMBER(T89),ISNUMBER(Y89)),T89/Y89,"")</f>
        <v/>
      </c>
      <c r="AC89" s="68">
        <f>IF(AND(ISNUMBER(U89),ISNUMBER(Y89)),U89/Y89,"")</f>
        <v/>
      </c>
      <c r="AD89" s="68">
        <f>IF(AND(ISNUMBER(V89),ISNUMBER(Y89)),V89/Y89,"")</f>
        <v/>
      </c>
      <c r="AE89" s="68">
        <f>IF(AND(ISNUMBER(W89),ISNUMBER(Y89)),W89/Y89,"")</f>
        <v/>
      </c>
      <c r="AF89" s="68">
        <f>IF(AND(E89=1,ISNUMBER(Z89)),Z89,"")</f>
        <v/>
      </c>
      <c r="AG89" s="68">
        <f>IF(AND(E89=1,ISNUMBER(AA89)),AA89,"")</f>
        <v/>
      </c>
      <c r="AH89" s="68">
        <f>IF(AND(E89=1,ISNUMBER(AB89)),AB89,"")</f>
        <v/>
      </c>
      <c r="AI89" s="68">
        <f>IF(AND(E89=1,ISNUMBER(AC89)),AC89,"")</f>
        <v/>
      </c>
      <c r="AJ89" s="68">
        <f>IF(AND(E89=1,ISNUMBER(AD89)),AD89,"")</f>
        <v/>
      </c>
      <c r="AK89" s="68">
        <f>IF(AND(E89=1,ISNUMBER(AE89)),AE89,"")</f>
        <v/>
      </c>
    </row>
    <row r="90">
      <c r="A90" s="65">
        <f>Raw_Data_LI!A90</f>
        <v/>
      </c>
      <c r="B90" s="66">
        <f>Raw_Data_LI!B90</f>
        <v/>
      </c>
      <c r="C90" s="66">
        <f>Raw_Data_LI!C90</f>
        <v/>
      </c>
      <c r="D90">
        <f>IF(AND(B90&gt;=cfg_li_poa_mid_min,B90&lt;=cfg_li_poa_mid_max),1,0)</f>
        <v/>
      </c>
      <c r="E90">
        <f>IF(AND(B90&gt;=cfg_li_poa_low_min,B90&lt;=cfg_li_poa_low_max,C90&gt;=cfg_li_low_elev_min),1,0)</f>
        <v/>
      </c>
      <c r="F90" s="67">
        <f>IF(Raw_Data_LI!D90="","",Raw_Data_LI!D90/B90)</f>
        <v/>
      </c>
      <c r="G90" s="67">
        <f>IF(Raw_Data_LI!E90="","",Raw_Data_LI!E90/B90)</f>
        <v/>
      </c>
      <c r="H90" s="67">
        <f>IF(Raw_Data_LI!F90="","",Raw_Data_LI!F90/B90)</f>
        <v/>
      </c>
      <c r="I90" s="67">
        <f>IF(Raw_Data_LI!G90="","",Raw_Data_LI!G90/B90)</f>
        <v/>
      </c>
      <c r="J90" s="67">
        <f>IF(Raw_Data_LI!H90="","",Raw_Data_LI!H90/B90)</f>
        <v/>
      </c>
      <c r="K90" s="67">
        <f>IF(Raw_Data_LI!I90="","",Raw_Data_LI!I90/B90)</f>
        <v/>
      </c>
      <c r="L90" s="67">
        <f>IF(AND(D90=1,ISNUMBER(F90),F90&gt;0),F90,"")</f>
        <v/>
      </c>
      <c r="M90" s="67">
        <f>IF(AND(D90=1,ISNUMBER(G90),G90&gt;0),G90,"")</f>
        <v/>
      </c>
      <c r="N90" s="67">
        <f>IF(AND(D90=1,ISNUMBER(H90),H90&gt;0),H90,"")</f>
        <v/>
      </c>
      <c r="O90" s="67">
        <f>IF(AND(D90=1,ISNUMBER(I90),I90&gt;0),I90,"")</f>
        <v/>
      </c>
      <c r="P90" s="67">
        <f>IF(AND(D90=1,ISNUMBER(J90),J90&gt;0),J90,"")</f>
        <v/>
      </c>
      <c r="Q90" s="67">
        <f>IF(AND(D90=1,ISNUMBER(K90),K90&gt;0),K90,"")</f>
        <v/>
      </c>
      <c r="R90" s="68">
        <f>IF(AND(ISNUMBER(F90),L$4&gt;=cfg_li_min_mid_samples),F90/L$5,"")</f>
        <v/>
      </c>
      <c r="S90" s="68">
        <f>IF(AND(ISNUMBER(G90),M$4&gt;=cfg_li_min_mid_samples),G90/M$5,"")</f>
        <v/>
      </c>
      <c r="T90" s="68">
        <f>IF(AND(ISNUMBER(H90),N$4&gt;=cfg_li_min_mid_samples),H90/N$5,"")</f>
        <v/>
      </c>
      <c r="U90" s="68">
        <f>IF(AND(ISNUMBER(I90),O$4&gt;=cfg_li_min_mid_samples),I90/O$5,"")</f>
        <v/>
      </c>
      <c r="V90" s="68">
        <f>IF(AND(ISNUMBER(J90),P$4&gt;=cfg_li_min_mid_samples),J90/P$5,"")</f>
        <v/>
      </c>
      <c r="W90" s="68">
        <f>IF(AND(ISNUMBER(K90),Q$4&gt;=cfg_li_min_mid_samples),K90/Q$5,"")</f>
        <v/>
      </c>
      <c r="X90">
        <f>COUNT(R90:W90)</f>
        <v/>
      </c>
      <c r="Y90" s="68">
        <f>IF(X90&gt;=cfg_li_min_peers,MEDIAN(R90:W90),"")</f>
        <v/>
      </c>
      <c r="Z90" s="68">
        <f>IF(AND(ISNUMBER(R90),ISNUMBER(Y90)),R90/Y90,"")</f>
        <v/>
      </c>
      <c r="AA90" s="68">
        <f>IF(AND(ISNUMBER(S90),ISNUMBER(Y90)),S90/Y90,"")</f>
        <v/>
      </c>
      <c r="AB90" s="68">
        <f>IF(AND(ISNUMBER(T90),ISNUMBER(Y90)),T90/Y90,"")</f>
        <v/>
      </c>
      <c r="AC90" s="68">
        <f>IF(AND(ISNUMBER(U90),ISNUMBER(Y90)),U90/Y90,"")</f>
        <v/>
      </c>
      <c r="AD90" s="68">
        <f>IF(AND(ISNUMBER(V90),ISNUMBER(Y90)),V90/Y90,"")</f>
        <v/>
      </c>
      <c r="AE90" s="68">
        <f>IF(AND(ISNUMBER(W90),ISNUMBER(Y90)),W90/Y90,"")</f>
        <v/>
      </c>
      <c r="AF90" s="68">
        <f>IF(AND(E90=1,ISNUMBER(Z90)),Z90,"")</f>
        <v/>
      </c>
      <c r="AG90" s="68">
        <f>IF(AND(E90=1,ISNUMBER(AA90)),AA90,"")</f>
        <v/>
      </c>
      <c r="AH90" s="68">
        <f>IF(AND(E90=1,ISNUMBER(AB90)),AB90,"")</f>
        <v/>
      </c>
      <c r="AI90" s="68">
        <f>IF(AND(E90=1,ISNUMBER(AC90)),AC90,"")</f>
        <v/>
      </c>
      <c r="AJ90" s="68">
        <f>IF(AND(E90=1,ISNUMBER(AD90)),AD90,"")</f>
        <v/>
      </c>
      <c r="AK90" s="68">
        <f>IF(AND(E90=1,ISNUMBER(AE90)),AE90,"")</f>
        <v/>
      </c>
    </row>
    <row r="91">
      <c r="A91" s="65">
        <f>Raw_Data_LI!A91</f>
        <v/>
      </c>
      <c r="B91" s="66">
        <f>Raw_Data_LI!B91</f>
        <v/>
      </c>
      <c r="C91" s="66">
        <f>Raw_Data_LI!C91</f>
        <v/>
      </c>
      <c r="D91">
        <f>IF(AND(B91&gt;=cfg_li_poa_mid_min,B91&lt;=cfg_li_poa_mid_max),1,0)</f>
        <v/>
      </c>
      <c r="E91">
        <f>IF(AND(B91&gt;=cfg_li_poa_low_min,B91&lt;=cfg_li_poa_low_max,C91&gt;=cfg_li_low_elev_min),1,0)</f>
        <v/>
      </c>
      <c r="F91" s="67">
        <f>IF(Raw_Data_LI!D91="","",Raw_Data_LI!D91/B91)</f>
        <v/>
      </c>
      <c r="G91" s="67">
        <f>IF(Raw_Data_LI!E91="","",Raw_Data_LI!E91/B91)</f>
        <v/>
      </c>
      <c r="H91" s="67">
        <f>IF(Raw_Data_LI!F91="","",Raw_Data_LI!F91/B91)</f>
        <v/>
      </c>
      <c r="I91" s="67">
        <f>IF(Raw_Data_LI!G91="","",Raw_Data_LI!G91/B91)</f>
        <v/>
      </c>
      <c r="J91" s="67">
        <f>IF(Raw_Data_LI!H91="","",Raw_Data_LI!H91/B91)</f>
        <v/>
      </c>
      <c r="K91" s="67">
        <f>IF(Raw_Data_LI!I91="","",Raw_Data_LI!I91/B91)</f>
        <v/>
      </c>
      <c r="L91" s="67">
        <f>IF(AND(D91=1,ISNUMBER(F91),F91&gt;0),F91,"")</f>
        <v/>
      </c>
      <c r="M91" s="67">
        <f>IF(AND(D91=1,ISNUMBER(G91),G91&gt;0),G91,"")</f>
        <v/>
      </c>
      <c r="N91" s="67">
        <f>IF(AND(D91=1,ISNUMBER(H91),H91&gt;0),H91,"")</f>
        <v/>
      </c>
      <c r="O91" s="67">
        <f>IF(AND(D91=1,ISNUMBER(I91),I91&gt;0),I91,"")</f>
        <v/>
      </c>
      <c r="P91" s="67">
        <f>IF(AND(D91=1,ISNUMBER(J91),J91&gt;0),J91,"")</f>
        <v/>
      </c>
      <c r="Q91" s="67">
        <f>IF(AND(D91=1,ISNUMBER(K91),K91&gt;0),K91,"")</f>
        <v/>
      </c>
      <c r="R91" s="68">
        <f>IF(AND(ISNUMBER(F91),L$4&gt;=cfg_li_min_mid_samples),F91/L$5,"")</f>
        <v/>
      </c>
      <c r="S91" s="68">
        <f>IF(AND(ISNUMBER(G91),M$4&gt;=cfg_li_min_mid_samples),G91/M$5,"")</f>
        <v/>
      </c>
      <c r="T91" s="68">
        <f>IF(AND(ISNUMBER(H91),N$4&gt;=cfg_li_min_mid_samples),H91/N$5,"")</f>
        <v/>
      </c>
      <c r="U91" s="68">
        <f>IF(AND(ISNUMBER(I91),O$4&gt;=cfg_li_min_mid_samples),I91/O$5,"")</f>
        <v/>
      </c>
      <c r="V91" s="68">
        <f>IF(AND(ISNUMBER(J91),P$4&gt;=cfg_li_min_mid_samples),J91/P$5,"")</f>
        <v/>
      </c>
      <c r="W91" s="68">
        <f>IF(AND(ISNUMBER(K91),Q$4&gt;=cfg_li_min_mid_samples),K91/Q$5,"")</f>
        <v/>
      </c>
      <c r="X91">
        <f>COUNT(R91:W91)</f>
        <v/>
      </c>
      <c r="Y91" s="68">
        <f>IF(X91&gt;=cfg_li_min_peers,MEDIAN(R91:W91),"")</f>
        <v/>
      </c>
      <c r="Z91" s="68">
        <f>IF(AND(ISNUMBER(R91),ISNUMBER(Y91)),R91/Y91,"")</f>
        <v/>
      </c>
      <c r="AA91" s="68">
        <f>IF(AND(ISNUMBER(S91),ISNUMBER(Y91)),S91/Y91,"")</f>
        <v/>
      </c>
      <c r="AB91" s="68">
        <f>IF(AND(ISNUMBER(T91),ISNUMBER(Y91)),T91/Y91,"")</f>
        <v/>
      </c>
      <c r="AC91" s="68">
        <f>IF(AND(ISNUMBER(U91),ISNUMBER(Y91)),U91/Y91,"")</f>
        <v/>
      </c>
      <c r="AD91" s="68">
        <f>IF(AND(ISNUMBER(V91),ISNUMBER(Y91)),V91/Y91,"")</f>
        <v/>
      </c>
      <c r="AE91" s="68">
        <f>IF(AND(ISNUMBER(W91),ISNUMBER(Y91)),W91/Y91,"")</f>
        <v/>
      </c>
      <c r="AF91" s="68">
        <f>IF(AND(E91=1,ISNUMBER(Z91)),Z91,"")</f>
        <v/>
      </c>
      <c r="AG91" s="68">
        <f>IF(AND(E91=1,ISNUMBER(AA91)),AA91,"")</f>
        <v/>
      </c>
      <c r="AH91" s="68">
        <f>IF(AND(E91=1,ISNUMBER(AB91)),AB91,"")</f>
        <v/>
      </c>
      <c r="AI91" s="68">
        <f>IF(AND(E91=1,ISNUMBER(AC91)),AC91,"")</f>
        <v/>
      </c>
      <c r="AJ91" s="68">
        <f>IF(AND(E91=1,ISNUMBER(AD91)),AD91,"")</f>
        <v/>
      </c>
      <c r="AK91" s="68">
        <f>IF(AND(E91=1,ISNUMBER(AE91)),AE91,"")</f>
        <v/>
      </c>
    </row>
    <row r="92">
      <c r="A92" s="65">
        <f>Raw_Data_LI!A92</f>
        <v/>
      </c>
      <c r="B92" s="66">
        <f>Raw_Data_LI!B92</f>
        <v/>
      </c>
      <c r="C92" s="66">
        <f>Raw_Data_LI!C92</f>
        <v/>
      </c>
      <c r="D92">
        <f>IF(AND(B92&gt;=cfg_li_poa_mid_min,B92&lt;=cfg_li_poa_mid_max),1,0)</f>
        <v/>
      </c>
      <c r="E92">
        <f>IF(AND(B92&gt;=cfg_li_poa_low_min,B92&lt;=cfg_li_poa_low_max,C92&gt;=cfg_li_low_elev_min),1,0)</f>
        <v/>
      </c>
      <c r="F92" s="67">
        <f>IF(Raw_Data_LI!D92="","",Raw_Data_LI!D92/B92)</f>
        <v/>
      </c>
      <c r="G92" s="67">
        <f>IF(Raw_Data_LI!E92="","",Raw_Data_LI!E92/B92)</f>
        <v/>
      </c>
      <c r="H92" s="67">
        <f>IF(Raw_Data_LI!F92="","",Raw_Data_LI!F92/B92)</f>
        <v/>
      </c>
      <c r="I92" s="67">
        <f>IF(Raw_Data_LI!G92="","",Raw_Data_LI!G92/B92)</f>
        <v/>
      </c>
      <c r="J92" s="67">
        <f>IF(Raw_Data_LI!H92="","",Raw_Data_LI!H92/B92)</f>
        <v/>
      </c>
      <c r="K92" s="67">
        <f>IF(Raw_Data_LI!I92="","",Raw_Data_LI!I92/B92)</f>
        <v/>
      </c>
      <c r="L92" s="67">
        <f>IF(AND(D92=1,ISNUMBER(F92),F92&gt;0),F92,"")</f>
        <v/>
      </c>
      <c r="M92" s="67">
        <f>IF(AND(D92=1,ISNUMBER(G92),G92&gt;0),G92,"")</f>
        <v/>
      </c>
      <c r="N92" s="67">
        <f>IF(AND(D92=1,ISNUMBER(H92),H92&gt;0),H92,"")</f>
        <v/>
      </c>
      <c r="O92" s="67">
        <f>IF(AND(D92=1,ISNUMBER(I92),I92&gt;0),I92,"")</f>
        <v/>
      </c>
      <c r="P92" s="67">
        <f>IF(AND(D92=1,ISNUMBER(J92),J92&gt;0),J92,"")</f>
        <v/>
      </c>
      <c r="Q92" s="67">
        <f>IF(AND(D92=1,ISNUMBER(K92),K92&gt;0),K92,"")</f>
        <v/>
      </c>
      <c r="R92" s="68">
        <f>IF(AND(ISNUMBER(F92),L$4&gt;=cfg_li_min_mid_samples),F92/L$5,"")</f>
        <v/>
      </c>
      <c r="S92" s="68">
        <f>IF(AND(ISNUMBER(G92),M$4&gt;=cfg_li_min_mid_samples),G92/M$5,"")</f>
        <v/>
      </c>
      <c r="T92" s="68">
        <f>IF(AND(ISNUMBER(H92),N$4&gt;=cfg_li_min_mid_samples),H92/N$5,"")</f>
        <v/>
      </c>
      <c r="U92" s="68">
        <f>IF(AND(ISNUMBER(I92),O$4&gt;=cfg_li_min_mid_samples),I92/O$5,"")</f>
        <v/>
      </c>
      <c r="V92" s="68">
        <f>IF(AND(ISNUMBER(J92),P$4&gt;=cfg_li_min_mid_samples),J92/P$5,"")</f>
        <v/>
      </c>
      <c r="W92" s="68">
        <f>IF(AND(ISNUMBER(K92),Q$4&gt;=cfg_li_min_mid_samples),K92/Q$5,"")</f>
        <v/>
      </c>
      <c r="X92">
        <f>COUNT(R92:W92)</f>
        <v/>
      </c>
      <c r="Y92" s="68">
        <f>IF(X92&gt;=cfg_li_min_peers,MEDIAN(R92:W92),"")</f>
        <v/>
      </c>
      <c r="Z92" s="68">
        <f>IF(AND(ISNUMBER(R92),ISNUMBER(Y92)),R92/Y92,"")</f>
        <v/>
      </c>
      <c r="AA92" s="68">
        <f>IF(AND(ISNUMBER(S92),ISNUMBER(Y92)),S92/Y92,"")</f>
        <v/>
      </c>
      <c r="AB92" s="68">
        <f>IF(AND(ISNUMBER(T92),ISNUMBER(Y92)),T92/Y92,"")</f>
        <v/>
      </c>
      <c r="AC92" s="68">
        <f>IF(AND(ISNUMBER(U92),ISNUMBER(Y92)),U92/Y92,"")</f>
        <v/>
      </c>
      <c r="AD92" s="68">
        <f>IF(AND(ISNUMBER(V92),ISNUMBER(Y92)),V92/Y92,"")</f>
        <v/>
      </c>
      <c r="AE92" s="68">
        <f>IF(AND(ISNUMBER(W92),ISNUMBER(Y92)),W92/Y92,"")</f>
        <v/>
      </c>
      <c r="AF92" s="68">
        <f>IF(AND(E92=1,ISNUMBER(Z92)),Z92,"")</f>
        <v/>
      </c>
      <c r="AG92" s="68">
        <f>IF(AND(E92=1,ISNUMBER(AA92)),AA92,"")</f>
        <v/>
      </c>
      <c r="AH92" s="68">
        <f>IF(AND(E92=1,ISNUMBER(AB92)),AB92,"")</f>
        <v/>
      </c>
      <c r="AI92" s="68">
        <f>IF(AND(E92=1,ISNUMBER(AC92)),AC92,"")</f>
        <v/>
      </c>
      <c r="AJ92" s="68">
        <f>IF(AND(E92=1,ISNUMBER(AD92)),AD92,"")</f>
        <v/>
      </c>
      <c r="AK92" s="68">
        <f>IF(AND(E92=1,ISNUMBER(AE92)),AE92,"")</f>
        <v/>
      </c>
    </row>
    <row r="93">
      <c r="A93" s="65">
        <f>Raw_Data_LI!A93</f>
        <v/>
      </c>
      <c r="B93" s="66">
        <f>Raw_Data_LI!B93</f>
        <v/>
      </c>
      <c r="C93" s="66">
        <f>Raw_Data_LI!C93</f>
        <v/>
      </c>
      <c r="D93">
        <f>IF(AND(B93&gt;=cfg_li_poa_mid_min,B93&lt;=cfg_li_poa_mid_max),1,0)</f>
        <v/>
      </c>
      <c r="E93">
        <f>IF(AND(B93&gt;=cfg_li_poa_low_min,B93&lt;=cfg_li_poa_low_max,C93&gt;=cfg_li_low_elev_min),1,0)</f>
        <v/>
      </c>
      <c r="F93" s="67">
        <f>IF(Raw_Data_LI!D93="","",Raw_Data_LI!D93/B93)</f>
        <v/>
      </c>
      <c r="G93" s="67">
        <f>IF(Raw_Data_LI!E93="","",Raw_Data_LI!E93/B93)</f>
        <v/>
      </c>
      <c r="H93" s="67">
        <f>IF(Raw_Data_LI!F93="","",Raw_Data_LI!F93/B93)</f>
        <v/>
      </c>
      <c r="I93" s="67">
        <f>IF(Raw_Data_LI!G93="","",Raw_Data_LI!G93/B93)</f>
        <v/>
      </c>
      <c r="J93" s="67">
        <f>IF(Raw_Data_LI!H93="","",Raw_Data_LI!H93/B93)</f>
        <v/>
      </c>
      <c r="K93" s="67">
        <f>IF(Raw_Data_LI!I93="","",Raw_Data_LI!I93/B93)</f>
        <v/>
      </c>
      <c r="L93" s="67">
        <f>IF(AND(D93=1,ISNUMBER(F93),F93&gt;0),F93,"")</f>
        <v/>
      </c>
      <c r="M93" s="67">
        <f>IF(AND(D93=1,ISNUMBER(G93),G93&gt;0),G93,"")</f>
        <v/>
      </c>
      <c r="N93" s="67">
        <f>IF(AND(D93=1,ISNUMBER(H93),H93&gt;0),H93,"")</f>
        <v/>
      </c>
      <c r="O93" s="67">
        <f>IF(AND(D93=1,ISNUMBER(I93),I93&gt;0),I93,"")</f>
        <v/>
      </c>
      <c r="P93" s="67">
        <f>IF(AND(D93=1,ISNUMBER(J93),J93&gt;0),J93,"")</f>
        <v/>
      </c>
      <c r="Q93" s="67">
        <f>IF(AND(D93=1,ISNUMBER(K93),K93&gt;0),K93,"")</f>
        <v/>
      </c>
      <c r="R93" s="68">
        <f>IF(AND(ISNUMBER(F93),L$4&gt;=cfg_li_min_mid_samples),F93/L$5,"")</f>
        <v/>
      </c>
      <c r="S93" s="68">
        <f>IF(AND(ISNUMBER(G93),M$4&gt;=cfg_li_min_mid_samples),G93/M$5,"")</f>
        <v/>
      </c>
      <c r="T93" s="68">
        <f>IF(AND(ISNUMBER(H93),N$4&gt;=cfg_li_min_mid_samples),H93/N$5,"")</f>
        <v/>
      </c>
      <c r="U93" s="68">
        <f>IF(AND(ISNUMBER(I93),O$4&gt;=cfg_li_min_mid_samples),I93/O$5,"")</f>
        <v/>
      </c>
      <c r="V93" s="68">
        <f>IF(AND(ISNUMBER(J93),P$4&gt;=cfg_li_min_mid_samples),J93/P$5,"")</f>
        <v/>
      </c>
      <c r="W93" s="68">
        <f>IF(AND(ISNUMBER(K93),Q$4&gt;=cfg_li_min_mid_samples),K93/Q$5,"")</f>
        <v/>
      </c>
      <c r="X93">
        <f>COUNT(R93:W93)</f>
        <v/>
      </c>
      <c r="Y93" s="68">
        <f>IF(X93&gt;=cfg_li_min_peers,MEDIAN(R93:W93),"")</f>
        <v/>
      </c>
      <c r="Z93" s="68">
        <f>IF(AND(ISNUMBER(R93),ISNUMBER(Y93)),R93/Y93,"")</f>
        <v/>
      </c>
      <c r="AA93" s="68">
        <f>IF(AND(ISNUMBER(S93),ISNUMBER(Y93)),S93/Y93,"")</f>
        <v/>
      </c>
      <c r="AB93" s="68">
        <f>IF(AND(ISNUMBER(T93),ISNUMBER(Y93)),T93/Y93,"")</f>
        <v/>
      </c>
      <c r="AC93" s="68">
        <f>IF(AND(ISNUMBER(U93),ISNUMBER(Y93)),U93/Y93,"")</f>
        <v/>
      </c>
      <c r="AD93" s="68">
        <f>IF(AND(ISNUMBER(V93),ISNUMBER(Y93)),V93/Y93,"")</f>
        <v/>
      </c>
      <c r="AE93" s="68">
        <f>IF(AND(ISNUMBER(W93),ISNUMBER(Y93)),W93/Y93,"")</f>
        <v/>
      </c>
      <c r="AF93" s="68">
        <f>IF(AND(E93=1,ISNUMBER(Z93)),Z93,"")</f>
        <v/>
      </c>
      <c r="AG93" s="68">
        <f>IF(AND(E93=1,ISNUMBER(AA93)),AA93,"")</f>
        <v/>
      </c>
      <c r="AH93" s="68">
        <f>IF(AND(E93=1,ISNUMBER(AB93)),AB93,"")</f>
        <v/>
      </c>
      <c r="AI93" s="68">
        <f>IF(AND(E93=1,ISNUMBER(AC93)),AC93,"")</f>
        <v/>
      </c>
      <c r="AJ93" s="68">
        <f>IF(AND(E93=1,ISNUMBER(AD93)),AD93,"")</f>
        <v/>
      </c>
      <c r="AK93" s="68">
        <f>IF(AND(E93=1,ISNUMBER(AE93)),AE93,"")</f>
        <v/>
      </c>
    </row>
    <row r="94">
      <c r="A94" s="65">
        <f>Raw_Data_LI!A94</f>
        <v/>
      </c>
      <c r="B94" s="66">
        <f>Raw_Data_LI!B94</f>
        <v/>
      </c>
      <c r="C94" s="66">
        <f>Raw_Data_LI!C94</f>
        <v/>
      </c>
      <c r="D94">
        <f>IF(AND(B94&gt;=cfg_li_poa_mid_min,B94&lt;=cfg_li_poa_mid_max),1,0)</f>
        <v/>
      </c>
      <c r="E94">
        <f>IF(AND(B94&gt;=cfg_li_poa_low_min,B94&lt;=cfg_li_poa_low_max,C94&gt;=cfg_li_low_elev_min),1,0)</f>
        <v/>
      </c>
      <c r="F94" s="67">
        <f>IF(Raw_Data_LI!D94="","",Raw_Data_LI!D94/B94)</f>
        <v/>
      </c>
      <c r="G94" s="67">
        <f>IF(Raw_Data_LI!E94="","",Raw_Data_LI!E94/B94)</f>
        <v/>
      </c>
      <c r="H94" s="67">
        <f>IF(Raw_Data_LI!F94="","",Raw_Data_LI!F94/B94)</f>
        <v/>
      </c>
      <c r="I94" s="67">
        <f>IF(Raw_Data_LI!G94="","",Raw_Data_LI!G94/B94)</f>
        <v/>
      </c>
      <c r="J94" s="67">
        <f>IF(Raw_Data_LI!H94="","",Raw_Data_LI!H94/B94)</f>
        <v/>
      </c>
      <c r="K94" s="67">
        <f>IF(Raw_Data_LI!I94="","",Raw_Data_LI!I94/B94)</f>
        <v/>
      </c>
      <c r="L94" s="67">
        <f>IF(AND(D94=1,ISNUMBER(F94),F94&gt;0),F94,"")</f>
        <v/>
      </c>
      <c r="M94" s="67">
        <f>IF(AND(D94=1,ISNUMBER(G94),G94&gt;0),G94,"")</f>
        <v/>
      </c>
      <c r="N94" s="67">
        <f>IF(AND(D94=1,ISNUMBER(H94),H94&gt;0),H94,"")</f>
        <v/>
      </c>
      <c r="O94" s="67">
        <f>IF(AND(D94=1,ISNUMBER(I94),I94&gt;0),I94,"")</f>
        <v/>
      </c>
      <c r="P94" s="67">
        <f>IF(AND(D94=1,ISNUMBER(J94),J94&gt;0),J94,"")</f>
        <v/>
      </c>
      <c r="Q94" s="67">
        <f>IF(AND(D94=1,ISNUMBER(K94),K94&gt;0),K94,"")</f>
        <v/>
      </c>
      <c r="R94" s="68">
        <f>IF(AND(ISNUMBER(F94),L$4&gt;=cfg_li_min_mid_samples),F94/L$5,"")</f>
        <v/>
      </c>
      <c r="S94" s="68">
        <f>IF(AND(ISNUMBER(G94),M$4&gt;=cfg_li_min_mid_samples),G94/M$5,"")</f>
        <v/>
      </c>
      <c r="T94" s="68">
        <f>IF(AND(ISNUMBER(H94),N$4&gt;=cfg_li_min_mid_samples),H94/N$5,"")</f>
        <v/>
      </c>
      <c r="U94" s="68">
        <f>IF(AND(ISNUMBER(I94),O$4&gt;=cfg_li_min_mid_samples),I94/O$5,"")</f>
        <v/>
      </c>
      <c r="V94" s="68">
        <f>IF(AND(ISNUMBER(J94),P$4&gt;=cfg_li_min_mid_samples),J94/P$5,"")</f>
        <v/>
      </c>
      <c r="W94" s="68">
        <f>IF(AND(ISNUMBER(K94),Q$4&gt;=cfg_li_min_mid_samples),K94/Q$5,"")</f>
        <v/>
      </c>
      <c r="X94">
        <f>COUNT(R94:W94)</f>
        <v/>
      </c>
      <c r="Y94" s="68">
        <f>IF(X94&gt;=cfg_li_min_peers,MEDIAN(R94:W94),"")</f>
        <v/>
      </c>
      <c r="Z94" s="68">
        <f>IF(AND(ISNUMBER(R94),ISNUMBER(Y94)),R94/Y94,"")</f>
        <v/>
      </c>
      <c r="AA94" s="68">
        <f>IF(AND(ISNUMBER(S94),ISNUMBER(Y94)),S94/Y94,"")</f>
        <v/>
      </c>
      <c r="AB94" s="68">
        <f>IF(AND(ISNUMBER(T94),ISNUMBER(Y94)),T94/Y94,"")</f>
        <v/>
      </c>
      <c r="AC94" s="68">
        <f>IF(AND(ISNUMBER(U94),ISNUMBER(Y94)),U94/Y94,"")</f>
        <v/>
      </c>
      <c r="AD94" s="68">
        <f>IF(AND(ISNUMBER(V94),ISNUMBER(Y94)),V94/Y94,"")</f>
        <v/>
      </c>
      <c r="AE94" s="68">
        <f>IF(AND(ISNUMBER(W94),ISNUMBER(Y94)),W94/Y94,"")</f>
        <v/>
      </c>
      <c r="AF94" s="68">
        <f>IF(AND(E94=1,ISNUMBER(Z94)),Z94,"")</f>
        <v/>
      </c>
      <c r="AG94" s="68">
        <f>IF(AND(E94=1,ISNUMBER(AA94)),AA94,"")</f>
        <v/>
      </c>
      <c r="AH94" s="68">
        <f>IF(AND(E94=1,ISNUMBER(AB94)),AB94,"")</f>
        <v/>
      </c>
      <c r="AI94" s="68">
        <f>IF(AND(E94=1,ISNUMBER(AC94)),AC94,"")</f>
        <v/>
      </c>
      <c r="AJ94" s="68">
        <f>IF(AND(E94=1,ISNUMBER(AD94)),AD94,"")</f>
        <v/>
      </c>
      <c r="AK94" s="68">
        <f>IF(AND(E94=1,ISNUMBER(AE94)),AE94,"")</f>
        <v/>
      </c>
    </row>
    <row r="95">
      <c r="A95" s="65">
        <f>Raw_Data_LI!A95</f>
        <v/>
      </c>
      <c r="B95" s="66">
        <f>Raw_Data_LI!B95</f>
        <v/>
      </c>
      <c r="C95" s="66">
        <f>Raw_Data_LI!C95</f>
        <v/>
      </c>
      <c r="D95">
        <f>IF(AND(B95&gt;=cfg_li_poa_mid_min,B95&lt;=cfg_li_poa_mid_max),1,0)</f>
        <v/>
      </c>
      <c r="E95">
        <f>IF(AND(B95&gt;=cfg_li_poa_low_min,B95&lt;=cfg_li_poa_low_max,C95&gt;=cfg_li_low_elev_min),1,0)</f>
        <v/>
      </c>
      <c r="F95" s="67">
        <f>IF(Raw_Data_LI!D95="","",Raw_Data_LI!D95/B95)</f>
        <v/>
      </c>
      <c r="G95" s="67">
        <f>IF(Raw_Data_LI!E95="","",Raw_Data_LI!E95/B95)</f>
        <v/>
      </c>
      <c r="H95" s="67">
        <f>IF(Raw_Data_LI!F95="","",Raw_Data_LI!F95/B95)</f>
        <v/>
      </c>
      <c r="I95" s="67">
        <f>IF(Raw_Data_LI!G95="","",Raw_Data_LI!G95/B95)</f>
        <v/>
      </c>
      <c r="J95" s="67">
        <f>IF(Raw_Data_LI!H95="","",Raw_Data_LI!H95/B95)</f>
        <v/>
      </c>
      <c r="K95" s="67">
        <f>IF(Raw_Data_LI!I95="","",Raw_Data_LI!I95/B95)</f>
        <v/>
      </c>
      <c r="L95" s="67">
        <f>IF(AND(D95=1,ISNUMBER(F95),F95&gt;0),F95,"")</f>
        <v/>
      </c>
      <c r="M95" s="67">
        <f>IF(AND(D95=1,ISNUMBER(G95),G95&gt;0),G95,"")</f>
        <v/>
      </c>
      <c r="N95" s="67">
        <f>IF(AND(D95=1,ISNUMBER(H95),H95&gt;0),H95,"")</f>
        <v/>
      </c>
      <c r="O95" s="67">
        <f>IF(AND(D95=1,ISNUMBER(I95),I95&gt;0),I95,"")</f>
        <v/>
      </c>
      <c r="P95" s="67">
        <f>IF(AND(D95=1,ISNUMBER(J95),J95&gt;0),J95,"")</f>
        <v/>
      </c>
      <c r="Q95" s="67">
        <f>IF(AND(D95=1,ISNUMBER(K95),K95&gt;0),K95,"")</f>
        <v/>
      </c>
      <c r="R95" s="68">
        <f>IF(AND(ISNUMBER(F95),L$4&gt;=cfg_li_min_mid_samples),F95/L$5,"")</f>
        <v/>
      </c>
      <c r="S95" s="68">
        <f>IF(AND(ISNUMBER(G95),M$4&gt;=cfg_li_min_mid_samples),G95/M$5,"")</f>
        <v/>
      </c>
      <c r="T95" s="68">
        <f>IF(AND(ISNUMBER(H95),N$4&gt;=cfg_li_min_mid_samples),H95/N$5,"")</f>
        <v/>
      </c>
      <c r="U95" s="68">
        <f>IF(AND(ISNUMBER(I95),O$4&gt;=cfg_li_min_mid_samples),I95/O$5,"")</f>
        <v/>
      </c>
      <c r="V95" s="68">
        <f>IF(AND(ISNUMBER(J95),P$4&gt;=cfg_li_min_mid_samples),J95/P$5,"")</f>
        <v/>
      </c>
      <c r="W95" s="68">
        <f>IF(AND(ISNUMBER(K95),Q$4&gt;=cfg_li_min_mid_samples),K95/Q$5,"")</f>
        <v/>
      </c>
      <c r="X95">
        <f>COUNT(R95:W95)</f>
        <v/>
      </c>
      <c r="Y95" s="68">
        <f>IF(X95&gt;=cfg_li_min_peers,MEDIAN(R95:W95),"")</f>
        <v/>
      </c>
      <c r="Z95" s="68">
        <f>IF(AND(ISNUMBER(R95),ISNUMBER(Y95)),R95/Y95,"")</f>
        <v/>
      </c>
      <c r="AA95" s="68">
        <f>IF(AND(ISNUMBER(S95),ISNUMBER(Y95)),S95/Y95,"")</f>
        <v/>
      </c>
      <c r="AB95" s="68">
        <f>IF(AND(ISNUMBER(T95),ISNUMBER(Y95)),T95/Y95,"")</f>
        <v/>
      </c>
      <c r="AC95" s="68">
        <f>IF(AND(ISNUMBER(U95),ISNUMBER(Y95)),U95/Y95,"")</f>
        <v/>
      </c>
      <c r="AD95" s="68">
        <f>IF(AND(ISNUMBER(V95),ISNUMBER(Y95)),V95/Y95,"")</f>
        <v/>
      </c>
      <c r="AE95" s="68">
        <f>IF(AND(ISNUMBER(W95),ISNUMBER(Y95)),W95/Y95,"")</f>
        <v/>
      </c>
      <c r="AF95" s="68">
        <f>IF(AND(E95=1,ISNUMBER(Z95)),Z95,"")</f>
        <v/>
      </c>
      <c r="AG95" s="68">
        <f>IF(AND(E95=1,ISNUMBER(AA95)),AA95,"")</f>
        <v/>
      </c>
      <c r="AH95" s="68">
        <f>IF(AND(E95=1,ISNUMBER(AB95)),AB95,"")</f>
        <v/>
      </c>
      <c r="AI95" s="68">
        <f>IF(AND(E95=1,ISNUMBER(AC95)),AC95,"")</f>
        <v/>
      </c>
      <c r="AJ95" s="68">
        <f>IF(AND(E95=1,ISNUMBER(AD95)),AD95,"")</f>
        <v/>
      </c>
      <c r="AK95" s="68">
        <f>IF(AND(E95=1,ISNUMBER(AE95)),AE95,"")</f>
        <v/>
      </c>
    </row>
    <row r="96">
      <c r="A96" s="65">
        <f>Raw_Data_LI!A96</f>
        <v/>
      </c>
      <c r="B96" s="66">
        <f>Raw_Data_LI!B96</f>
        <v/>
      </c>
      <c r="C96" s="66">
        <f>Raw_Data_LI!C96</f>
        <v/>
      </c>
      <c r="D96">
        <f>IF(AND(B96&gt;=cfg_li_poa_mid_min,B96&lt;=cfg_li_poa_mid_max),1,0)</f>
        <v/>
      </c>
      <c r="E96">
        <f>IF(AND(B96&gt;=cfg_li_poa_low_min,B96&lt;=cfg_li_poa_low_max,C96&gt;=cfg_li_low_elev_min),1,0)</f>
        <v/>
      </c>
      <c r="F96" s="67">
        <f>IF(Raw_Data_LI!D96="","",Raw_Data_LI!D96/B96)</f>
        <v/>
      </c>
      <c r="G96" s="67">
        <f>IF(Raw_Data_LI!E96="","",Raw_Data_LI!E96/B96)</f>
        <v/>
      </c>
      <c r="H96" s="67">
        <f>IF(Raw_Data_LI!F96="","",Raw_Data_LI!F96/B96)</f>
        <v/>
      </c>
      <c r="I96" s="67">
        <f>IF(Raw_Data_LI!G96="","",Raw_Data_LI!G96/B96)</f>
        <v/>
      </c>
      <c r="J96" s="67">
        <f>IF(Raw_Data_LI!H96="","",Raw_Data_LI!H96/B96)</f>
        <v/>
      </c>
      <c r="K96" s="67">
        <f>IF(Raw_Data_LI!I96="","",Raw_Data_LI!I96/B96)</f>
        <v/>
      </c>
      <c r="L96" s="67">
        <f>IF(AND(D96=1,ISNUMBER(F96),F96&gt;0),F96,"")</f>
        <v/>
      </c>
      <c r="M96" s="67">
        <f>IF(AND(D96=1,ISNUMBER(G96),G96&gt;0),G96,"")</f>
        <v/>
      </c>
      <c r="N96" s="67">
        <f>IF(AND(D96=1,ISNUMBER(H96),H96&gt;0),H96,"")</f>
        <v/>
      </c>
      <c r="O96" s="67">
        <f>IF(AND(D96=1,ISNUMBER(I96),I96&gt;0),I96,"")</f>
        <v/>
      </c>
      <c r="P96" s="67">
        <f>IF(AND(D96=1,ISNUMBER(J96),J96&gt;0),J96,"")</f>
        <v/>
      </c>
      <c r="Q96" s="67">
        <f>IF(AND(D96=1,ISNUMBER(K96),K96&gt;0),K96,"")</f>
        <v/>
      </c>
      <c r="R96" s="68">
        <f>IF(AND(ISNUMBER(F96),L$4&gt;=cfg_li_min_mid_samples),F96/L$5,"")</f>
        <v/>
      </c>
      <c r="S96" s="68">
        <f>IF(AND(ISNUMBER(G96),M$4&gt;=cfg_li_min_mid_samples),G96/M$5,"")</f>
        <v/>
      </c>
      <c r="T96" s="68">
        <f>IF(AND(ISNUMBER(H96),N$4&gt;=cfg_li_min_mid_samples),H96/N$5,"")</f>
        <v/>
      </c>
      <c r="U96" s="68">
        <f>IF(AND(ISNUMBER(I96),O$4&gt;=cfg_li_min_mid_samples),I96/O$5,"")</f>
        <v/>
      </c>
      <c r="V96" s="68">
        <f>IF(AND(ISNUMBER(J96),P$4&gt;=cfg_li_min_mid_samples),J96/P$5,"")</f>
        <v/>
      </c>
      <c r="W96" s="68">
        <f>IF(AND(ISNUMBER(K96),Q$4&gt;=cfg_li_min_mid_samples),K96/Q$5,"")</f>
        <v/>
      </c>
      <c r="X96">
        <f>COUNT(R96:W96)</f>
        <v/>
      </c>
      <c r="Y96" s="68">
        <f>IF(X96&gt;=cfg_li_min_peers,MEDIAN(R96:W96),"")</f>
        <v/>
      </c>
      <c r="Z96" s="68">
        <f>IF(AND(ISNUMBER(R96),ISNUMBER(Y96)),R96/Y96,"")</f>
        <v/>
      </c>
      <c r="AA96" s="68">
        <f>IF(AND(ISNUMBER(S96),ISNUMBER(Y96)),S96/Y96,"")</f>
        <v/>
      </c>
      <c r="AB96" s="68">
        <f>IF(AND(ISNUMBER(T96),ISNUMBER(Y96)),T96/Y96,"")</f>
        <v/>
      </c>
      <c r="AC96" s="68">
        <f>IF(AND(ISNUMBER(U96),ISNUMBER(Y96)),U96/Y96,"")</f>
        <v/>
      </c>
      <c r="AD96" s="68">
        <f>IF(AND(ISNUMBER(V96),ISNUMBER(Y96)),V96/Y96,"")</f>
        <v/>
      </c>
      <c r="AE96" s="68">
        <f>IF(AND(ISNUMBER(W96),ISNUMBER(Y96)),W96/Y96,"")</f>
        <v/>
      </c>
      <c r="AF96" s="68">
        <f>IF(AND(E96=1,ISNUMBER(Z96)),Z96,"")</f>
        <v/>
      </c>
      <c r="AG96" s="68">
        <f>IF(AND(E96=1,ISNUMBER(AA96)),AA96,"")</f>
        <v/>
      </c>
      <c r="AH96" s="68">
        <f>IF(AND(E96=1,ISNUMBER(AB96)),AB96,"")</f>
        <v/>
      </c>
      <c r="AI96" s="68">
        <f>IF(AND(E96=1,ISNUMBER(AC96)),AC96,"")</f>
        <v/>
      </c>
      <c r="AJ96" s="68">
        <f>IF(AND(E96=1,ISNUMBER(AD96)),AD96,"")</f>
        <v/>
      </c>
      <c r="AK96" s="68">
        <f>IF(AND(E96=1,ISNUMBER(AE96)),AE96,"")</f>
        <v/>
      </c>
    </row>
    <row r="97">
      <c r="A97" s="65">
        <f>Raw_Data_LI!A97</f>
        <v/>
      </c>
      <c r="B97" s="66">
        <f>Raw_Data_LI!B97</f>
        <v/>
      </c>
      <c r="C97" s="66">
        <f>Raw_Data_LI!C97</f>
        <v/>
      </c>
      <c r="D97">
        <f>IF(AND(B97&gt;=cfg_li_poa_mid_min,B97&lt;=cfg_li_poa_mid_max),1,0)</f>
        <v/>
      </c>
      <c r="E97">
        <f>IF(AND(B97&gt;=cfg_li_poa_low_min,B97&lt;=cfg_li_poa_low_max,C97&gt;=cfg_li_low_elev_min),1,0)</f>
        <v/>
      </c>
      <c r="F97" s="67">
        <f>IF(Raw_Data_LI!D97="","",Raw_Data_LI!D97/B97)</f>
        <v/>
      </c>
      <c r="G97" s="67">
        <f>IF(Raw_Data_LI!E97="","",Raw_Data_LI!E97/B97)</f>
        <v/>
      </c>
      <c r="H97" s="67">
        <f>IF(Raw_Data_LI!F97="","",Raw_Data_LI!F97/B97)</f>
        <v/>
      </c>
      <c r="I97" s="67">
        <f>IF(Raw_Data_LI!G97="","",Raw_Data_LI!G97/B97)</f>
        <v/>
      </c>
      <c r="J97" s="67">
        <f>IF(Raw_Data_LI!H97="","",Raw_Data_LI!H97/B97)</f>
        <v/>
      </c>
      <c r="K97" s="67">
        <f>IF(Raw_Data_LI!I97="","",Raw_Data_LI!I97/B97)</f>
        <v/>
      </c>
      <c r="L97" s="67">
        <f>IF(AND(D97=1,ISNUMBER(F97),F97&gt;0),F97,"")</f>
        <v/>
      </c>
      <c r="M97" s="67">
        <f>IF(AND(D97=1,ISNUMBER(G97),G97&gt;0),G97,"")</f>
        <v/>
      </c>
      <c r="N97" s="67">
        <f>IF(AND(D97=1,ISNUMBER(H97),H97&gt;0),H97,"")</f>
        <v/>
      </c>
      <c r="O97" s="67">
        <f>IF(AND(D97=1,ISNUMBER(I97),I97&gt;0),I97,"")</f>
        <v/>
      </c>
      <c r="P97" s="67">
        <f>IF(AND(D97=1,ISNUMBER(J97),J97&gt;0),J97,"")</f>
        <v/>
      </c>
      <c r="Q97" s="67">
        <f>IF(AND(D97=1,ISNUMBER(K97),K97&gt;0),K97,"")</f>
        <v/>
      </c>
      <c r="R97" s="68">
        <f>IF(AND(ISNUMBER(F97),L$4&gt;=cfg_li_min_mid_samples),F97/L$5,"")</f>
        <v/>
      </c>
      <c r="S97" s="68">
        <f>IF(AND(ISNUMBER(G97),M$4&gt;=cfg_li_min_mid_samples),G97/M$5,"")</f>
        <v/>
      </c>
      <c r="T97" s="68">
        <f>IF(AND(ISNUMBER(H97),N$4&gt;=cfg_li_min_mid_samples),H97/N$5,"")</f>
        <v/>
      </c>
      <c r="U97" s="68">
        <f>IF(AND(ISNUMBER(I97),O$4&gt;=cfg_li_min_mid_samples),I97/O$5,"")</f>
        <v/>
      </c>
      <c r="V97" s="68">
        <f>IF(AND(ISNUMBER(J97),P$4&gt;=cfg_li_min_mid_samples),J97/P$5,"")</f>
        <v/>
      </c>
      <c r="W97" s="68">
        <f>IF(AND(ISNUMBER(K97),Q$4&gt;=cfg_li_min_mid_samples),K97/Q$5,"")</f>
        <v/>
      </c>
      <c r="X97">
        <f>COUNT(R97:W97)</f>
        <v/>
      </c>
      <c r="Y97" s="68">
        <f>IF(X97&gt;=cfg_li_min_peers,MEDIAN(R97:W97),"")</f>
        <v/>
      </c>
      <c r="Z97" s="68">
        <f>IF(AND(ISNUMBER(R97),ISNUMBER(Y97)),R97/Y97,"")</f>
        <v/>
      </c>
      <c r="AA97" s="68">
        <f>IF(AND(ISNUMBER(S97),ISNUMBER(Y97)),S97/Y97,"")</f>
        <v/>
      </c>
      <c r="AB97" s="68">
        <f>IF(AND(ISNUMBER(T97),ISNUMBER(Y97)),T97/Y97,"")</f>
        <v/>
      </c>
      <c r="AC97" s="68">
        <f>IF(AND(ISNUMBER(U97),ISNUMBER(Y97)),U97/Y97,"")</f>
        <v/>
      </c>
      <c r="AD97" s="68">
        <f>IF(AND(ISNUMBER(V97),ISNUMBER(Y97)),V97/Y97,"")</f>
        <v/>
      </c>
      <c r="AE97" s="68">
        <f>IF(AND(ISNUMBER(W97),ISNUMBER(Y97)),W97/Y97,"")</f>
        <v/>
      </c>
      <c r="AF97" s="68">
        <f>IF(AND(E97=1,ISNUMBER(Z97)),Z97,"")</f>
        <v/>
      </c>
      <c r="AG97" s="68">
        <f>IF(AND(E97=1,ISNUMBER(AA97)),AA97,"")</f>
        <v/>
      </c>
      <c r="AH97" s="68">
        <f>IF(AND(E97=1,ISNUMBER(AB97)),AB97,"")</f>
        <v/>
      </c>
      <c r="AI97" s="68">
        <f>IF(AND(E97=1,ISNUMBER(AC97)),AC97,"")</f>
        <v/>
      </c>
      <c r="AJ97" s="68">
        <f>IF(AND(E97=1,ISNUMBER(AD97)),AD97,"")</f>
        <v/>
      </c>
      <c r="AK97" s="68">
        <f>IF(AND(E97=1,ISNUMBER(AE97)),AE97,"")</f>
        <v/>
      </c>
    </row>
    <row r="98">
      <c r="A98" s="65">
        <f>Raw_Data_LI!A98</f>
        <v/>
      </c>
      <c r="B98" s="66">
        <f>Raw_Data_LI!B98</f>
        <v/>
      </c>
      <c r="C98" s="66">
        <f>Raw_Data_LI!C98</f>
        <v/>
      </c>
      <c r="D98">
        <f>IF(AND(B98&gt;=cfg_li_poa_mid_min,B98&lt;=cfg_li_poa_mid_max),1,0)</f>
        <v/>
      </c>
      <c r="E98">
        <f>IF(AND(B98&gt;=cfg_li_poa_low_min,B98&lt;=cfg_li_poa_low_max,C98&gt;=cfg_li_low_elev_min),1,0)</f>
        <v/>
      </c>
      <c r="F98" s="67">
        <f>IF(Raw_Data_LI!D98="","",Raw_Data_LI!D98/B98)</f>
        <v/>
      </c>
      <c r="G98" s="67">
        <f>IF(Raw_Data_LI!E98="","",Raw_Data_LI!E98/B98)</f>
        <v/>
      </c>
      <c r="H98" s="67">
        <f>IF(Raw_Data_LI!F98="","",Raw_Data_LI!F98/B98)</f>
        <v/>
      </c>
      <c r="I98" s="67">
        <f>IF(Raw_Data_LI!G98="","",Raw_Data_LI!G98/B98)</f>
        <v/>
      </c>
      <c r="J98" s="67">
        <f>IF(Raw_Data_LI!H98="","",Raw_Data_LI!H98/B98)</f>
        <v/>
      </c>
      <c r="K98" s="67">
        <f>IF(Raw_Data_LI!I98="","",Raw_Data_LI!I98/B98)</f>
        <v/>
      </c>
      <c r="L98" s="67">
        <f>IF(AND(D98=1,ISNUMBER(F98),F98&gt;0),F98,"")</f>
        <v/>
      </c>
      <c r="M98" s="67">
        <f>IF(AND(D98=1,ISNUMBER(G98),G98&gt;0),G98,"")</f>
        <v/>
      </c>
      <c r="N98" s="67">
        <f>IF(AND(D98=1,ISNUMBER(H98),H98&gt;0),H98,"")</f>
        <v/>
      </c>
      <c r="O98" s="67">
        <f>IF(AND(D98=1,ISNUMBER(I98),I98&gt;0),I98,"")</f>
        <v/>
      </c>
      <c r="P98" s="67">
        <f>IF(AND(D98=1,ISNUMBER(J98),J98&gt;0),J98,"")</f>
        <v/>
      </c>
      <c r="Q98" s="67">
        <f>IF(AND(D98=1,ISNUMBER(K98),K98&gt;0),K98,"")</f>
        <v/>
      </c>
      <c r="R98" s="68">
        <f>IF(AND(ISNUMBER(F98),L$4&gt;=cfg_li_min_mid_samples),F98/L$5,"")</f>
        <v/>
      </c>
      <c r="S98" s="68">
        <f>IF(AND(ISNUMBER(G98),M$4&gt;=cfg_li_min_mid_samples),G98/M$5,"")</f>
        <v/>
      </c>
      <c r="T98" s="68">
        <f>IF(AND(ISNUMBER(H98),N$4&gt;=cfg_li_min_mid_samples),H98/N$5,"")</f>
        <v/>
      </c>
      <c r="U98" s="68">
        <f>IF(AND(ISNUMBER(I98),O$4&gt;=cfg_li_min_mid_samples),I98/O$5,"")</f>
        <v/>
      </c>
      <c r="V98" s="68">
        <f>IF(AND(ISNUMBER(J98),P$4&gt;=cfg_li_min_mid_samples),J98/P$5,"")</f>
        <v/>
      </c>
      <c r="W98" s="68">
        <f>IF(AND(ISNUMBER(K98),Q$4&gt;=cfg_li_min_mid_samples),K98/Q$5,"")</f>
        <v/>
      </c>
      <c r="X98">
        <f>COUNT(R98:W98)</f>
        <v/>
      </c>
      <c r="Y98" s="68">
        <f>IF(X98&gt;=cfg_li_min_peers,MEDIAN(R98:W98),"")</f>
        <v/>
      </c>
      <c r="Z98" s="68">
        <f>IF(AND(ISNUMBER(R98),ISNUMBER(Y98)),R98/Y98,"")</f>
        <v/>
      </c>
      <c r="AA98" s="68">
        <f>IF(AND(ISNUMBER(S98),ISNUMBER(Y98)),S98/Y98,"")</f>
        <v/>
      </c>
      <c r="AB98" s="68">
        <f>IF(AND(ISNUMBER(T98),ISNUMBER(Y98)),T98/Y98,"")</f>
        <v/>
      </c>
      <c r="AC98" s="68">
        <f>IF(AND(ISNUMBER(U98),ISNUMBER(Y98)),U98/Y98,"")</f>
        <v/>
      </c>
      <c r="AD98" s="68">
        <f>IF(AND(ISNUMBER(V98),ISNUMBER(Y98)),V98/Y98,"")</f>
        <v/>
      </c>
      <c r="AE98" s="68">
        <f>IF(AND(ISNUMBER(W98),ISNUMBER(Y98)),W98/Y98,"")</f>
        <v/>
      </c>
      <c r="AF98" s="68">
        <f>IF(AND(E98=1,ISNUMBER(Z98)),Z98,"")</f>
        <v/>
      </c>
      <c r="AG98" s="68">
        <f>IF(AND(E98=1,ISNUMBER(AA98)),AA98,"")</f>
        <v/>
      </c>
      <c r="AH98" s="68">
        <f>IF(AND(E98=1,ISNUMBER(AB98)),AB98,"")</f>
        <v/>
      </c>
      <c r="AI98" s="68">
        <f>IF(AND(E98=1,ISNUMBER(AC98)),AC98,"")</f>
        <v/>
      </c>
      <c r="AJ98" s="68">
        <f>IF(AND(E98=1,ISNUMBER(AD98)),AD98,"")</f>
        <v/>
      </c>
      <c r="AK98" s="68">
        <f>IF(AND(E98=1,ISNUMBER(AE98)),AE98,"")</f>
        <v/>
      </c>
    </row>
    <row r="99">
      <c r="A99" s="65">
        <f>Raw_Data_LI!A99</f>
        <v/>
      </c>
      <c r="B99" s="66">
        <f>Raw_Data_LI!B99</f>
        <v/>
      </c>
      <c r="C99" s="66">
        <f>Raw_Data_LI!C99</f>
        <v/>
      </c>
      <c r="D99">
        <f>IF(AND(B99&gt;=cfg_li_poa_mid_min,B99&lt;=cfg_li_poa_mid_max),1,0)</f>
        <v/>
      </c>
      <c r="E99">
        <f>IF(AND(B99&gt;=cfg_li_poa_low_min,B99&lt;=cfg_li_poa_low_max,C99&gt;=cfg_li_low_elev_min),1,0)</f>
        <v/>
      </c>
      <c r="F99" s="67">
        <f>IF(Raw_Data_LI!D99="","",Raw_Data_LI!D99/B99)</f>
        <v/>
      </c>
      <c r="G99" s="67">
        <f>IF(Raw_Data_LI!E99="","",Raw_Data_LI!E99/B99)</f>
        <v/>
      </c>
      <c r="H99" s="67">
        <f>IF(Raw_Data_LI!F99="","",Raw_Data_LI!F99/B99)</f>
        <v/>
      </c>
      <c r="I99" s="67">
        <f>IF(Raw_Data_LI!G99="","",Raw_Data_LI!G99/B99)</f>
        <v/>
      </c>
      <c r="J99" s="67">
        <f>IF(Raw_Data_LI!H99="","",Raw_Data_LI!H99/B99)</f>
        <v/>
      </c>
      <c r="K99" s="67">
        <f>IF(Raw_Data_LI!I99="","",Raw_Data_LI!I99/B99)</f>
        <v/>
      </c>
      <c r="L99" s="67">
        <f>IF(AND(D99=1,ISNUMBER(F99),F99&gt;0),F99,"")</f>
        <v/>
      </c>
      <c r="M99" s="67">
        <f>IF(AND(D99=1,ISNUMBER(G99),G99&gt;0),G99,"")</f>
        <v/>
      </c>
      <c r="N99" s="67">
        <f>IF(AND(D99=1,ISNUMBER(H99),H99&gt;0),H99,"")</f>
        <v/>
      </c>
      <c r="O99" s="67">
        <f>IF(AND(D99=1,ISNUMBER(I99),I99&gt;0),I99,"")</f>
        <v/>
      </c>
      <c r="P99" s="67">
        <f>IF(AND(D99=1,ISNUMBER(J99),J99&gt;0),J99,"")</f>
        <v/>
      </c>
      <c r="Q99" s="67">
        <f>IF(AND(D99=1,ISNUMBER(K99),K99&gt;0),K99,"")</f>
        <v/>
      </c>
      <c r="R99" s="68">
        <f>IF(AND(ISNUMBER(F99),L$4&gt;=cfg_li_min_mid_samples),F99/L$5,"")</f>
        <v/>
      </c>
      <c r="S99" s="68">
        <f>IF(AND(ISNUMBER(G99),M$4&gt;=cfg_li_min_mid_samples),G99/M$5,"")</f>
        <v/>
      </c>
      <c r="T99" s="68">
        <f>IF(AND(ISNUMBER(H99),N$4&gt;=cfg_li_min_mid_samples),H99/N$5,"")</f>
        <v/>
      </c>
      <c r="U99" s="68">
        <f>IF(AND(ISNUMBER(I99),O$4&gt;=cfg_li_min_mid_samples),I99/O$5,"")</f>
        <v/>
      </c>
      <c r="V99" s="68">
        <f>IF(AND(ISNUMBER(J99),P$4&gt;=cfg_li_min_mid_samples),J99/P$5,"")</f>
        <v/>
      </c>
      <c r="W99" s="68">
        <f>IF(AND(ISNUMBER(K99),Q$4&gt;=cfg_li_min_mid_samples),K99/Q$5,"")</f>
        <v/>
      </c>
      <c r="X99">
        <f>COUNT(R99:W99)</f>
        <v/>
      </c>
      <c r="Y99" s="68">
        <f>IF(X99&gt;=cfg_li_min_peers,MEDIAN(R99:W99),"")</f>
        <v/>
      </c>
      <c r="Z99" s="68">
        <f>IF(AND(ISNUMBER(R99),ISNUMBER(Y99)),R99/Y99,"")</f>
        <v/>
      </c>
      <c r="AA99" s="68">
        <f>IF(AND(ISNUMBER(S99),ISNUMBER(Y99)),S99/Y99,"")</f>
        <v/>
      </c>
      <c r="AB99" s="68">
        <f>IF(AND(ISNUMBER(T99),ISNUMBER(Y99)),T99/Y99,"")</f>
        <v/>
      </c>
      <c r="AC99" s="68">
        <f>IF(AND(ISNUMBER(U99),ISNUMBER(Y99)),U99/Y99,"")</f>
        <v/>
      </c>
      <c r="AD99" s="68">
        <f>IF(AND(ISNUMBER(V99),ISNUMBER(Y99)),V99/Y99,"")</f>
        <v/>
      </c>
      <c r="AE99" s="68">
        <f>IF(AND(ISNUMBER(W99),ISNUMBER(Y99)),W99/Y99,"")</f>
        <v/>
      </c>
      <c r="AF99" s="68">
        <f>IF(AND(E99=1,ISNUMBER(Z99)),Z99,"")</f>
        <v/>
      </c>
      <c r="AG99" s="68">
        <f>IF(AND(E99=1,ISNUMBER(AA99)),AA99,"")</f>
        <v/>
      </c>
      <c r="AH99" s="68">
        <f>IF(AND(E99=1,ISNUMBER(AB99)),AB99,"")</f>
        <v/>
      </c>
      <c r="AI99" s="68">
        <f>IF(AND(E99=1,ISNUMBER(AC99)),AC99,"")</f>
        <v/>
      </c>
      <c r="AJ99" s="68">
        <f>IF(AND(E99=1,ISNUMBER(AD99)),AD99,"")</f>
        <v/>
      </c>
      <c r="AK99" s="68">
        <f>IF(AND(E99=1,ISNUMBER(AE99)),AE99,"")</f>
        <v/>
      </c>
    </row>
    <row r="100">
      <c r="A100" s="65">
        <f>Raw_Data_LI!A100</f>
        <v/>
      </c>
      <c r="B100" s="66">
        <f>Raw_Data_LI!B100</f>
        <v/>
      </c>
      <c r="C100" s="66">
        <f>Raw_Data_LI!C100</f>
        <v/>
      </c>
      <c r="D100">
        <f>IF(AND(B100&gt;=cfg_li_poa_mid_min,B100&lt;=cfg_li_poa_mid_max),1,0)</f>
        <v/>
      </c>
      <c r="E100">
        <f>IF(AND(B100&gt;=cfg_li_poa_low_min,B100&lt;=cfg_li_poa_low_max,C100&gt;=cfg_li_low_elev_min),1,0)</f>
        <v/>
      </c>
      <c r="F100" s="67">
        <f>IF(Raw_Data_LI!D100="","",Raw_Data_LI!D100/B100)</f>
        <v/>
      </c>
      <c r="G100" s="67">
        <f>IF(Raw_Data_LI!E100="","",Raw_Data_LI!E100/B100)</f>
        <v/>
      </c>
      <c r="H100" s="67">
        <f>IF(Raw_Data_LI!F100="","",Raw_Data_LI!F100/B100)</f>
        <v/>
      </c>
      <c r="I100" s="67">
        <f>IF(Raw_Data_LI!G100="","",Raw_Data_LI!G100/B100)</f>
        <v/>
      </c>
      <c r="J100" s="67">
        <f>IF(Raw_Data_LI!H100="","",Raw_Data_LI!H100/B100)</f>
        <v/>
      </c>
      <c r="K100" s="67">
        <f>IF(Raw_Data_LI!I100="","",Raw_Data_LI!I100/B100)</f>
        <v/>
      </c>
      <c r="L100" s="67">
        <f>IF(AND(D100=1,ISNUMBER(F100),F100&gt;0),F100,"")</f>
        <v/>
      </c>
      <c r="M100" s="67">
        <f>IF(AND(D100=1,ISNUMBER(G100),G100&gt;0),G100,"")</f>
        <v/>
      </c>
      <c r="N100" s="67">
        <f>IF(AND(D100=1,ISNUMBER(H100),H100&gt;0),H100,"")</f>
        <v/>
      </c>
      <c r="O100" s="67">
        <f>IF(AND(D100=1,ISNUMBER(I100),I100&gt;0),I100,"")</f>
        <v/>
      </c>
      <c r="P100" s="67">
        <f>IF(AND(D100=1,ISNUMBER(J100),J100&gt;0),J100,"")</f>
        <v/>
      </c>
      <c r="Q100" s="67">
        <f>IF(AND(D100=1,ISNUMBER(K100),K100&gt;0),K100,"")</f>
        <v/>
      </c>
      <c r="R100" s="68">
        <f>IF(AND(ISNUMBER(F100),L$4&gt;=cfg_li_min_mid_samples),F100/L$5,"")</f>
        <v/>
      </c>
      <c r="S100" s="68">
        <f>IF(AND(ISNUMBER(G100),M$4&gt;=cfg_li_min_mid_samples),G100/M$5,"")</f>
        <v/>
      </c>
      <c r="T100" s="68">
        <f>IF(AND(ISNUMBER(H100),N$4&gt;=cfg_li_min_mid_samples),H100/N$5,"")</f>
        <v/>
      </c>
      <c r="U100" s="68">
        <f>IF(AND(ISNUMBER(I100),O$4&gt;=cfg_li_min_mid_samples),I100/O$5,"")</f>
        <v/>
      </c>
      <c r="V100" s="68">
        <f>IF(AND(ISNUMBER(J100),P$4&gt;=cfg_li_min_mid_samples),J100/P$5,"")</f>
        <v/>
      </c>
      <c r="W100" s="68">
        <f>IF(AND(ISNUMBER(K100),Q$4&gt;=cfg_li_min_mid_samples),K100/Q$5,"")</f>
        <v/>
      </c>
      <c r="X100">
        <f>COUNT(R100:W100)</f>
        <v/>
      </c>
      <c r="Y100" s="68">
        <f>IF(X100&gt;=cfg_li_min_peers,MEDIAN(R100:W100),"")</f>
        <v/>
      </c>
      <c r="Z100" s="68">
        <f>IF(AND(ISNUMBER(R100),ISNUMBER(Y100)),R100/Y100,"")</f>
        <v/>
      </c>
      <c r="AA100" s="68">
        <f>IF(AND(ISNUMBER(S100),ISNUMBER(Y100)),S100/Y100,"")</f>
        <v/>
      </c>
      <c r="AB100" s="68">
        <f>IF(AND(ISNUMBER(T100),ISNUMBER(Y100)),T100/Y100,"")</f>
        <v/>
      </c>
      <c r="AC100" s="68">
        <f>IF(AND(ISNUMBER(U100),ISNUMBER(Y100)),U100/Y100,"")</f>
        <v/>
      </c>
      <c r="AD100" s="68">
        <f>IF(AND(ISNUMBER(V100),ISNUMBER(Y100)),V100/Y100,"")</f>
        <v/>
      </c>
      <c r="AE100" s="68">
        <f>IF(AND(ISNUMBER(W100),ISNUMBER(Y100)),W100/Y100,"")</f>
        <v/>
      </c>
      <c r="AF100" s="68">
        <f>IF(AND(E100=1,ISNUMBER(Z100)),Z100,"")</f>
        <v/>
      </c>
      <c r="AG100" s="68">
        <f>IF(AND(E100=1,ISNUMBER(AA100)),AA100,"")</f>
        <v/>
      </c>
      <c r="AH100" s="68">
        <f>IF(AND(E100=1,ISNUMBER(AB100)),AB100,"")</f>
        <v/>
      </c>
      <c r="AI100" s="68">
        <f>IF(AND(E100=1,ISNUMBER(AC100)),AC100,"")</f>
        <v/>
      </c>
      <c r="AJ100" s="68">
        <f>IF(AND(E100=1,ISNUMBER(AD100)),AD100,"")</f>
        <v/>
      </c>
      <c r="AK100" s="68">
        <f>IF(AND(E100=1,ISNUMBER(AE100)),AE100,"")</f>
        <v/>
      </c>
    </row>
    <row r="101">
      <c r="A101" s="65">
        <f>Raw_Data_LI!A101</f>
        <v/>
      </c>
      <c r="B101" s="66">
        <f>Raw_Data_LI!B101</f>
        <v/>
      </c>
      <c r="C101" s="66">
        <f>Raw_Data_LI!C101</f>
        <v/>
      </c>
      <c r="D101">
        <f>IF(AND(B101&gt;=cfg_li_poa_mid_min,B101&lt;=cfg_li_poa_mid_max),1,0)</f>
        <v/>
      </c>
      <c r="E101">
        <f>IF(AND(B101&gt;=cfg_li_poa_low_min,B101&lt;=cfg_li_poa_low_max,C101&gt;=cfg_li_low_elev_min),1,0)</f>
        <v/>
      </c>
      <c r="F101" s="67">
        <f>IF(Raw_Data_LI!D101="","",Raw_Data_LI!D101/B101)</f>
        <v/>
      </c>
      <c r="G101" s="67">
        <f>IF(Raw_Data_LI!E101="","",Raw_Data_LI!E101/B101)</f>
        <v/>
      </c>
      <c r="H101" s="67">
        <f>IF(Raw_Data_LI!F101="","",Raw_Data_LI!F101/B101)</f>
        <v/>
      </c>
      <c r="I101" s="67">
        <f>IF(Raw_Data_LI!G101="","",Raw_Data_LI!G101/B101)</f>
        <v/>
      </c>
      <c r="J101" s="67">
        <f>IF(Raw_Data_LI!H101="","",Raw_Data_LI!H101/B101)</f>
        <v/>
      </c>
      <c r="K101" s="67">
        <f>IF(Raw_Data_LI!I101="","",Raw_Data_LI!I101/B101)</f>
        <v/>
      </c>
      <c r="L101" s="67">
        <f>IF(AND(D101=1,ISNUMBER(F101),F101&gt;0),F101,"")</f>
        <v/>
      </c>
      <c r="M101" s="67">
        <f>IF(AND(D101=1,ISNUMBER(G101),G101&gt;0),G101,"")</f>
        <v/>
      </c>
      <c r="N101" s="67">
        <f>IF(AND(D101=1,ISNUMBER(H101),H101&gt;0),H101,"")</f>
        <v/>
      </c>
      <c r="O101" s="67">
        <f>IF(AND(D101=1,ISNUMBER(I101),I101&gt;0),I101,"")</f>
        <v/>
      </c>
      <c r="P101" s="67">
        <f>IF(AND(D101=1,ISNUMBER(J101),J101&gt;0),J101,"")</f>
        <v/>
      </c>
      <c r="Q101" s="67">
        <f>IF(AND(D101=1,ISNUMBER(K101),K101&gt;0),K101,"")</f>
        <v/>
      </c>
      <c r="R101" s="68">
        <f>IF(AND(ISNUMBER(F101),L$4&gt;=cfg_li_min_mid_samples),F101/L$5,"")</f>
        <v/>
      </c>
      <c r="S101" s="68">
        <f>IF(AND(ISNUMBER(G101),M$4&gt;=cfg_li_min_mid_samples),G101/M$5,"")</f>
        <v/>
      </c>
      <c r="T101" s="68">
        <f>IF(AND(ISNUMBER(H101),N$4&gt;=cfg_li_min_mid_samples),H101/N$5,"")</f>
        <v/>
      </c>
      <c r="U101" s="68">
        <f>IF(AND(ISNUMBER(I101),O$4&gt;=cfg_li_min_mid_samples),I101/O$5,"")</f>
        <v/>
      </c>
      <c r="V101" s="68">
        <f>IF(AND(ISNUMBER(J101),P$4&gt;=cfg_li_min_mid_samples),J101/P$5,"")</f>
        <v/>
      </c>
      <c r="W101" s="68">
        <f>IF(AND(ISNUMBER(K101),Q$4&gt;=cfg_li_min_mid_samples),K101/Q$5,"")</f>
        <v/>
      </c>
      <c r="X101">
        <f>COUNT(R101:W101)</f>
        <v/>
      </c>
      <c r="Y101" s="68">
        <f>IF(X101&gt;=cfg_li_min_peers,MEDIAN(R101:W101),"")</f>
        <v/>
      </c>
      <c r="Z101" s="68">
        <f>IF(AND(ISNUMBER(R101),ISNUMBER(Y101)),R101/Y101,"")</f>
        <v/>
      </c>
      <c r="AA101" s="68">
        <f>IF(AND(ISNUMBER(S101),ISNUMBER(Y101)),S101/Y101,"")</f>
        <v/>
      </c>
      <c r="AB101" s="68">
        <f>IF(AND(ISNUMBER(T101),ISNUMBER(Y101)),T101/Y101,"")</f>
        <v/>
      </c>
      <c r="AC101" s="68">
        <f>IF(AND(ISNUMBER(U101),ISNUMBER(Y101)),U101/Y101,"")</f>
        <v/>
      </c>
      <c r="AD101" s="68">
        <f>IF(AND(ISNUMBER(V101),ISNUMBER(Y101)),V101/Y101,"")</f>
        <v/>
      </c>
      <c r="AE101" s="68">
        <f>IF(AND(ISNUMBER(W101),ISNUMBER(Y101)),W101/Y101,"")</f>
        <v/>
      </c>
      <c r="AF101" s="68">
        <f>IF(AND(E101=1,ISNUMBER(Z101)),Z101,"")</f>
        <v/>
      </c>
      <c r="AG101" s="68">
        <f>IF(AND(E101=1,ISNUMBER(AA101)),AA101,"")</f>
        <v/>
      </c>
      <c r="AH101" s="68">
        <f>IF(AND(E101=1,ISNUMBER(AB101)),AB101,"")</f>
        <v/>
      </c>
      <c r="AI101" s="68">
        <f>IF(AND(E101=1,ISNUMBER(AC101)),AC101,"")</f>
        <v/>
      </c>
      <c r="AJ101" s="68">
        <f>IF(AND(E101=1,ISNUMBER(AD101)),AD101,"")</f>
        <v/>
      </c>
      <c r="AK101" s="68">
        <f>IF(AND(E101=1,ISNUMBER(AE101)),AE101,"")</f>
        <v/>
      </c>
    </row>
    <row r="102">
      <c r="A102" s="65">
        <f>Raw_Data_LI!A102</f>
        <v/>
      </c>
      <c r="B102" s="66">
        <f>Raw_Data_LI!B102</f>
        <v/>
      </c>
      <c r="C102" s="66">
        <f>Raw_Data_LI!C102</f>
        <v/>
      </c>
      <c r="D102">
        <f>IF(AND(B102&gt;=cfg_li_poa_mid_min,B102&lt;=cfg_li_poa_mid_max),1,0)</f>
        <v/>
      </c>
      <c r="E102">
        <f>IF(AND(B102&gt;=cfg_li_poa_low_min,B102&lt;=cfg_li_poa_low_max,C102&gt;=cfg_li_low_elev_min),1,0)</f>
        <v/>
      </c>
      <c r="F102" s="67">
        <f>IF(Raw_Data_LI!D102="","",Raw_Data_LI!D102/B102)</f>
        <v/>
      </c>
      <c r="G102" s="67">
        <f>IF(Raw_Data_LI!E102="","",Raw_Data_LI!E102/B102)</f>
        <v/>
      </c>
      <c r="H102" s="67">
        <f>IF(Raw_Data_LI!F102="","",Raw_Data_LI!F102/B102)</f>
        <v/>
      </c>
      <c r="I102" s="67">
        <f>IF(Raw_Data_LI!G102="","",Raw_Data_LI!G102/B102)</f>
        <v/>
      </c>
      <c r="J102" s="67">
        <f>IF(Raw_Data_LI!H102="","",Raw_Data_LI!H102/B102)</f>
        <v/>
      </c>
      <c r="K102" s="67">
        <f>IF(Raw_Data_LI!I102="","",Raw_Data_LI!I102/B102)</f>
        <v/>
      </c>
      <c r="L102" s="67">
        <f>IF(AND(D102=1,ISNUMBER(F102),F102&gt;0),F102,"")</f>
        <v/>
      </c>
      <c r="M102" s="67">
        <f>IF(AND(D102=1,ISNUMBER(G102),G102&gt;0),G102,"")</f>
        <v/>
      </c>
      <c r="N102" s="67">
        <f>IF(AND(D102=1,ISNUMBER(H102),H102&gt;0),H102,"")</f>
        <v/>
      </c>
      <c r="O102" s="67">
        <f>IF(AND(D102=1,ISNUMBER(I102),I102&gt;0),I102,"")</f>
        <v/>
      </c>
      <c r="P102" s="67">
        <f>IF(AND(D102=1,ISNUMBER(J102),J102&gt;0),J102,"")</f>
        <v/>
      </c>
      <c r="Q102" s="67">
        <f>IF(AND(D102=1,ISNUMBER(K102),K102&gt;0),K102,"")</f>
        <v/>
      </c>
      <c r="R102" s="68">
        <f>IF(AND(ISNUMBER(F102),L$4&gt;=cfg_li_min_mid_samples),F102/L$5,"")</f>
        <v/>
      </c>
      <c r="S102" s="68">
        <f>IF(AND(ISNUMBER(G102),M$4&gt;=cfg_li_min_mid_samples),G102/M$5,"")</f>
        <v/>
      </c>
      <c r="T102" s="68">
        <f>IF(AND(ISNUMBER(H102),N$4&gt;=cfg_li_min_mid_samples),H102/N$5,"")</f>
        <v/>
      </c>
      <c r="U102" s="68">
        <f>IF(AND(ISNUMBER(I102),O$4&gt;=cfg_li_min_mid_samples),I102/O$5,"")</f>
        <v/>
      </c>
      <c r="V102" s="68">
        <f>IF(AND(ISNUMBER(J102),P$4&gt;=cfg_li_min_mid_samples),J102/P$5,"")</f>
        <v/>
      </c>
      <c r="W102" s="68">
        <f>IF(AND(ISNUMBER(K102),Q$4&gt;=cfg_li_min_mid_samples),K102/Q$5,"")</f>
        <v/>
      </c>
      <c r="X102">
        <f>COUNT(R102:W102)</f>
        <v/>
      </c>
      <c r="Y102" s="68">
        <f>IF(X102&gt;=cfg_li_min_peers,MEDIAN(R102:W102),"")</f>
        <v/>
      </c>
      <c r="Z102" s="68">
        <f>IF(AND(ISNUMBER(R102),ISNUMBER(Y102)),R102/Y102,"")</f>
        <v/>
      </c>
      <c r="AA102" s="68">
        <f>IF(AND(ISNUMBER(S102),ISNUMBER(Y102)),S102/Y102,"")</f>
        <v/>
      </c>
      <c r="AB102" s="68">
        <f>IF(AND(ISNUMBER(T102),ISNUMBER(Y102)),T102/Y102,"")</f>
        <v/>
      </c>
      <c r="AC102" s="68">
        <f>IF(AND(ISNUMBER(U102),ISNUMBER(Y102)),U102/Y102,"")</f>
        <v/>
      </c>
      <c r="AD102" s="68">
        <f>IF(AND(ISNUMBER(V102),ISNUMBER(Y102)),V102/Y102,"")</f>
        <v/>
      </c>
      <c r="AE102" s="68">
        <f>IF(AND(ISNUMBER(W102),ISNUMBER(Y102)),W102/Y102,"")</f>
        <v/>
      </c>
      <c r="AF102" s="68">
        <f>IF(AND(E102=1,ISNUMBER(Z102)),Z102,"")</f>
        <v/>
      </c>
      <c r="AG102" s="68">
        <f>IF(AND(E102=1,ISNUMBER(AA102)),AA102,"")</f>
        <v/>
      </c>
      <c r="AH102" s="68">
        <f>IF(AND(E102=1,ISNUMBER(AB102)),AB102,"")</f>
        <v/>
      </c>
      <c r="AI102" s="68">
        <f>IF(AND(E102=1,ISNUMBER(AC102)),AC102,"")</f>
        <v/>
      </c>
      <c r="AJ102" s="68">
        <f>IF(AND(E102=1,ISNUMBER(AD102)),AD102,"")</f>
        <v/>
      </c>
      <c r="AK102" s="68">
        <f>IF(AND(E102=1,ISNUMBER(AE102)),AE102,"")</f>
        <v/>
      </c>
    </row>
    <row r="103">
      <c r="A103" s="65">
        <f>Raw_Data_LI!A103</f>
        <v/>
      </c>
      <c r="B103" s="66">
        <f>Raw_Data_LI!B103</f>
        <v/>
      </c>
      <c r="C103" s="66">
        <f>Raw_Data_LI!C103</f>
        <v/>
      </c>
      <c r="D103">
        <f>IF(AND(B103&gt;=cfg_li_poa_mid_min,B103&lt;=cfg_li_poa_mid_max),1,0)</f>
        <v/>
      </c>
      <c r="E103">
        <f>IF(AND(B103&gt;=cfg_li_poa_low_min,B103&lt;=cfg_li_poa_low_max,C103&gt;=cfg_li_low_elev_min),1,0)</f>
        <v/>
      </c>
      <c r="F103" s="67">
        <f>IF(Raw_Data_LI!D103="","",Raw_Data_LI!D103/B103)</f>
        <v/>
      </c>
      <c r="G103" s="67">
        <f>IF(Raw_Data_LI!E103="","",Raw_Data_LI!E103/B103)</f>
        <v/>
      </c>
      <c r="H103" s="67">
        <f>IF(Raw_Data_LI!F103="","",Raw_Data_LI!F103/B103)</f>
        <v/>
      </c>
      <c r="I103" s="67">
        <f>IF(Raw_Data_LI!G103="","",Raw_Data_LI!G103/B103)</f>
        <v/>
      </c>
      <c r="J103" s="67">
        <f>IF(Raw_Data_LI!H103="","",Raw_Data_LI!H103/B103)</f>
        <v/>
      </c>
      <c r="K103" s="67">
        <f>IF(Raw_Data_LI!I103="","",Raw_Data_LI!I103/B103)</f>
        <v/>
      </c>
      <c r="L103" s="67">
        <f>IF(AND(D103=1,ISNUMBER(F103),F103&gt;0),F103,"")</f>
        <v/>
      </c>
      <c r="M103" s="67">
        <f>IF(AND(D103=1,ISNUMBER(G103),G103&gt;0),G103,"")</f>
        <v/>
      </c>
      <c r="N103" s="67">
        <f>IF(AND(D103=1,ISNUMBER(H103),H103&gt;0),H103,"")</f>
        <v/>
      </c>
      <c r="O103" s="67">
        <f>IF(AND(D103=1,ISNUMBER(I103),I103&gt;0),I103,"")</f>
        <v/>
      </c>
      <c r="P103" s="67">
        <f>IF(AND(D103=1,ISNUMBER(J103),J103&gt;0),J103,"")</f>
        <v/>
      </c>
      <c r="Q103" s="67">
        <f>IF(AND(D103=1,ISNUMBER(K103),K103&gt;0),K103,"")</f>
        <v/>
      </c>
      <c r="R103" s="68">
        <f>IF(AND(ISNUMBER(F103),L$4&gt;=cfg_li_min_mid_samples),F103/L$5,"")</f>
        <v/>
      </c>
      <c r="S103" s="68">
        <f>IF(AND(ISNUMBER(G103),M$4&gt;=cfg_li_min_mid_samples),G103/M$5,"")</f>
        <v/>
      </c>
      <c r="T103" s="68">
        <f>IF(AND(ISNUMBER(H103),N$4&gt;=cfg_li_min_mid_samples),H103/N$5,"")</f>
        <v/>
      </c>
      <c r="U103" s="68">
        <f>IF(AND(ISNUMBER(I103),O$4&gt;=cfg_li_min_mid_samples),I103/O$5,"")</f>
        <v/>
      </c>
      <c r="V103" s="68">
        <f>IF(AND(ISNUMBER(J103),P$4&gt;=cfg_li_min_mid_samples),J103/P$5,"")</f>
        <v/>
      </c>
      <c r="W103" s="68">
        <f>IF(AND(ISNUMBER(K103),Q$4&gt;=cfg_li_min_mid_samples),K103/Q$5,"")</f>
        <v/>
      </c>
      <c r="X103">
        <f>COUNT(R103:W103)</f>
        <v/>
      </c>
      <c r="Y103" s="68">
        <f>IF(X103&gt;=cfg_li_min_peers,MEDIAN(R103:W103),"")</f>
        <v/>
      </c>
      <c r="Z103" s="68">
        <f>IF(AND(ISNUMBER(R103),ISNUMBER(Y103)),R103/Y103,"")</f>
        <v/>
      </c>
      <c r="AA103" s="68">
        <f>IF(AND(ISNUMBER(S103),ISNUMBER(Y103)),S103/Y103,"")</f>
        <v/>
      </c>
      <c r="AB103" s="68">
        <f>IF(AND(ISNUMBER(T103),ISNUMBER(Y103)),T103/Y103,"")</f>
        <v/>
      </c>
      <c r="AC103" s="68">
        <f>IF(AND(ISNUMBER(U103),ISNUMBER(Y103)),U103/Y103,"")</f>
        <v/>
      </c>
      <c r="AD103" s="68">
        <f>IF(AND(ISNUMBER(V103),ISNUMBER(Y103)),V103/Y103,"")</f>
        <v/>
      </c>
      <c r="AE103" s="68">
        <f>IF(AND(ISNUMBER(W103),ISNUMBER(Y103)),W103/Y103,"")</f>
        <v/>
      </c>
      <c r="AF103" s="68">
        <f>IF(AND(E103=1,ISNUMBER(Z103)),Z103,"")</f>
        <v/>
      </c>
      <c r="AG103" s="68">
        <f>IF(AND(E103=1,ISNUMBER(AA103)),AA103,"")</f>
        <v/>
      </c>
      <c r="AH103" s="68">
        <f>IF(AND(E103=1,ISNUMBER(AB103)),AB103,"")</f>
        <v/>
      </c>
      <c r="AI103" s="68">
        <f>IF(AND(E103=1,ISNUMBER(AC103)),AC103,"")</f>
        <v/>
      </c>
      <c r="AJ103" s="68">
        <f>IF(AND(E103=1,ISNUMBER(AD103)),AD103,"")</f>
        <v/>
      </c>
      <c r="AK103" s="68">
        <f>IF(AND(E103=1,ISNUMBER(AE103)),AE103,"")</f>
        <v/>
      </c>
    </row>
    <row r="104">
      <c r="A104" s="65">
        <f>Raw_Data_LI!A104</f>
        <v/>
      </c>
      <c r="B104" s="66">
        <f>Raw_Data_LI!B104</f>
        <v/>
      </c>
      <c r="C104" s="66">
        <f>Raw_Data_LI!C104</f>
        <v/>
      </c>
      <c r="D104">
        <f>IF(AND(B104&gt;=cfg_li_poa_mid_min,B104&lt;=cfg_li_poa_mid_max),1,0)</f>
        <v/>
      </c>
      <c r="E104">
        <f>IF(AND(B104&gt;=cfg_li_poa_low_min,B104&lt;=cfg_li_poa_low_max,C104&gt;=cfg_li_low_elev_min),1,0)</f>
        <v/>
      </c>
      <c r="F104" s="67">
        <f>IF(Raw_Data_LI!D104="","",Raw_Data_LI!D104/B104)</f>
        <v/>
      </c>
      <c r="G104" s="67">
        <f>IF(Raw_Data_LI!E104="","",Raw_Data_LI!E104/B104)</f>
        <v/>
      </c>
      <c r="H104" s="67">
        <f>IF(Raw_Data_LI!F104="","",Raw_Data_LI!F104/B104)</f>
        <v/>
      </c>
      <c r="I104" s="67">
        <f>IF(Raw_Data_LI!G104="","",Raw_Data_LI!G104/B104)</f>
        <v/>
      </c>
      <c r="J104" s="67">
        <f>IF(Raw_Data_LI!H104="","",Raw_Data_LI!H104/B104)</f>
        <v/>
      </c>
      <c r="K104" s="67">
        <f>IF(Raw_Data_LI!I104="","",Raw_Data_LI!I104/B104)</f>
        <v/>
      </c>
      <c r="L104" s="67">
        <f>IF(AND(D104=1,ISNUMBER(F104),F104&gt;0),F104,"")</f>
        <v/>
      </c>
      <c r="M104" s="67">
        <f>IF(AND(D104=1,ISNUMBER(G104),G104&gt;0),G104,"")</f>
        <v/>
      </c>
      <c r="N104" s="67">
        <f>IF(AND(D104=1,ISNUMBER(H104),H104&gt;0),H104,"")</f>
        <v/>
      </c>
      <c r="O104" s="67">
        <f>IF(AND(D104=1,ISNUMBER(I104),I104&gt;0),I104,"")</f>
        <v/>
      </c>
      <c r="P104" s="67">
        <f>IF(AND(D104=1,ISNUMBER(J104),J104&gt;0),J104,"")</f>
        <v/>
      </c>
      <c r="Q104" s="67">
        <f>IF(AND(D104=1,ISNUMBER(K104),K104&gt;0),K104,"")</f>
        <v/>
      </c>
      <c r="R104" s="68">
        <f>IF(AND(ISNUMBER(F104),L$4&gt;=cfg_li_min_mid_samples),F104/L$5,"")</f>
        <v/>
      </c>
      <c r="S104" s="68">
        <f>IF(AND(ISNUMBER(G104),M$4&gt;=cfg_li_min_mid_samples),G104/M$5,"")</f>
        <v/>
      </c>
      <c r="T104" s="68">
        <f>IF(AND(ISNUMBER(H104),N$4&gt;=cfg_li_min_mid_samples),H104/N$5,"")</f>
        <v/>
      </c>
      <c r="U104" s="68">
        <f>IF(AND(ISNUMBER(I104),O$4&gt;=cfg_li_min_mid_samples),I104/O$5,"")</f>
        <v/>
      </c>
      <c r="V104" s="68">
        <f>IF(AND(ISNUMBER(J104),P$4&gt;=cfg_li_min_mid_samples),J104/P$5,"")</f>
        <v/>
      </c>
      <c r="W104" s="68">
        <f>IF(AND(ISNUMBER(K104),Q$4&gt;=cfg_li_min_mid_samples),K104/Q$5,"")</f>
        <v/>
      </c>
      <c r="X104">
        <f>COUNT(R104:W104)</f>
        <v/>
      </c>
      <c r="Y104" s="68">
        <f>IF(X104&gt;=cfg_li_min_peers,MEDIAN(R104:W104),"")</f>
        <v/>
      </c>
      <c r="Z104" s="68">
        <f>IF(AND(ISNUMBER(R104),ISNUMBER(Y104)),R104/Y104,"")</f>
        <v/>
      </c>
      <c r="AA104" s="68">
        <f>IF(AND(ISNUMBER(S104),ISNUMBER(Y104)),S104/Y104,"")</f>
        <v/>
      </c>
      <c r="AB104" s="68">
        <f>IF(AND(ISNUMBER(T104),ISNUMBER(Y104)),T104/Y104,"")</f>
        <v/>
      </c>
      <c r="AC104" s="68">
        <f>IF(AND(ISNUMBER(U104),ISNUMBER(Y104)),U104/Y104,"")</f>
        <v/>
      </c>
      <c r="AD104" s="68">
        <f>IF(AND(ISNUMBER(V104),ISNUMBER(Y104)),V104/Y104,"")</f>
        <v/>
      </c>
      <c r="AE104" s="68">
        <f>IF(AND(ISNUMBER(W104),ISNUMBER(Y104)),W104/Y104,"")</f>
        <v/>
      </c>
      <c r="AF104" s="68">
        <f>IF(AND(E104=1,ISNUMBER(Z104)),Z104,"")</f>
        <v/>
      </c>
      <c r="AG104" s="68">
        <f>IF(AND(E104=1,ISNUMBER(AA104)),AA104,"")</f>
        <v/>
      </c>
      <c r="AH104" s="68">
        <f>IF(AND(E104=1,ISNUMBER(AB104)),AB104,"")</f>
        <v/>
      </c>
      <c r="AI104" s="68">
        <f>IF(AND(E104=1,ISNUMBER(AC104)),AC104,"")</f>
        <v/>
      </c>
      <c r="AJ104" s="68">
        <f>IF(AND(E104=1,ISNUMBER(AD104)),AD104,"")</f>
        <v/>
      </c>
      <c r="AK104" s="68">
        <f>IF(AND(E104=1,ISNUMBER(AE104)),AE104,"")</f>
        <v/>
      </c>
    </row>
    <row r="105">
      <c r="A105" s="65">
        <f>Raw_Data_LI!A105</f>
        <v/>
      </c>
      <c r="B105" s="66">
        <f>Raw_Data_LI!B105</f>
        <v/>
      </c>
      <c r="C105" s="66">
        <f>Raw_Data_LI!C105</f>
        <v/>
      </c>
      <c r="D105">
        <f>IF(AND(B105&gt;=cfg_li_poa_mid_min,B105&lt;=cfg_li_poa_mid_max),1,0)</f>
        <v/>
      </c>
      <c r="E105">
        <f>IF(AND(B105&gt;=cfg_li_poa_low_min,B105&lt;=cfg_li_poa_low_max,C105&gt;=cfg_li_low_elev_min),1,0)</f>
        <v/>
      </c>
      <c r="F105" s="67">
        <f>IF(Raw_Data_LI!D105="","",Raw_Data_LI!D105/B105)</f>
        <v/>
      </c>
      <c r="G105" s="67">
        <f>IF(Raw_Data_LI!E105="","",Raw_Data_LI!E105/B105)</f>
        <v/>
      </c>
      <c r="H105" s="67">
        <f>IF(Raw_Data_LI!F105="","",Raw_Data_LI!F105/B105)</f>
        <v/>
      </c>
      <c r="I105" s="67">
        <f>IF(Raw_Data_LI!G105="","",Raw_Data_LI!G105/B105)</f>
        <v/>
      </c>
      <c r="J105" s="67">
        <f>IF(Raw_Data_LI!H105="","",Raw_Data_LI!H105/B105)</f>
        <v/>
      </c>
      <c r="K105" s="67">
        <f>IF(Raw_Data_LI!I105="","",Raw_Data_LI!I105/B105)</f>
        <v/>
      </c>
      <c r="L105" s="67">
        <f>IF(AND(D105=1,ISNUMBER(F105),F105&gt;0),F105,"")</f>
        <v/>
      </c>
      <c r="M105" s="67">
        <f>IF(AND(D105=1,ISNUMBER(G105),G105&gt;0),G105,"")</f>
        <v/>
      </c>
      <c r="N105" s="67">
        <f>IF(AND(D105=1,ISNUMBER(H105),H105&gt;0),H105,"")</f>
        <v/>
      </c>
      <c r="O105" s="67">
        <f>IF(AND(D105=1,ISNUMBER(I105),I105&gt;0),I105,"")</f>
        <v/>
      </c>
      <c r="P105" s="67">
        <f>IF(AND(D105=1,ISNUMBER(J105),J105&gt;0),J105,"")</f>
        <v/>
      </c>
      <c r="Q105" s="67">
        <f>IF(AND(D105=1,ISNUMBER(K105),K105&gt;0),K105,"")</f>
        <v/>
      </c>
      <c r="R105" s="68">
        <f>IF(AND(ISNUMBER(F105),L$4&gt;=cfg_li_min_mid_samples),F105/L$5,"")</f>
        <v/>
      </c>
      <c r="S105" s="68">
        <f>IF(AND(ISNUMBER(G105),M$4&gt;=cfg_li_min_mid_samples),G105/M$5,"")</f>
        <v/>
      </c>
      <c r="T105" s="68">
        <f>IF(AND(ISNUMBER(H105),N$4&gt;=cfg_li_min_mid_samples),H105/N$5,"")</f>
        <v/>
      </c>
      <c r="U105" s="68">
        <f>IF(AND(ISNUMBER(I105),O$4&gt;=cfg_li_min_mid_samples),I105/O$5,"")</f>
        <v/>
      </c>
      <c r="V105" s="68">
        <f>IF(AND(ISNUMBER(J105),P$4&gt;=cfg_li_min_mid_samples),J105/P$5,"")</f>
        <v/>
      </c>
      <c r="W105" s="68">
        <f>IF(AND(ISNUMBER(K105),Q$4&gt;=cfg_li_min_mid_samples),K105/Q$5,"")</f>
        <v/>
      </c>
      <c r="X105">
        <f>COUNT(R105:W105)</f>
        <v/>
      </c>
      <c r="Y105" s="68">
        <f>IF(X105&gt;=cfg_li_min_peers,MEDIAN(R105:W105),"")</f>
        <v/>
      </c>
      <c r="Z105" s="68">
        <f>IF(AND(ISNUMBER(R105),ISNUMBER(Y105)),R105/Y105,"")</f>
        <v/>
      </c>
      <c r="AA105" s="68">
        <f>IF(AND(ISNUMBER(S105),ISNUMBER(Y105)),S105/Y105,"")</f>
        <v/>
      </c>
      <c r="AB105" s="68">
        <f>IF(AND(ISNUMBER(T105),ISNUMBER(Y105)),T105/Y105,"")</f>
        <v/>
      </c>
      <c r="AC105" s="68">
        <f>IF(AND(ISNUMBER(U105),ISNUMBER(Y105)),U105/Y105,"")</f>
        <v/>
      </c>
      <c r="AD105" s="68">
        <f>IF(AND(ISNUMBER(V105),ISNUMBER(Y105)),V105/Y105,"")</f>
        <v/>
      </c>
      <c r="AE105" s="68">
        <f>IF(AND(ISNUMBER(W105),ISNUMBER(Y105)),W105/Y105,"")</f>
        <v/>
      </c>
      <c r="AF105" s="68">
        <f>IF(AND(E105=1,ISNUMBER(Z105)),Z105,"")</f>
        <v/>
      </c>
      <c r="AG105" s="68">
        <f>IF(AND(E105=1,ISNUMBER(AA105)),AA105,"")</f>
        <v/>
      </c>
      <c r="AH105" s="68">
        <f>IF(AND(E105=1,ISNUMBER(AB105)),AB105,"")</f>
        <v/>
      </c>
      <c r="AI105" s="68">
        <f>IF(AND(E105=1,ISNUMBER(AC105)),AC105,"")</f>
        <v/>
      </c>
      <c r="AJ105" s="68">
        <f>IF(AND(E105=1,ISNUMBER(AD105)),AD105,"")</f>
        <v/>
      </c>
      <c r="AK105" s="68">
        <f>IF(AND(E105=1,ISNUMBER(AE105)),AE105,"")</f>
        <v/>
      </c>
    </row>
    <row r="106">
      <c r="A106" s="65">
        <f>Raw_Data_LI!A106</f>
        <v/>
      </c>
      <c r="B106" s="66">
        <f>Raw_Data_LI!B106</f>
        <v/>
      </c>
      <c r="C106" s="66">
        <f>Raw_Data_LI!C106</f>
        <v/>
      </c>
      <c r="D106">
        <f>IF(AND(B106&gt;=cfg_li_poa_mid_min,B106&lt;=cfg_li_poa_mid_max),1,0)</f>
        <v/>
      </c>
      <c r="E106">
        <f>IF(AND(B106&gt;=cfg_li_poa_low_min,B106&lt;=cfg_li_poa_low_max,C106&gt;=cfg_li_low_elev_min),1,0)</f>
        <v/>
      </c>
      <c r="F106" s="67">
        <f>IF(Raw_Data_LI!D106="","",Raw_Data_LI!D106/B106)</f>
        <v/>
      </c>
      <c r="G106" s="67">
        <f>IF(Raw_Data_LI!E106="","",Raw_Data_LI!E106/B106)</f>
        <v/>
      </c>
      <c r="H106" s="67">
        <f>IF(Raw_Data_LI!F106="","",Raw_Data_LI!F106/B106)</f>
        <v/>
      </c>
      <c r="I106" s="67">
        <f>IF(Raw_Data_LI!G106="","",Raw_Data_LI!G106/B106)</f>
        <v/>
      </c>
      <c r="J106" s="67">
        <f>IF(Raw_Data_LI!H106="","",Raw_Data_LI!H106/B106)</f>
        <v/>
      </c>
      <c r="K106" s="67">
        <f>IF(Raw_Data_LI!I106="","",Raw_Data_LI!I106/B106)</f>
        <v/>
      </c>
      <c r="L106" s="67">
        <f>IF(AND(D106=1,ISNUMBER(F106),F106&gt;0),F106,"")</f>
        <v/>
      </c>
      <c r="M106" s="67">
        <f>IF(AND(D106=1,ISNUMBER(G106),G106&gt;0),G106,"")</f>
        <v/>
      </c>
      <c r="N106" s="67">
        <f>IF(AND(D106=1,ISNUMBER(H106),H106&gt;0),H106,"")</f>
        <v/>
      </c>
      <c r="O106" s="67">
        <f>IF(AND(D106=1,ISNUMBER(I106),I106&gt;0),I106,"")</f>
        <v/>
      </c>
      <c r="P106" s="67">
        <f>IF(AND(D106=1,ISNUMBER(J106),J106&gt;0),J106,"")</f>
        <v/>
      </c>
      <c r="Q106" s="67">
        <f>IF(AND(D106=1,ISNUMBER(K106),K106&gt;0),K106,"")</f>
        <v/>
      </c>
      <c r="R106" s="68">
        <f>IF(AND(ISNUMBER(F106),L$4&gt;=cfg_li_min_mid_samples),F106/L$5,"")</f>
        <v/>
      </c>
      <c r="S106" s="68">
        <f>IF(AND(ISNUMBER(G106),M$4&gt;=cfg_li_min_mid_samples),G106/M$5,"")</f>
        <v/>
      </c>
      <c r="T106" s="68">
        <f>IF(AND(ISNUMBER(H106),N$4&gt;=cfg_li_min_mid_samples),H106/N$5,"")</f>
        <v/>
      </c>
      <c r="U106" s="68">
        <f>IF(AND(ISNUMBER(I106),O$4&gt;=cfg_li_min_mid_samples),I106/O$5,"")</f>
        <v/>
      </c>
      <c r="V106" s="68">
        <f>IF(AND(ISNUMBER(J106),P$4&gt;=cfg_li_min_mid_samples),J106/P$5,"")</f>
        <v/>
      </c>
      <c r="W106" s="68">
        <f>IF(AND(ISNUMBER(K106),Q$4&gt;=cfg_li_min_mid_samples),K106/Q$5,"")</f>
        <v/>
      </c>
      <c r="X106">
        <f>COUNT(R106:W106)</f>
        <v/>
      </c>
      <c r="Y106" s="68">
        <f>IF(X106&gt;=cfg_li_min_peers,MEDIAN(R106:W106),"")</f>
        <v/>
      </c>
      <c r="Z106" s="68">
        <f>IF(AND(ISNUMBER(R106),ISNUMBER(Y106)),R106/Y106,"")</f>
        <v/>
      </c>
      <c r="AA106" s="68">
        <f>IF(AND(ISNUMBER(S106),ISNUMBER(Y106)),S106/Y106,"")</f>
        <v/>
      </c>
      <c r="AB106" s="68">
        <f>IF(AND(ISNUMBER(T106),ISNUMBER(Y106)),T106/Y106,"")</f>
        <v/>
      </c>
      <c r="AC106" s="68">
        <f>IF(AND(ISNUMBER(U106),ISNUMBER(Y106)),U106/Y106,"")</f>
        <v/>
      </c>
      <c r="AD106" s="68">
        <f>IF(AND(ISNUMBER(V106),ISNUMBER(Y106)),V106/Y106,"")</f>
        <v/>
      </c>
      <c r="AE106" s="68">
        <f>IF(AND(ISNUMBER(W106),ISNUMBER(Y106)),W106/Y106,"")</f>
        <v/>
      </c>
      <c r="AF106" s="68">
        <f>IF(AND(E106=1,ISNUMBER(Z106)),Z106,"")</f>
        <v/>
      </c>
      <c r="AG106" s="68">
        <f>IF(AND(E106=1,ISNUMBER(AA106)),AA106,"")</f>
        <v/>
      </c>
      <c r="AH106" s="68">
        <f>IF(AND(E106=1,ISNUMBER(AB106)),AB106,"")</f>
        <v/>
      </c>
      <c r="AI106" s="68">
        <f>IF(AND(E106=1,ISNUMBER(AC106)),AC106,"")</f>
        <v/>
      </c>
      <c r="AJ106" s="68">
        <f>IF(AND(E106=1,ISNUMBER(AD106)),AD106,"")</f>
        <v/>
      </c>
      <c r="AK106" s="68">
        <f>IF(AND(E106=1,ISNUMBER(AE106)),AE106,"")</f>
        <v/>
      </c>
    </row>
    <row r="107">
      <c r="A107" s="65">
        <f>Raw_Data_LI!A107</f>
        <v/>
      </c>
      <c r="B107" s="66">
        <f>Raw_Data_LI!B107</f>
        <v/>
      </c>
      <c r="C107" s="66">
        <f>Raw_Data_LI!C107</f>
        <v/>
      </c>
      <c r="D107">
        <f>IF(AND(B107&gt;=cfg_li_poa_mid_min,B107&lt;=cfg_li_poa_mid_max),1,0)</f>
        <v/>
      </c>
      <c r="E107">
        <f>IF(AND(B107&gt;=cfg_li_poa_low_min,B107&lt;=cfg_li_poa_low_max,C107&gt;=cfg_li_low_elev_min),1,0)</f>
        <v/>
      </c>
      <c r="F107" s="67">
        <f>IF(Raw_Data_LI!D107="","",Raw_Data_LI!D107/B107)</f>
        <v/>
      </c>
      <c r="G107" s="67">
        <f>IF(Raw_Data_LI!E107="","",Raw_Data_LI!E107/B107)</f>
        <v/>
      </c>
      <c r="H107" s="67">
        <f>IF(Raw_Data_LI!F107="","",Raw_Data_LI!F107/B107)</f>
        <v/>
      </c>
      <c r="I107" s="67">
        <f>IF(Raw_Data_LI!G107="","",Raw_Data_LI!G107/B107)</f>
        <v/>
      </c>
      <c r="J107" s="67">
        <f>IF(Raw_Data_LI!H107="","",Raw_Data_LI!H107/B107)</f>
        <v/>
      </c>
      <c r="K107" s="67">
        <f>IF(Raw_Data_LI!I107="","",Raw_Data_LI!I107/B107)</f>
        <v/>
      </c>
      <c r="L107" s="67">
        <f>IF(AND(D107=1,ISNUMBER(F107),F107&gt;0),F107,"")</f>
        <v/>
      </c>
      <c r="M107" s="67">
        <f>IF(AND(D107=1,ISNUMBER(G107),G107&gt;0),G107,"")</f>
        <v/>
      </c>
      <c r="N107" s="67">
        <f>IF(AND(D107=1,ISNUMBER(H107),H107&gt;0),H107,"")</f>
        <v/>
      </c>
      <c r="O107" s="67">
        <f>IF(AND(D107=1,ISNUMBER(I107),I107&gt;0),I107,"")</f>
        <v/>
      </c>
      <c r="P107" s="67">
        <f>IF(AND(D107=1,ISNUMBER(J107),J107&gt;0),J107,"")</f>
        <v/>
      </c>
      <c r="Q107" s="67">
        <f>IF(AND(D107=1,ISNUMBER(K107),K107&gt;0),K107,"")</f>
        <v/>
      </c>
      <c r="R107" s="68">
        <f>IF(AND(ISNUMBER(F107),L$4&gt;=cfg_li_min_mid_samples),F107/L$5,"")</f>
        <v/>
      </c>
      <c r="S107" s="68">
        <f>IF(AND(ISNUMBER(G107),M$4&gt;=cfg_li_min_mid_samples),G107/M$5,"")</f>
        <v/>
      </c>
      <c r="T107" s="68">
        <f>IF(AND(ISNUMBER(H107),N$4&gt;=cfg_li_min_mid_samples),H107/N$5,"")</f>
        <v/>
      </c>
      <c r="U107" s="68">
        <f>IF(AND(ISNUMBER(I107),O$4&gt;=cfg_li_min_mid_samples),I107/O$5,"")</f>
        <v/>
      </c>
      <c r="V107" s="68">
        <f>IF(AND(ISNUMBER(J107),P$4&gt;=cfg_li_min_mid_samples),J107/P$5,"")</f>
        <v/>
      </c>
      <c r="W107" s="68">
        <f>IF(AND(ISNUMBER(K107),Q$4&gt;=cfg_li_min_mid_samples),K107/Q$5,"")</f>
        <v/>
      </c>
      <c r="X107">
        <f>COUNT(R107:W107)</f>
        <v/>
      </c>
      <c r="Y107" s="68">
        <f>IF(X107&gt;=cfg_li_min_peers,MEDIAN(R107:W107),"")</f>
        <v/>
      </c>
      <c r="Z107" s="68">
        <f>IF(AND(ISNUMBER(R107),ISNUMBER(Y107)),R107/Y107,"")</f>
        <v/>
      </c>
      <c r="AA107" s="68">
        <f>IF(AND(ISNUMBER(S107),ISNUMBER(Y107)),S107/Y107,"")</f>
        <v/>
      </c>
      <c r="AB107" s="68">
        <f>IF(AND(ISNUMBER(T107),ISNUMBER(Y107)),T107/Y107,"")</f>
        <v/>
      </c>
      <c r="AC107" s="68">
        <f>IF(AND(ISNUMBER(U107),ISNUMBER(Y107)),U107/Y107,"")</f>
        <v/>
      </c>
      <c r="AD107" s="68">
        <f>IF(AND(ISNUMBER(V107),ISNUMBER(Y107)),V107/Y107,"")</f>
        <v/>
      </c>
      <c r="AE107" s="68">
        <f>IF(AND(ISNUMBER(W107),ISNUMBER(Y107)),W107/Y107,"")</f>
        <v/>
      </c>
      <c r="AF107" s="68">
        <f>IF(AND(E107=1,ISNUMBER(Z107)),Z107,"")</f>
        <v/>
      </c>
      <c r="AG107" s="68">
        <f>IF(AND(E107=1,ISNUMBER(AA107)),AA107,"")</f>
        <v/>
      </c>
      <c r="AH107" s="68">
        <f>IF(AND(E107=1,ISNUMBER(AB107)),AB107,"")</f>
        <v/>
      </c>
      <c r="AI107" s="68">
        <f>IF(AND(E107=1,ISNUMBER(AC107)),AC107,"")</f>
        <v/>
      </c>
      <c r="AJ107" s="68">
        <f>IF(AND(E107=1,ISNUMBER(AD107)),AD107,"")</f>
        <v/>
      </c>
      <c r="AK107" s="68">
        <f>IF(AND(E107=1,ISNUMBER(AE107)),AE107,"")</f>
        <v/>
      </c>
    </row>
    <row r="108">
      <c r="A108" s="65">
        <f>Raw_Data_LI!A108</f>
        <v/>
      </c>
      <c r="B108" s="66">
        <f>Raw_Data_LI!B108</f>
        <v/>
      </c>
      <c r="C108" s="66">
        <f>Raw_Data_LI!C108</f>
        <v/>
      </c>
      <c r="D108">
        <f>IF(AND(B108&gt;=cfg_li_poa_mid_min,B108&lt;=cfg_li_poa_mid_max),1,0)</f>
        <v/>
      </c>
      <c r="E108">
        <f>IF(AND(B108&gt;=cfg_li_poa_low_min,B108&lt;=cfg_li_poa_low_max,C108&gt;=cfg_li_low_elev_min),1,0)</f>
        <v/>
      </c>
      <c r="F108" s="67">
        <f>IF(Raw_Data_LI!D108="","",Raw_Data_LI!D108/B108)</f>
        <v/>
      </c>
      <c r="G108" s="67">
        <f>IF(Raw_Data_LI!E108="","",Raw_Data_LI!E108/B108)</f>
        <v/>
      </c>
      <c r="H108" s="67">
        <f>IF(Raw_Data_LI!F108="","",Raw_Data_LI!F108/B108)</f>
        <v/>
      </c>
      <c r="I108" s="67">
        <f>IF(Raw_Data_LI!G108="","",Raw_Data_LI!G108/B108)</f>
        <v/>
      </c>
      <c r="J108" s="67">
        <f>IF(Raw_Data_LI!H108="","",Raw_Data_LI!H108/B108)</f>
        <v/>
      </c>
      <c r="K108" s="67">
        <f>IF(Raw_Data_LI!I108="","",Raw_Data_LI!I108/B108)</f>
        <v/>
      </c>
      <c r="L108" s="67">
        <f>IF(AND(D108=1,ISNUMBER(F108),F108&gt;0),F108,"")</f>
        <v/>
      </c>
      <c r="M108" s="67">
        <f>IF(AND(D108=1,ISNUMBER(G108),G108&gt;0),G108,"")</f>
        <v/>
      </c>
      <c r="N108" s="67">
        <f>IF(AND(D108=1,ISNUMBER(H108),H108&gt;0),H108,"")</f>
        <v/>
      </c>
      <c r="O108" s="67">
        <f>IF(AND(D108=1,ISNUMBER(I108),I108&gt;0),I108,"")</f>
        <v/>
      </c>
      <c r="P108" s="67">
        <f>IF(AND(D108=1,ISNUMBER(J108),J108&gt;0),J108,"")</f>
        <v/>
      </c>
      <c r="Q108" s="67">
        <f>IF(AND(D108=1,ISNUMBER(K108),K108&gt;0),K108,"")</f>
        <v/>
      </c>
      <c r="R108" s="68">
        <f>IF(AND(ISNUMBER(F108),L$4&gt;=cfg_li_min_mid_samples),F108/L$5,"")</f>
        <v/>
      </c>
      <c r="S108" s="68">
        <f>IF(AND(ISNUMBER(G108),M$4&gt;=cfg_li_min_mid_samples),G108/M$5,"")</f>
        <v/>
      </c>
      <c r="T108" s="68">
        <f>IF(AND(ISNUMBER(H108),N$4&gt;=cfg_li_min_mid_samples),H108/N$5,"")</f>
        <v/>
      </c>
      <c r="U108" s="68">
        <f>IF(AND(ISNUMBER(I108),O$4&gt;=cfg_li_min_mid_samples),I108/O$5,"")</f>
        <v/>
      </c>
      <c r="V108" s="68">
        <f>IF(AND(ISNUMBER(J108),P$4&gt;=cfg_li_min_mid_samples),J108/P$5,"")</f>
        <v/>
      </c>
      <c r="W108" s="68">
        <f>IF(AND(ISNUMBER(K108),Q$4&gt;=cfg_li_min_mid_samples),K108/Q$5,"")</f>
        <v/>
      </c>
      <c r="X108">
        <f>COUNT(R108:W108)</f>
        <v/>
      </c>
      <c r="Y108" s="68">
        <f>IF(X108&gt;=cfg_li_min_peers,MEDIAN(R108:W108),"")</f>
        <v/>
      </c>
      <c r="Z108" s="68">
        <f>IF(AND(ISNUMBER(R108),ISNUMBER(Y108)),R108/Y108,"")</f>
        <v/>
      </c>
      <c r="AA108" s="68">
        <f>IF(AND(ISNUMBER(S108),ISNUMBER(Y108)),S108/Y108,"")</f>
        <v/>
      </c>
      <c r="AB108" s="68">
        <f>IF(AND(ISNUMBER(T108),ISNUMBER(Y108)),T108/Y108,"")</f>
        <v/>
      </c>
      <c r="AC108" s="68">
        <f>IF(AND(ISNUMBER(U108),ISNUMBER(Y108)),U108/Y108,"")</f>
        <v/>
      </c>
      <c r="AD108" s="68">
        <f>IF(AND(ISNUMBER(V108),ISNUMBER(Y108)),V108/Y108,"")</f>
        <v/>
      </c>
      <c r="AE108" s="68">
        <f>IF(AND(ISNUMBER(W108),ISNUMBER(Y108)),W108/Y108,"")</f>
        <v/>
      </c>
      <c r="AF108" s="68">
        <f>IF(AND(E108=1,ISNUMBER(Z108)),Z108,"")</f>
        <v/>
      </c>
      <c r="AG108" s="68">
        <f>IF(AND(E108=1,ISNUMBER(AA108)),AA108,"")</f>
        <v/>
      </c>
      <c r="AH108" s="68">
        <f>IF(AND(E108=1,ISNUMBER(AB108)),AB108,"")</f>
        <v/>
      </c>
      <c r="AI108" s="68">
        <f>IF(AND(E108=1,ISNUMBER(AC108)),AC108,"")</f>
        <v/>
      </c>
      <c r="AJ108" s="68">
        <f>IF(AND(E108=1,ISNUMBER(AD108)),AD108,"")</f>
        <v/>
      </c>
      <c r="AK108" s="68">
        <f>IF(AND(E108=1,ISNUMBER(AE108)),AE108,"")</f>
        <v/>
      </c>
    </row>
    <row r="109">
      <c r="A109" s="65">
        <f>Raw_Data_LI!A109</f>
        <v/>
      </c>
      <c r="B109" s="66">
        <f>Raw_Data_LI!B109</f>
        <v/>
      </c>
      <c r="C109" s="66">
        <f>Raw_Data_LI!C109</f>
        <v/>
      </c>
      <c r="D109">
        <f>IF(AND(B109&gt;=cfg_li_poa_mid_min,B109&lt;=cfg_li_poa_mid_max),1,0)</f>
        <v/>
      </c>
      <c r="E109">
        <f>IF(AND(B109&gt;=cfg_li_poa_low_min,B109&lt;=cfg_li_poa_low_max,C109&gt;=cfg_li_low_elev_min),1,0)</f>
        <v/>
      </c>
      <c r="F109" s="67">
        <f>IF(Raw_Data_LI!D109="","",Raw_Data_LI!D109/B109)</f>
        <v/>
      </c>
      <c r="G109" s="67">
        <f>IF(Raw_Data_LI!E109="","",Raw_Data_LI!E109/B109)</f>
        <v/>
      </c>
      <c r="H109" s="67">
        <f>IF(Raw_Data_LI!F109="","",Raw_Data_LI!F109/B109)</f>
        <v/>
      </c>
      <c r="I109" s="67">
        <f>IF(Raw_Data_LI!G109="","",Raw_Data_LI!G109/B109)</f>
        <v/>
      </c>
      <c r="J109" s="67">
        <f>IF(Raw_Data_LI!H109="","",Raw_Data_LI!H109/B109)</f>
        <v/>
      </c>
      <c r="K109" s="67">
        <f>IF(Raw_Data_LI!I109="","",Raw_Data_LI!I109/B109)</f>
        <v/>
      </c>
      <c r="L109" s="67">
        <f>IF(AND(D109=1,ISNUMBER(F109),F109&gt;0),F109,"")</f>
        <v/>
      </c>
      <c r="M109" s="67">
        <f>IF(AND(D109=1,ISNUMBER(G109),G109&gt;0),G109,"")</f>
        <v/>
      </c>
      <c r="N109" s="67">
        <f>IF(AND(D109=1,ISNUMBER(H109),H109&gt;0),H109,"")</f>
        <v/>
      </c>
      <c r="O109" s="67">
        <f>IF(AND(D109=1,ISNUMBER(I109),I109&gt;0),I109,"")</f>
        <v/>
      </c>
      <c r="P109" s="67">
        <f>IF(AND(D109=1,ISNUMBER(J109),J109&gt;0),J109,"")</f>
        <v/>
      </c>
      <c r="Q109" s="67">
        <f>IF(AND(D109=1,ISNUMBER(K109),K109&gt;0),K109,"")</f>
        <v/>
      </c>
      <c r="R109" s="68">
        <f>IF(AND(ISNUMBER(F109),L$4&gt;=cfg_li_min_mid_samples),F109/L$5,"")</f>
        <v/>
      </c>
      <c r="S109" s="68">
        <f>IF(AND(ISNUMBER(G109),M$4&gt;=cfg_li_min_mid_samples),G109/M$5,"")</f>
        <v/>
      </c>
      <c r="T109" s="68">
        <f>IF(AND(ISNUMBER(H109),N$4&gt;=cfg_li_min_mid_samples),H109/N$5,"")</f>
        <v/>
      </c>
      <c r="U109" s="68">
        <f>IF(AND(ISNUMBER(I109),O$4&gt;=cfg_li_min_mid_samples),I109/O$5,"")</f>
        <v/>
      </c>
      <c r="V109" s="68">
        <f>IF(AND(ISNUMBER(J109),P$4&gt;=cfg_li_min_mid_samples),J109/P$5,"")</f>
        <v/>
      </c>
      <c r="W109" s="68">
        <f>IF(AND(ISNUMBER(K109),Q$4&gt;=cfg_li_min_mid_samples),K109/Q$5,"")</f>
        <v/>
      </c>
      <c r="X109">
        <f>COUNT(R109:W109)</f>
        <v/>
      </c>
      <c r="Y109" s="68">
        <f>IF(X109&gt;=cfg_li_min_peers,MEDIAN(R109:W109),"")</f>
        <v/>
      </c>
      <c r="Z109" s="68">
        <f>IF(AND(ISNUMBER(R109),ISNUMBER(Y109)),R109/Y109,"")</f>
        <v/>
      </c>
      <c r="AA109" s="68">
        <f>IF(AND(ISNUMBER(S109),ISNUMBER(Y109)),S109/Y109,"")</f>
        <v/>
      </c>
      <c r="AB109" s="68">
        <f>IF(AND(ISNUMBER(T109),ISNUMBER(Y109)),T109/Y109,"")</f>
        <v/>
      </c>
      <c r="AC109" s="68">
        <f>IF(AND(ISNUMBER(U109),ISNUMBER(Y109)),U109/Y109,"")</f>
        <v/>
      </c>
      <c r="AD109" s="68">
        <f>IF(AND(ISNUMBER(V109),ISNUMBER(Y109)),V109/Y109,"")</f>
        <v/>
      </c>
      <c r="AE109" s="68">
        <f>IF(AND(ISNUMBER(W109),ISNUMBER(Y109)),W109/Y109,"")</f>
        <v/>
      </c>
      <c r="AF109" s="68">
        <f>IF(AND(E109=1,ISNUMBER(Z109)),Z109,"")</f>
        <v/>
      </c>
      <c r="AG109" s="68">
        <f>IF(AND(E109=1,ISNUMBER(AA109)),AA109,"")</f>
        <v/>
      </c>
      <c r="AH109" s="68">
        <f>IF(AND(E109=1,ISNUMBER(AB109)),AB109,"")</f>
        <v/>
      </c>
      <c r="AI109" s="68">
        <f>IF(AND(E109=1,ISNUMBER(AC109)),AC109,"")</f>
        <v/>
      </c>
      <c r="AJ109" s="68">
        <f>IF(AND(E109=1,ISNUMBER(AD109)),AD109,"")</f>
        <v/>
      </c>
      <c r="AK109" s="68">
        <f>IF(AND(E109=1,ISNUMBER(AE109)),AE109,"")</f>
        <v/>
      </c>
    </row>
    <row r="110">
      <c r="A110" s="65">
        <f>Raw_Data_LI!A110</f>
        <v/>
      </c>
      <c r="B110" s="66">
        <f>Raw_Data_LI!B110</f>
        <v/>
      </c>
      <c r="C110" s="66">
        <f>Raw_Data_LI!C110</f>
        <v/>
      </c>
      <c r="D110">
        <f>IF(AND(B110&gt;=cfg_li_poa_mid_min,B110&lt;=cfg_li_poa_mid_max),1,0)</f>
        <v/>
      </c>
      <c r="E110">
        <f>IF(AND(B110&gt;=cfg_li_poa_low_min,B110&lt;=cfg_li_poa_low_max,C110&gt;=cfg_li_low_elev_min),1,0)</f>
        <v/>
      </c>
      <c r="F110" s="67">
        <f>IF(Raw_Data_LI!D110="","",Raw_Data_LI!D110/B110)</f>
        <v/>
      </c>
      <c r="G110" s="67">
        <f>IF(Raw_Data_LI!E110="","",Raw_Data_LI!E110/B110)</f>
        <v/>
      </c>
      <c r="H110" s="67">
        <f>IF(Raw_Data_LI!F110="","",Raw_Data_LI!F110/B110)</f>
        <v/>
      </c>
      <c r="I110" s="67">
        <f>IF(Raw_Data_LI!G110="","",Raw_Data_LI!G110/B110)</f>
        <v/>
      </c>
      <c r="J110" s="67">
        <f>IF(Raw_Data_LI!H110="","",Raw_Data_LI!H110/B110)</f>
        <v/>
      </c>
      <c r="K110" s="67">
        <f>IF(Raw_Data_LI!I110="","",Raw_Data_LI!I110/B110)</f>
        <v/>
      </c>
      <c r="L110" s="67">
        <f>IF(AND(D110=1,ISNUMBER(F110),F110&gt;0),F110,"")</f>
        <v/>
      </c>
      <c r="M110" s="67">
        <f>IF(AND(D110=1,ISNUMBER(G110),G110&gt;0),G110,"")</f>
        <v/>
      </c>
      <c r="N110" s="67">
        <f>IF(AND(D110=1,ISNUMBER(H110),H110&gt;0),H110,"")</f>
        <v/>
      </c>
      <c r="O110" s="67">
        <f>IF(AND(D110=1,ISNUMBER(I110),I110&gt;0),I110,"")</f>
        <v/>
      </c>
      <c r="P110" s="67">
        <f>IF(AND(D110=1,ISNUMBER(J110),J110&gt;0),J110,"")</f>
        <v/>
      </c>
      <c r="Q110" s="67">
        <f>IF(AND(D110=1,ISNUMBER(K110),K110&gt;0),K110,"")</f>
        <v/>
      </c>
      <c r="R110" s="68">
        <f>IF(AND(ISNUMBER(F110),L$4&gt;=cfg_li_min_mid_samples),F110/L$5,"")</f>
        <v/>
      </c>
      <c r="S110" s="68">
        <f>IF(AND(ISNUMBER(G110),M$4&gt;=cfg_li_min_mid_samples),G110/M$5,"")</f>
        <v/>
      </c>
      <c r="T110" s="68">
        <f>IF(AND(ISNUMBER(H110),N$4&gt;=cfg_li_min_mid_samples),H110/N$5,"")</f>
        <v/>
      </c>
      <c r="U110" s="68">
        <f>IF(AND(ISNUMBER(I110),O$4&gt;=cfg_li_min_mid_samples),I110/O$5,"")</f>
        <v/>
      </c>
      <c r="V110" s="68">
        <f>IF(AND(ISNUMBER(J110),P$4&gt;=cfg_li_min_mid_samples),J110/P$5,"")</f>
        <v/>
      </c>
      <c r="W110" s="68">
        <f>IF(AND(ISNUMBER(K110),Q$4&gt;=cfg_li_min_mid_samples),K110/Q$5,"")</f>
        <v/>
      </c>
      <c r="X110">
        <f>COUNT(R110:W110)</f>
        <v/>
      </c>
      <c r="Y110" s="68">
        <f>IF(X110&gt;=cfg_li_min_peers,MEDIAN(R110:W110),"")</f>
        <v/>
      </c>
      <c r="Z110" s="68">
        <f>IF(AND(ISNUMBER(R110),ISNUMBER(Y110)),R110/Y110,"")</f>
        <v/>
      </c>
      <c r="AA110" s="68">
        <f>IF(AND(ISNUMBER(S110),ISNUMBER(Y110)),S110/Y110,"")</f>
        <v/>
      </c>
      <c r="AB110" s="68">
        <f>IF(AND(ISNUMBER(T110),ISNUMBER(Y110)),T110/Y110,"")</f>
        <v/>
      </c>
      <c r="AC110" s="68">
        <f>IF(AND(ISNUMBER(U110),ISNUMBER(Y110)),U110/Y110,"")</f>
        <v/>
      </c>
      <c r="AD110" s="68">
        <f>IF(AND(ISNUMBER(V110),ISNUMBER(Y110)),V110/Y110,"")</f>
        <v/>
      </c>
      <c r="AE110" s="68">
        <f>IF(AND(ISNUMBER(W110),ISNUMBER(Y110)),W110/Y110,"")</f>
        <v/>
      </c>
      <c r="AF110" s="68">
        <f>IF(AND(E110=1,ISNUMBER(Z110)),Z110,"")</f>
        <v/>
      </c>
      <c r="AG110" s="68">
        <f>IF(AND(E110=1,ISNUMBER(AA110)),AA110,"")</f>
        <v/>
      </c>
      <c r="AH110" s="68">
        <f>IF(AND(E110=1,ISNUMBER(AB110)),AB110,"")</f>
        <v/>
      </c>
      <c r="AI110" s="68">
        <f>IF(AND(E110=1,ISNUMBER(AC110)),AC110,"")</f>
        <v/>
      </c>
      <c r="AJ110" s="68">
        <f>IF(AND(E110=1,ISNUMBER(AD110)),AD110,"")</f>
        <v/>
      </c>
      <c r="AK110" s="68">
        <f>IF(AND(E110=1,ISNUMBER(AE110)),AE110,"")</f>
        <v/>
      </c>
    </row>
    <row r="111">
      <c r="A111" s="65">
        <f>Raw_Data_LI!A111</f>
        <v/>
      </c>
      <c r="B111" s="66">
        <f>Raw_Data_LI!B111</f>
        <v/>
      </c>
      <c r="C111" s="66">
        <f>Raw_Data_LI!C111</f>
        <v/>
      </c>
      <c r="D111">
        <f>IF(AND(B111&gt;=cfg_li_poa_mid_min,B111&lt;=cfg_li_poa_mid_max),1,0)</f>
        <v/>
      </c>
      <c r="E111">
        <f>IF(AND(B111&gt;=cfg_li_poa_low_min,B111&lt;=cfg_li_poa_low_max,C111&gt;=cfg_li_low_elev_min),1,0)</f>
        <v/>
      </c>
      <c r="F111" s="67">
        <f>IF(Raw_Data_LI!D111="","",Raw_Data_LI!D111/B111)</f>
        <v/>
      </c>
      <c r="G111" s="67">
        <f>IF(Raw_Data_LI!E111="","",Raw_Data_LI!E111/B111)</f>
        <v/>
      </c>
      <c r="H111" s="67">
        <f>IF(Raw_Data_LI!F111="","",Raw_Data_LI!F111/B111)</f>
        <v/>
      </c>
      <c r="I111" s="67">
        <f>IF(Raw_Data_LI!G111="","",Raw_Data_LI!G111/B111)</f>
        <v/>
      </c>
      <c r="J111" s="67">
        <f>IF(Raw_Data_LI!H111="","",Raw_Data_LI!H111/B111)</f>
        <v/>
      </c>
      <c r="K111" s="67">
        <f>IF(Raw_Data_LI!I111="","",Raw_Data_LI!I111/B111)</f>
        <v/>
      </c>
      <c r="L111" s="67">
        <f>IF(AND(D111=1,ISNUMBER(F111),F111&gt;0),F111,"")</f>
        <v/>
      </c>
      <c r="M111" s="67">
        <f>IF(AND(D111=1,ISNUMBER(G111),G111&gt;0),G111,"")</f>
        <v/>
      </c>
      <c r="N111" s="67">
        <f>IF(AND(D111=1,ISNUMBER(H111),H111&gt;0),H111,"")</f>
        <v/>
      </c>
      <c r="O111" s="67">
        <f>IF(AND(D111=1,ISNUMBER(I111),I111&gt;0),I111,"")</f>
        <v/>
      </c>
      <c r="P111" s="67">
        <f>IF(AND(D111=1,ISNUMBER(J111),J111&gt;0),J111,"")</f>
        <v/>
      </c>
      <c r="Q111" s="67">
        <f>IF(AND(D111=1,ISNUMBER(K111),K111&gt;0),K111,"")</f>
        <v/>
      </c>
      <c r="R111" s="68">
        <f>IF(AND(ISNUMBER(F111),L$4&gt;=cfg_li_min_mid_samples),F111/L$5,"")</f>
        <v/>
      </c>
      <c r="S111" s="68">
        <f>IF(AND(ISNUMBER(G111),M$4&gt;=cfg_li_min_mid_samples),G111/M$5,"")</f>
        <v/>
      </c>
      <c r="T111" s="68">
        <f>IF(AND(ISNUMBER(H111),N$4&gt;=cfg_li_min_mid_samples),H111/N$5,"")</f>
        <v/>
      </c>
      <c r="U111" s="68">
        <f>IF(AND(ISNUMBER(I111),O$4&gt;=cfg_li_min_mid_samples),I111/O$5,"")</f>
        <v/>
      </c>
      <c r="V111" s="68">
        <f>IF(AND(ISNUMBER(J111),P$4&gt;=cfg_li_min_mid_samples),J111/P$5,"")</f>
        <v/>
      </c>
      <c r="W111" s="68">
        <f>IF(AND(ISNUMBER(K111),Q$4&gt;=cfg_li_min_mid_samples),K111/Q$5,"")</f>
        <v/>
      </c>
      <c r="X111">
        <f>COUNT(R111:W111)</f>
        <v/>
      </c>
      <c r="Y111" s="68">
        <f>IF(X111&gt;=cfg_li_min_peers,MEDIAN(R111:W111),"")</f>
        <v/>
      </c>
      <c r="Z111" s="68">
        <f>IF(AND(ISNUMBER(R111),ISNUMBER(Y111)),R111/Y111,"")</f>
        <v/>
      </c>
      <c r="AA111" s="68">
        <f>IF(AND(ISNUMBER(S111),ISNUMBER(Y111)),S111/Y111,"")</f>
        <v/>
      </c>
      <c r="AB111" s="68">
        <f>IF(AND(ISNUMBER(T111),ISNUMBER(Y111)),T111/Y111,"")</f>
        <v/>
      </c>
      <c r="AC111" s="68">
        <f>IF(AND(ISNUMBER(U111),ISNUMBER(Y111)),U111/Y111,"")</f>
        <v/>
      </c>
      <c r="AD111" s="68">
        <f>IF(AND(ISNUMBER(V111),ISNUMBER(Y111)),V111/Y111,"")</f>
        <v/>
      </c>
      <c r="AE111" s="68">
        <f>IF(AND(ISNUMBER(W111),ISNUMBER(Y111)),W111/Y111,"")</f>
        <v/>
      </c>
      <c r="AF111" s="68">
        <f>IF(AND(E111=1,ISNUMBER(Z111)),Z111,"")</f>
        <v/>
      </c>
      <c r="AG111" s="68">
        <f>IF(AND(E111=1,ISNUMBER(AA111)),AA111,"")</f>
        <v/>
      </c>
      <c r="AH111" s="68">
        <f>IF(AND(E111=1,ISNUMBER(AB111)),AB111,"")</f>
        <v/>
      </c>
      <c r="AI111" s="68">
        <f>IF(AND(E111=1,ISNUMBER(AC111)),AC111,"")</f>
        <v/>
      </c>
      <c r="AJ111" s="68">
        <f>IF(AND(E111=1,ISNUMBER(AD111)),AD111,"")</f>
        <v/>
      </c>
      <c r="AK111" s="68">
        <f>IF(AND(E111=1,ISNUMBER(AE111)),AE111,"")</f>
        <v/>
      </c>
    </row>
    <row r="112">
      <c r="A112" s="65">
        <f>Raw_Data_LI!A112</f>
        <v/>
      </c>
      <c r="B112" s="66">
        <f>Raw_Data_LI!B112</f>
        <v/>
      </c>
      <c r="C112" s="66">
        <f>Raw_Data_LI!C112</f>
        <v/>
      </c>
      <c r="D112">
        <f>IF(AND(B112&gt;=cfg_li_poa_mid_min,B112&lt;=cfg_li_poa_mid_max),1,0)</f>
        <v/>
      </c>
      <c r="E112">
        <f>IF(AND(B112&gt;=cfg_li_poa_low_min,B112&lt;=cfg_li_poa_low_max,C112&gt;=cfg_li_low_elev_min),1,0)</f>
        <v/>
      </c>
      <c r="F112" s="67">
        <f>IF(Raw_Data_LI!D112="","",Raw_Data_LI!D112/B112)</f>
        <v/>
      </c>
      <c r="G112" s="67">
        <f>IF(Raw_Data_LI!E112="","",Raw_Data_LI!E112/B112)</f>
        <v/>
      </c>
      <c r="H112" s="67">
        <f>IF(Raw_Data_LI!F112="","",Raw_Data_LI!F112/B112)</f>
        <v/>
      </c>
      <c r="I112" s="67">
        <f>IF(Raw_Data_LI!G112="","",Raw_Data_LI!G112/B112)</f>
        <v/>
      </c>
      <c r="J112" s="67">
        <f>IF(Raw_Data_LI!H112="","",Raw_Data_LI!H112/B112)</f>
        <v/>
      </c>
      <c r="K112" s="67">
        <f>IF(Raw_Data_LI!I112="","",Raw_Data_LI!I112/B112)</f>
        <v/>
      </c>
      <c r="L112" s="67">
        <f>IF(AND(D112=1,ISNUMBER(F112),F112&gt;0),F112,"")</f>
        <v/>
      </c>
      <c r="M112" s="67">
        <f>IF(AND(D112=1,ISNUMBER(G112),G112&gt;0),G112,"")</f>
        <v/>
      </c>
      <c r="N112" s="67">
        <f>IF(AND(D112=1,ISNUMBER(H112),H112&gt;0),H112,"")</f>
        <v/>
      </c>
      <c r="O112" s="67">
        <f>IF(AND(D112=1,ISNUMBER(I112),I112&gt;0),I112,"")</f>
        <v/>
      </c>
      <c r="P112" s="67">
        <f>IF(AND(D112=1,ISNUMBER(J112),J112&gt;0),J112,"")</f>
        <v/>
      </c>
      <c r="Q112" s="67">
        <f>IF(AND(D112=1,ISNUMBER(K112),K112&gt;0),K112,"")</f>
        <v/>
      </c>
      <c r="R112" s="68">
        <f>IF(AND(ISNUMBER(F112),L$4&gt;=cfg_li_min_mid_samples),F112/L$5,"")</f>
        <v/>
      </c>
      <c r="S112" s="68">
        <f>IF(AND(ISNUMBER(G112),M$4&gt;=cfg_li_min_mid_samples),G112/M$5,"")</f>
        <v/>
      </c>
      <c r="T112" s="68">
        <f>IF(AND(ISNUMBER(H112),N$4&gt;=cfg_li_min_mid_samples),H112/N$5,"")</f>
        <v/>
      </c>
      <c r="U112" s="68">
        <f>IF(AND(ISNUMBER(I112),O$4&gt;=cfg_li_min_mid_samples),I112/O$5,"")</f>
        <v/>
      </c>
      <c r="V112" s="68">
        <f>IF(AND(ISNUMBER(J112),P$4&gt;=cfg_li_min_mid_samples),J112/P$5,"")</f>
        <v/>
      </c>
      <c r="W112" s="68">
        <f>IF(AND(ISNUMBER(K112),Q$4&gt;=cfg_li_min_mid_samples),K112/Q$5,"")</f>
        <v/>
      </c>
      <c r="X112">
        <f>COUNT(R112:W112)</f>
        <v/>
      </c>
      <c r="Y112" s="68">
        <f>IF(X112&gt;=cfg_li_min_peers,MEDIAN(R112:W112),"")</f>
        <v/>
      </c>
      <c r="Z112" s="68">
        <f>IF(AND(ISNUMBER(R112),ISNUMBER(Y112)),R112/Y112,"")</f>
        <v/>
      </c>
      <c r="AA112" s="68">
        <f>IF(AND(ISNUMBER(S112),ISNUMBER(Y112)),S112/Y112,"")</f>
        <v/>
      </c>
      <c r="AB112" s="68">
        <f>IF(AND(ISNUMBER(T112),ISNUMBER(Y112)),T112/Y112,"")</f>
        <v/>
      </c>
      <c r="AC112" s="68">
        <f>IF(AND(ISNUMBER(U112),ISNUMBER(Y112)),U112/Y112,"")</f>
        <v/>
      </c>
      <c r="AD112" s="68">
        <f>IF(AND(ISNUMBER(V112),ISNUMBER(Y112)),V112/Y112,"")</f>
        <v/>
      </c>
      <c r="AE112" s="68">
        <f>IF(AND(ISNUMBER(W112),ISNUMBER(Y112)),W112/Y112,"")</f>
        <v/>
      </c>
      <c r="AF112" s="68">
        <f>IF(AND(E112=1,ISNUMBER(Z112)),Z112,"")</f>
        <v/>
      </c>
      <c r="AG112" s="68">
        <f>IF(AND(E112=1,ISNUMBER(AA112)),AA112,"")</f>
        <v/>
      </c>
      <c r="AH112" s="68">
        <f>IF(AND(E112=1,ISNUMBER(AB112)),AB112,"")</f>
        <v/>
      </c>
      <c r="AI112" s="68">
        <f>IF(AND(E112=1,ISNUMBER(AC112)),AC112,"")</f>
        <v/>
      </c>
      <c r="AJ112" s="68">
        <f>IF(AND(E112=1,ISNUMBER(AD112)),AD112,"")</f>
        <v/>
      </c>
      <c r="AK112" s="68">
        <f>IF(AND(E112=1,ISNUMBER(AE112)),AE112,"")</f>
        <v/>
      </c>
    </row>
    <row r="113">
      <c r="A113" s="65">
        <f>Raw_Data_LI!A113</f>
        <v/>
      </c>
      <c r="B113" s="66">
        <f>Raw_Data_LI!B113</f>
        <v/>
      </c>
      <c r="C113" s="66">
        <f>Raw_Data_LI!C113</f>
        <v/>
      </c>
      <c r="D113">
        <f>IF(AND(B113&gt;=cfg_li_poa_mid_min,B113&lt;=cfg_li_poa_mid_max),1,0)</f>
        <v/>
      </c>
      <c r="E113">
        <f>IF(AND(B113&gt;=cfg_li_poa_low_min,B113&lt;=cfg_li_poa_low_max,C113&gt;=cfg_li_low_elev_min),1,0)</f>
        <v/>
      </c>
      <c r="F113" s="67">
        <f>IF(Raw_Data_LI!D113="","",Raw_Data_LI!D113/B113)</f>
        <v/>
      </c>
      <c r="G113" s="67">
        <f>IF(Raw_Data_LI!E113="","",Raw_Data_LI!E113/B113)</f>
        <v/>
      </c>
      <c r="H113" s="67">
        <f>IF(Raw_Data_LI!F113="","",Raw_Data_LI!F113/B113)</f>
        <v/>
      </c>
      <c r="I113" s="67">
        <f>IF(Raw_Data_LI!G113="","",Raw_Data_LI!G113/B113)</f>
        <v/>
      </c>
      <c r="J113" s="67">
        <f>IF(Raw_Data_LI!H113="","",Raw_Data_LI!H113/B113)</f>
        <v/>
      </c>
      <c r="K113" s="67">
        <f>IF(Raw_Data_LI!I113="","",Raw_Data_LI!I113/B113)</f>
        <v/>
      </c>
      <c r="L113" s="67">
        <f>IF(AND(D113=1,ISNUMBER(F113),F113&gt;0),F113,"")</f>
        <v/>
      </c>
      <c r="M113" s="67">
        <f>IF(AND(D113=1,ISNUMBER(G113),G113&gt;0),G113,"")</f>
        <v/>
      </c>
      <c r="N113" s="67">
        <f>IF(AND(D113=1,ISNUMBER(H113),H113&gt;0),H113,"")</f>
        <v/>
      </c>
      <c r="O113" s="67">
        <f>IF(AND(D113=1,ISNUMBER(I113),I113&gt;0),I113,"")</f>
        <v/>
      </c>
      <c r="P113" s="67">
        <f>IF(AND(D113=1,ISNUMBER(J113),J113&gt;0),J113,"")</f>
        <v/>
      </c>
      <c r="Q113" s="67">
        <f>IF(AND(D113=1,ISNUMBER(K113),K113&gt;0),K113,"")</f>
        <v/>
      </c>
      <c r="R113" s="68">
        <f>IF(AND(ISNUMBER(F113),L$4&gt;=cfg_li_min_mid_samples),F113/L$5,"")</f>
        <v/>
      </c>
      <c r="S113" s="68">
        <f>IF(AND(ISNUMBER(G113),M$4&gt;=cfg_li_min_mid_samples),G113/M$5,"")</f>
        <v/>
      </c>
      <c r="T113" s="68">
        <f>IF(AND(ISNUMBER(H113),N$4&gt;=cfg_li_min_mid_samples),H113/N$5,"")</f>
        <v/>
      </c>
      <c r="U113" s="68">
        <f>IF(AND(ISNUMBER(I113),O$4&gt;=cfg_li_min_mid_samples),I113/O$5,"")</f>
        <v/>
      </c>
      <c r="V113" s="68">
        <f>IF(AND(ISNUMBER(J113),P$4&gt;=cfg_li_min_mid_samples),J113/P$5,"")</f>
        <v/>
      </c>
      <c r="W113" s="68">
        <f>IF(AND(ISNUMBER(K113),Q$4&gt;=cfg_li_min_mid_samples),K113/Q$5,"")</f>
        <v/>
      </c>
      <c r="X113">
        <f>COUNT(R113:W113)</f>
        <v/>
      </c>
      <c r="Y113" s="68">
        <f>IF(X113&gt;=cfg_li_min_peers,MEDIAN(R113:W113),"")</f>
        <v/>
      </c>
      <c r="Z113" s="68">
        <f>IF(AND(ISNUMBER(R113),ISNUMBER(Y113)),R113/Y113,"")</f>
        <v/>
      </c>
      <c r="AA113" s="68">
        <f>IF(AND(ISNUMBER(S113),ISNUMBER(Y113)),S113/Y113,"")</f>
        <v/>
      </c>
      <c r="AB113" s="68">
        <f>IF(AND(ISNUMBER(T113),ISNUMBER(Y113)),T113/Y113,"")</f>
        <v/>
      </c>
      <c r="AC113" s="68">
        <f>IF(AND(ISNUMBER(U113),ISNUMBER(Y113)),U113/Y113,"")</f>
        <v/>
      </c>
      <c r="AD113" s="68">
        <f>IF(AND(ISNUMBER(V113),ISNUMBER(Y113)),V113/Y113,"")</f>
        <v/>
      </c>
      <c r="AE113" s="68">
        <f>IF(AND(ISNUMBER(W113),ISNUMBER(Y113)),W113/Y113,"")</f>
        <v/>
      </c>
      <c r="AF113" s="68">
        <f>IF(AND(E113=1,ISNUMBER(Z113)),Z113,"")</f>
        <v/>
      </c>
      <c r="AG113" s="68">
        <f>IF(AND(E113=1,ISNUMBER(AA113)),AA113,"")</f>
        <v/>
      </c>
      <c r="AH113" s="68">
        <f>IF(AND(E113=1,ISNUMBER(AB113)),AB113,"")</f>
        <v/>
      </c>
      <c r="AI113" s="68">
        <f>IF(AND(E113=1,ISNUMBER(AC113)),AC113,"")</f>
        <v/>
      </c>
      <c r="AJ113" s="68">
        <f>IF(AND(E113=1,ISNUMBER(AD113)),AD113,"")</f>
        <v/>
      </c>
      <c r="AK113" s="68">
        <f>IF(AND(E113=1,ISNUMBER(AE113)),AE113,"")</f>
        <v/>
      </c>
    </row>
    <row r="114">
      <c r="A114" s="65">
        <f>Raw_Data_LI!A114</f>
        <v/>
      </c>
      <c r="B114" s="66">
        <f>Raw_Data_LI!B114</f>
        <v/>
      </c>
      <c r="C114" s="66">
        <f>Raw_Data_LI!C114</f>
        <v/>
      </c>
      <c r="D114">
        <f>IF(AND(B114&gt;=cfg_li_poa_mid_min,B114&lt;=cfg_li_poa_mid_max),1,0)</f>
        <v/>
      </c>
      <c r="E114">
        <f>IF(AND(B114&gt;=cfg_li_poa_low_min,B114&lt;=cfg_li_poa_low_max,C114&gt;=cfg_li_low_elev_min),1,0)</f>
        <v/>
      </c>
      <c r="F114" s="67">
        <f>IF(Raw_Data_LI!D114="","",Raw_Data_LI!D114/B114)</f>
        <v/>
      </c>
      <c r="G114" s="67">
        <f>IF(Raw_Data_LI!E114="","",Raw_Data_LI!E114/B114)</f>
        <v/>
      </c>
      <c r="H114" s="67">
        <f>IF(Raw_Data_LI!F114="","",Raw_Data_LI!F114/B114)</f>
        <v/>
      </c>
      <c r="I114" s="67">
        <f>IF(Raw_Data_LI!G114="","",Raw_Data_LI!G114/B114)</f>
        <v/>
      </c>
      <c r="J114" s="67">
        <f>IF(Raw_Data_LI!H114="","",Raw_Data_LI!H114/B114)</f>
        <v/>
      </c>
      <c r="K114" s="67">
        <f>IF(Raw_Data_LI!I114="","",Raw_Data_LI!I114/B114)</f>
        <v/>
      </c>
      <c r="L114" s="67">
        <f>IF(AND(D114=1,ISNUMBER(F114),F114&gt;0),F114,"")</f>
        <v/>
      </c>
      <c r="M114" s="67">
        <f>IF(AND(D114=1,ISNUMBER(G114),G114&gt;0),G114,"")</f>
        <v/>
      </c>
      <c r="N114" s="67">
        <f>IF(AND(D114=1,ISNUMBER(H114),H114&gt;0),H114,"")</f>
        <v/>
      </c>
      <c r="O114" s="67">
        <f>IF(AND(D114=1,ISNUMBER(I114),I114&gt;0),I114,"")</f>
        <v/>
      </c>
      <c r="P114" s="67">
        <f>IF(AND(D114=1,ISNUMBER(J114),J114&gt;0),J114,"")</f>
        <v/>
      </c>
      <c r="Q114" s="67">
        <f>IF(AND(D114=1,ISNUMBER(K114),K114&gt;0),K114,"")</f>
        <v/>
      </c>
      <c r="R114" s="68">
        <f>IF(AND(ISNUMBER(F114),L$4&gt;=cfg_li_min_mid_samples),F114/L$5,"")</f>
        <v/>
      </c>
      <c r="S114" s="68">
        <f>IF(AND(ISNUMBER(G114),M$4&gt;=cfg_li_min_mid_samples),G114/M$5,"")</f>
        <v/>
      </c>
      <c r="T114" s="68">
        <f>IF(AND(ISNUMBER(H114),N$4&gt;=cfg_li_min_mid_samples),H114/N$5,"")</f>
        <v/>
      </c>
      <c r="U114" s="68">
        <f>IF(AND(ISNUMBER(I114),O$4&gt;=cfg_li_min_mid_samples),I114/O$5,"")</f>
        <v/>
      </c>
      <c r="V114" s="68">
        <f>IF(AND(ISNUMBER(J114),P$4&gt;=cfg_li_min_mid_samples),J114/P$5,"")</f>
        <v/>
      </c>
      <c r="W114" s="68">
        <f>IF(AND(ISNUMBER(K114),Q$4&gt;=cfg_li_min_mid_samples),K114/Q$5,"")</f>
        <v/>
      </c>
      <c r="X114">
        <f>COUNT(R114:W114)</f>
        <v/>
      </c>
      <c r="Y114" s="68">
        <f>IF(X114&gt;=cfg_li_min_peers,MEDIAN(R114:W114),"")</f>
        <v/>
      </c>
      <c r="Z114" s="68">
        <f>IF(AND(ISNUMBER(R114),ISNUMBER(Y114)),R114/Y114,"")</f>
        <v/>
      </c>
      <c r="AA114" s="68">
        <f>IF(AND(ISNUMBER(S114),ISNUMBER(Y114)),S114/Y114,"")</f>
        <v/>
      </c>
      <c r="AB114" s="68">
        <f>IF(AND(ISNUMBER(T114),ISNUMBER(Y114)),T114/Y114,"")</f>
        <v/>
      </c>
      <c r="AC114" s="68">
        <f>IF(AND(ISNUMBER(U114),ISNUMBER(Y114)),U114/Y114,"")</f>
        <v/>
      </c>
      <c r="AD114" s="68">
        <f>IF(AND(ISNUMBER(V114),ISNUMBER(Y114)),V114/Y114,"")</f>
        <v/>
      </c>
      <c r="AE114" s="68">
        <f>IF(AND(ISNUMBER(W114),ISNUMBER(Y114)),W114/Y114,"")</f>
        <v/>
      </c>
      <c r="AF114" s="68">
        <f>IF(AND(E114=1,ISNUMBER(Z114)),Z114,"")</f>
        <v/>
      </c>
      <c r="AG114" s="68">
        <f>IF(AND(E114=1,ISNUMBER(AA114)),AA114,"")</f>
        <v/>
      </c>
      <c r="AH114" s="68">
        <f>IF(AND(E114=1,ISNUMBER(AB114)),AB114,"")</f>
        <v/>
      </c>
      <c r="AI114" s="68">
        <f>IF(AND(E114=1,ISNUMBER(AC114)),AC114,"")</f>
        <v/>
      </c>
      <c r="AJ114" s="68">
        <f>IF(AND(E114=1,ISNUMBER(AD114)),AD114,"")</f>
        <v/>
      </c>
      <c r="AK114" s="68">
        <f>IF(AND(E114=1,ISNUMBER(AE114)),AE114,"")</f>
        <v/>
      </c>
    </row>
    <row r="115">
      <c r="A115" s="65">
        <f>Raw_Data_LI!A115</f>
        <v/>
      </c>
      <c r="B115" s="66">
        <f>Raw_Data_LI!B115</f>
        <v/>
      </c>
      <c r="C115" s="66">
        <f>Raw_Data_LI!C115</f>
        <v/>
      </c>
      <c r="D115">
        <f>IF(AND(B115&gt;=cfg_li_poa_mid_min,B115&lt;=cfg_li_poa_mid_max),1,0)</f>
        <v/>
      </c>
      <c r="E115">
        <f>IF(AND(B115&gt;=cfg_li_poa_low_min,B115&lt;=cfg_li_poa_low_max,C115&gt;=cfg_li_low_elev_min),1,0)</f>
        <v/>
      </c>
      <c r="F115" s="67">
        <f>IF(Raw_Data_LI!D115="","",Raw_Data_LI!D115/B115)</f>
        <v/>
      </c>
      <c r="G115" s="67">
        <f>IF(Raw_Data_LI!E115="","",Raw_Data_LI!E115/B115)</f>
        <v/>
      </c>
      <c r="H115" s="67">
        <f>IF(Raw_Data_LI!F115="","",Raw_Data_LI!F115/B115)</f>
        <v/>
      </c>
      <c r="I115" s="67">
        <f>IF(Raw_Data_LI!G115="","",Raw_Data_LI!G115/B115)</f>
        <v/>
      </c>
      <c r="J115" s="67">
        <f>IF(Raw_Data_LI!H115="","",Raw_Data_LI!H115/B115)</f>
        <v/>
      </c>
      <c r="K115" s="67">
        <f>IF(Raw_Data_LI!I115="","",Raw_Data_LI!I115/B115)</f>
        <v/>
      </c>
      <c r="L115" s="67">
        <f>IF(AND(D115=1,ISNUMBER(F115),F115&gt;0),F115,"")</f>
        <v/>
      </c>
      <c r="M115" s="67">
        <f>IF(AND(D115=1,ISNUMBER(G115),G115&gt;0),G115,"")</f>
        <v/>
      </c>
      <c r="N115" s="67">
        <f>IF(AND(D115=1,ISNUMBER(H115),H115&gt;0),H115,"")</f>
        <v/>
      </c>
      <c r="O115" s="67">
        <f>IF(AND(D115=1,ISNUMBER(I115),I115&gt;0),I115,"")</f>
        <v/>
      </c>
      <c r="P115" s="67">
        <f>IF(AND(D115=1,ISNUMBER(J115),J115&gt;0),J115,"")</f>
        <v/>
      </c>
      <c r="Q115" s="67">
        <f>IF(AND(D115=1,ISNUMBER(K115),K115&gt;0),K115,"")</f>
        <v/>
      </c>
      <c r="R115" s="68">
        <f>IF(AND(ISNUMBER(F115),L$4&gt;=cfg_li_min_mid_samples),F115/L$5,"")</f>
        <v/>
      </c>
      <c r="S115" s="68">
        <f>IF(AND(ISNUMBER(G115),M$4&gt;=cfg_li_min_mid_samples),G115/M$5,"")</f>
        <v/>
      </c>
      <c r="T115" s="68">
        <f>IF(AND(ISNUMBER(H115),N$4&gt;=cfg_li_min_mid_samples),H115/N$5,"")</f>
        <v/>
      </c>
      <c r="U115" s="68">
        <f>IF(AND(ISNUMBER(I115),O$4&gt;=cfg_li_min_mid_samples),I115/O$5,"")</f>
        <v/>
      </c>
      <c r="V115" s="68">
        <f>IF(AND(ISNUMBER(J115),P$4&gt;=cfg_li_min_mid_samples),J115/P$5,"")</f>
        <v/>
      </c>
      <c r="W115" s="68">
        <f>IF(AND(ISNUMBER(K115),Q$4&gt;=cfg_li_min_mid_samples),K115/Q$5,"")</f>
        <v/>
      </c>
      <c r="X115">
        <f>COUNT(R115:W115)</f>
        <v/>
      </c>
      <c r="Y115" s="68">
        <f>IF(X115&gt;=cfg_li_min_peers,MEDIAN(R115:W115),"")</f>
        <v/>
      </c>
      <c r="Z115" s="68">
        <f>IF(AND(ISNUMBER(R115),ISNUMBER(Y115)),R115/Y115,"")</f>
        <v/>
      </c>
      <c r="AA115" s="68">
        <f>IF(AND(ISNUMBER(S115),ISNUMBER(Y115)),S115/Y115,"")</f>
        <v/>
      </c>
      <c r="AB115" s="68">
        <f>IF(AND(ISNUMBER(T115),ISNUMBER(Y115)),T115/Y115,"")</f>
        <v/>
      </c>
      <c r="AC115" s="68">
        <f>IF(AND(ISNUMBER(U115),ISNUMBER(Y115)),U115/Y115,"")</f>
        <v/>
      </c>
      <c r="AD115" s="68">
        <f>IF(AND(ISNUMBER(V115),ISNUMBER(Y115)),V115/Y115,"")</f>
        <v/>
      </c>
      <c r="AE115" s="68">
        <f>IF(AND(ISNUMBER(W115),ISNUMBER(Y115)),W115/Y115,"")</f>
        <v/>
      </c>
      <c r="AF115" s="68">
        <f>IF(AND(E115=1,ISNUMBER(Z115)),Z115,"")</f>
        <v/>
      </c>
      <c r="AG115" s="68">
        <f>IF(AND(E115=1,ISNUMBER(AA115)),AA115,"")</f>
        <v/>
      </c>
      <c r="AH115" s="68">
        <f>IF(AND(E115=1,ISNUMBER(AB115)),AB115,"")</f>
        <v/>
      </c>
      <c r="AI115" s="68">
        <f>IF(AND(E115=1,ISNUMBER(AC115)),AC115,"")</f>
        <v/>
      </c>
      <c r="AJ115" s="68">
        <f>IF(AND(E115=1,ISNUMBER(AD115)),AD115,"")</f>
        <v/>
      </c>
      <c r="AK115" s="68">
        <f>IF(AND(E115=1,ISNUMBER(AE115)),AE115,"")</f>
        <v/>
      </c>
    </row>
    <row r="116">
      <c r="A116" s="65">
        <f>Raw_Data_LI!A116</f>
        <v/>
      </c>
      <c r="B116" s="66">
        <f>Raw_Data_LI!B116</f>
        <v/>
      </c>
      <c r="C116" s="66">
        <f>Raw_Data_LI!C116</f>
        <v/>
      </c>
      <c r="D116">
        <f>IF(AND(B116&gt;=cfg_li_poa_mid_min,B116&lt;=cfg_li_poa_mid_max),1,0)</f>
        <v/>
      </c>
      <c r="E116">
        <f>IF(AND(B116&gt;=cfg_li_poa_low_min,B116&lt;=cfg_li_poa_low_max,C116&gt;=cfg_li_low_elev_min),1,0)</f>
        <v/>
      </c>
      <c r="F116" s="67">
        <f>IF(Raw_Data_LI!D116="","",Raw_Data_LI!D116/B116)</f>
        <v/>
      </c>
      <c r="G116" s="67">
        <f>IF(Raw_Data_LI!E116="","",Raw_Data_LI!E116/B116)</f>
        <v/>
      </c>
      <c r="H116" s="67">
        <f>IF(Raw_Data_LI!F116="","",Raw_Data_LI!F116/B116)</f>
        <v/>
      </c>
      <c r="I116" s="67">
        <f>IF(Raw_Data_LI!G116="","",Raw_Data_LI!G116/B116)</f>
        <v/>
      </c>
      <c r="J116" s="67">
        <f>IF(Raw_Data_LI!H116="","",Raw_Data_LI!H116/B116)</f>
        <v/>
      </c>
      <c r="K116" s="67">
        <f>IF(Raw_Data_LI!I116="","",Raw_Data_LI!I116/B116)</f>
        <v/>
      </c>
      <c r="L116" s="67">
        <f>IF(AND(D116=1,ISNUMBER(F116),F116&gt;0),F116,"")</f>
        <v/>
      </c>
      <c r="M116" s="67">
        <f>IF(AND(D116=1,ISNUMBER(G116),G116&gt;0),G116,"")</f>
        <v/>
      </c>
      <c r="N116" s="67">
        <f>IF(AND(D116=1,ISNUMBER(H116),H116&gt;0),H116,"")</f>
        <v/>
      </c>
      <c r="O116" s="67">
        <f>IF(AND(D116=1,ISNUMBER(I116),I116&gt;0),I116,"")</f>
        <v/>
      </c>
      <c r="P116" s="67">
        <f>IF(AND(D116=1,ISNUMBER(J116),J116&gt;0),J116,"")</f>
        <v/>
      </c>
      <c r="Q116" s="67">
        <f>IF(AND(D116=1,ISNUMBER(K116),K116&gt;0),K116,"")</f>
        <v/>
      </c>
      <c r="R116" s="68">
        <f>IF(AND(ISNUMBER(F116),L$4&gt;=cfg_li_min_mid_samples),F116/L$5,"")</f>
        <v/>
      </c>
      <c r="S116" s="68">
        <f>IF(AND(ISNUMBER(G116),M$4&gt;=cfg_li_min_mid_samples),G116/M$5,"")</f>
        <v/>
      </c>
      <c r="T116" s="68">
        <f>IF(AND(ISNUMBER(H116),N$4&gt;=cfg_li_min_mid_samples),H116/N$5,"")</f>
        <v/>
      </c>
      <c r="U116" s="68">
        <f>IF(AND(ISNUMBER(I116),O$4&gt;=cfg_li_min_mid_samples),I116/O$5,"")</f>
        <v/>
      </c>
      <c r="V116" s="68">
        <f>IF(AND(ISNUMBER(J116),P$4&gt;=cfg_li_min_mid_samples),J116/P$5,"")</f>
        <v/>
      </c>
      <c r="W116" s="68">
        <f>IF(AND(ISNUMBER(K116),Q$4&gt;=cfg_li_min_mid_samples),K116/Q$5,"")</f>
        <v/>
      </c>
      <c r="X116">
        <f>COUNT(R116:W116)</f>
        <v/>
      </c>
      <c r="Y116" s="68">
        <f>IF(X116&gt;=cfg_li_min_peers,MEDIAN(R116:W116),"")</f>
        <v/>
      </c>
      <c r="Z116" s="68">
        <f>IF(AND(ISNUMBER(R116),ISNUMBER(Y116)),R116/Y116,"")</f>
        <v/>
      </c>
      <c r="AA116" s="68">
        <f>IF(AND(ISNUMBER(S116),ISNUMBER(Y116)),S116/Y116,"")</f>
        <v/>
      </c>
      <c r="AB116" s="68">
        <f>IF(AND(ISNUMBER(T116),ISNUMBER(Y116)),T116/Y116,"")</f>
        <v/>
      </c>
      <c r="AC116" s="68">
        <f>IF(AND(ISNUMBER(U116),ISNUMBER(Y116)),U116/Y116,"")</f>
        <v/>
      </c>
      <c r="AD116" s="68">
        <f>IF(AND(ISNUMBER(V116),ISNUMBER(Y116)),V116/Y116,"")</f>
        <v/>
      </c>
      <c r="AE116" s="68">
        <f>IF(AND(ISNUMBER(W116),ISNUMBER(Y116)),W116/Y116,"")</f>
        <v/>
      </c>
      <c r="AF116" s="68">
        <f>IF(AND(E116=1,ISNUMBER(Z116)),Z116,"")</f>
        <v/>
      </c>
      <c r="AG116" s="68">
        <f>IF(AND(E116=1,ISNUMBER(AA116)),AA116,"")</f>
        <v/>
      </c>
      <c r="AH116" s="68">
        <f>IF(AND(E116=1,ISNUMBER(AB116)),AB116,"")</f>
        <v/>
      </c>
      <c r="AI116" s="68">
        <f>IF(AND(E116=1,ISNUMBER(AC116)),AC116,"")</f>
        <v/>
      </c>
      <c r="AJ116" s="68">
        <f>IF(AND(E116=1,ISNUMBER(AD116)),AD116,"")</f>
        <v/>
      </c>
      <c r="AK116" s="68">
        <f>IF(AND(E116=1,ISNUMBER(AE116)),AE116,"")</f>
        <v/>
      </c>
    </row>
    <row r="117">
      <c r="A117" s="65">
        <f>Raw_Data_LI!A117</f>
        <v/>
      </c>
      <c r="B117" s="66">
        <f>Raw_Data_LI!B117</f>
        <v/>
      </c>
      <c r="C117" s="66">
        <f>Raw_Data_LI!C117</f>
        <v/>
      </c>
      <c r="D117">
        <f>IF(AND(B117&gt;=cfg_li_poa_mid_min,B117&lt;=cfg_li_poa_mid_max),1,0)</f>
        <v/>
      </c>
      <c r="E117">
        <f>IF(AND(B117&gt;=cfg_li_poa_low_min,B117&lt;=cfg_li_poa_low_max,C117&gt;=cfg_li_low_elev_min),1,0)</f>
        <v/>
      </c>
      <c r="F117" s="67">
        <f>IF(Raw_Data_LI!D117="","",Raw_Data_LI!D117/B117)</f>
        <v/>
      </c>
      <c r="G117" s="67">
        <f>IF(Raw_Data_LI!E117="","",Raw_Data_LI!E117/B117)</f>
        <v/>
      </c>
      <c r="H117" s="67">
        <f>IF(Raw_Data_LI!F117="","",Raw_Data_LI!F117/B117)</f>
        <v/>
      </c>
      <c r="I117" s="67">
        <f>IF(Raw_Data_LI!G117="","",Raw_Data_LI!G117/B117)</f>
        <v/>
      </c>
      <c r="J117" s="67">
        <f>IF(Raw_Data_LI!H117="","",Raw_Data_LI!H117/B117)</f>
        <v/>
      </c>
      <c r="K117" s="67">
        <f>IF(Raw_Data_LI!I117="","",Raw_Data_LI!I117/B117)</f>
        <v/>
      </c>
      <c r="L117" s="67">
        <f>IF(AND(D117=1,ISNUMBER(F117),F117&gt;0),F117,"")</f>
        <v/>
      </c>
      <c r="M117" s="67">
        <f>IF(AND(D117=1,ISNUMBER(G117),G117&gt;0),G117,"")</f>
        <v/>
      </c>
      <c r="N117" s="67">
        <f>IF(AND(D117=1,ISNUMBER(H117),H117&gt;0),H117,"")</f>
        <v/>
      </c>
      <c r="O117" s="67">
        <f>IF(AND(D117=1,ISNUMBER(I117),I117&gt;0),I117,"")</f>
        <v/>
      </c>
      <c r="P117" s="67">
        <f>IF(AND(D117=1,ISNUMBER(J117),J117&gt;0),J117,"")</f>
        <v/>
      </c>
      <c r="Q117" s="67">
        <f>IF(AND(D117=1,ISNUMBER(K117),K117&gt;0),K117,"")</f>
        <v/>
      </c>
      <c r="R117" s="68">
        <f>IF(AND(ISNUMBER(F117),L$4&gt;=cfg_li_min_mid_samples),F117/L$5,"")</f>
        <v/>
      </c>
      <c r="S117" s="68">
        <f>IF(AND(ISNUMBER(G117),M$4&gt;=cfg_li_min_mid_samples),G117/M$5,"")</f>
        <v/>
      </c>
      <c r="T117" s="68">
        <f>IF(AND(ISNUMBER(H117),N$4&gt;=cfg_li_min_mid_samples),H117/N$5,"")</f>
        <v/>
      </c>
      <c r="U117" s="68">
        <f>IF(AND(ISNUMBER(I117),O$4&gt;=cfg_li_min_mid_samples),I117/O$5,"")</f>
        <v/>
      </c>
      <c r="V117" s="68">
        <f>IF(AND(ISNUMBER(J117),P$4&gt;=cfg_li_min_mid_samples),J117/P$5,"")</f>
        <v/>
      </c>
      <c r="W117" s="68">
        <f>IF(AND(ISNUMBER(K117),Q$4&gt;=cfg_li_min_mid_samples),K117/Q$5,"")</f>
        <v/>
      </c>
      <c r="X117">
        <f>COUNT(R117:W117)</f>
        <v/>
      </c>
      <c r="Y117" s="68">
        <f>IF(X117&gt;=cfg_li_min_peers,MEDIAN(R117:W117),"")</f>
        <v/>
      </c>
      <c r="Z117" s="68">
        <f>IF(AND(ISNUMBER(R117),ISNUMBER(Y117)),R117/Y117,"")</f>
        <v/>
      </c>
      <c r="AA117" s="68">
        <f>IF(AND(ISNUMBER(S117),ISNUMBER(Y117)),S117/Y117,"")</f>
        <v/>
      </c>
      <c r="AB117" s="68">
        <f>IF(AND(ISNUMBER(T117),ISNUMBER(Y117)),T117/Y117,"")</f>
        <v/>
      </c>
      <c r="AC117" s="68">
        <f>IF(AND(ISNUMBER(U117),ISNUMBER(Y117)),U117/Y117,"")</f>
        <v/>
      </c>
      <c r="AD117" s="68">
        <f>IF(AND(ISNUMBER(V117),ISNUMBER(Y117)),V117/Y117,"")</f>
        <v/>
      </c>
      <c r="AE117" s="68">
        <f>IF(AND(ISNUMBER(W117),ISNUMBER(Y117)),W117/Y117,"")</f>
        <v/>
      </c>
      <c r="AF117" s="68">
        <f>IF(AND(E117=1,ISNUMBER(Z117)),Z117,"")</f>
        <v/>
      </c>
      <c r="AG117" s="68">
        <f>IF(AND(E117=1,ISNUMBER(AA117)),AA117,"")</f>
        <v/>
      </c>
      <c r="AH117" s="68">
        <f>IF(AND(E117=1,ISNUMBER(AB117)),AB117,"")</f>
        <v/>
      </c>
      <c r="AI117" s="68">
        <f>IF(AND(E117=1,ISNUMBER(AC117)),AC117,"")</f>
        <v/>
      </c>
      <c r="AJ117" s="68">
        <f>IF(AND(E117=1,ISNUMBER(AD117)),AD117,"")</f>
        <v/>
      </c>
      <c r="AK117" s="68">
        <f>IF(AND(E117=1,ISNUMBER(AE117)),AE117,"")</f>
        <v/>
      </c>
    </row>
    <row r="118">
      <c r="A118" s="65">
        <f>Raw_Data_LI!A118</f>
        <v/>
      </c>
      <c r="B118" s="66">
        <f>Raw_Data_LI!B118</f>
        <v/>
      </c>
      <c r="C118" s="66">
        <f>Raw_Data_LI!C118</f>
        <v/>
      </c>
      <c r="D118">
        <f>IF(AND(B118&gt;=cfg_li_poa_mid_min,B118&lt;=cfg_li_poa_mid_max),1,0)</f>
        <v/>
      </c>
      <c r="E118">
        <f>IF(AND(B118&gt;=cfg_li_poa_low_min,B118&lt;=cfg_li_poa_low_max,C118&gt;=cfg_li_low_elev_min),1,0)</f>
        <v/>
      </c>
      <c r="F118" s="67">
        <f>IF(Raw_Data_LI!D118="","",Raw_Data_LI!D118/B118)</f>
        <v/>
      </c>
      <c r="G118" s="67">
        <f>IF(Raw_Data_LI!E118="","",Raw_Data_LI!E118/B118)</f>
        <v/>
      </c>
      <c r="H118" s="67">
        <f>IF(Raw_Data_LI!F118="","",Raw_Data_LI!F118/B118)</f>
        <v/>
      </c>
      <c r="I118" s="67">
        <f>IF(Raw_Data_LI!G118="","",Raw_Data_LI!G118/B118)</f>
        <v/>
      </c>
      <c r="J118" s="67">
        <f>IF(Raw_Data_LI!H118="","",Raw_Data_LI!H118/B118)</f>
        <v/>
      </c>
      <c r="K118" s="67">
        <f>IF(Raw_Data_LI!I118="","",Raw_Data_LI!I118/B118)</f>
        <v/>
      </c>
      <c r="L118" s="67">
        <f>IF(AND(D118=1,ISNUMBER(F118),F118&gt;0),F118,"")</f>
        <v/>
      </c>
      <c r="M118" s="67">
        <f>IF(AND(D118=1,ISNUMBER(G118),G118&gt;0),G118,"")</f>
        <v/>
      </c>
      <c r="N118" s="67">
        <f>IF(AND(D118=1,ISNUMBER(H118),H118&gt;0),H118,"")</f>
        <v/>
      </c>
      <c r="O118" s="67">
        <f>IF(AND(D118=1,ISNUMBER(I118),I118&gt;0),I118,"")</f>
        <v/>
      </c>
      <c r="P118" s="67">
        <f>IF(AND(D118=1,ISNUMBER(J118),J118&gt;0),J118,"")</f>
        <v/>
      </c>
      <c r="Q118" s="67">
        <f>IF(AND(D118=1,ISNUMBER(K118),K118&gt;0),K118,"")</f>
        <v/>
      </c>
      <c r="R118" s="68">
        <f>IF(AND(ISNUMBER(F118),L$4&gt;=cfg_li_min_mid_samples),F118/L$5,"")</f>
        <v/>
      </c>
      <c r="S118" s="68">
        <f>IF(AND(ISNUMBER(G118),M$4&gt;=cfg_li_min_mid_samples),G118/M$5,"")</f>
        <v/>
      </c>
      <c r="T118" s="68">
        <f>IF(AND(ISNUMBER(H118),N$4&gt;=cfg_li_min_mid_samples),H118/N$5,"")</f>
        <v/>
      </c>
      <c r="U118" s="68">
        <f>IF(AND(ISNUMBER(I118),O$4&gt;=cfg_li_min_mid_samples),I118/O$5,"")</f>
        <v/>
      </c>
      <c r="V118" s="68">
        <f>IF(AND(ISNUMBER(J118),P$4&gt;=cfg_li_min_mid_samples),J118/P$5,"")</f>
        <v/>
      </c>
      <c r="W118" s="68">
        <f>IF(AND(ISNUMBER(K118),Q$4&gt;=cfg_li_min_mid_samples),K118/Q$5,"")</f>
        <v/>
      </c>
      <c r="X118">
        <f>COUNT(R118:W118)</f>
        <v/>
      </c>
      <c r="Y118" s="68">
        <f>IF(X118&gt;=cfg_li_min_peers,MEDIAN(R118:W118),"")</f>
        <v/>
      </c>
      <c r="Z118" s="68">
        <f>IF(AND(ISNUMBER(R118),ISNUMBER(Y118)),R118/Y118,"")</f>
        <v/>
      </c>
      <c r="AA118" s="68">
        <f>IF(AND(ISNUMBER(S118),ISNUMBER(Y118)),S118/Y118,"")</f>
        <v/>
      </c>
      <c r="AB118" s="68">
        <f>IF(AND(ISNUMBER(T118),ISNUMBER(Y118)),T118/Y118,"")</f>
        <v/>
      </c>
      <c r="AC118" s="68">
        <f>IF(AND(ISNUMBER(U118),ISNUMBER(Y118)),U118/Y118,"")</f>
        <v/>
      </c>
      <c r="AD118" s="68">
        <f>IF(AND(ISNUMBER(V118),ISNUMBER(Y118)),V118/Y118,"")</f>
        <v/>
      </c>
      <c r="AE118" s="68">
        <f>IF(AND(ISNUMBER(W118),ISNUMBER(Y118)),W118/Y118,"")</f>
        <v/>
      </c>
      <c r="AF118" s="68">
        <f>IF(AND(E118=1,ISNUMBER(Z118)),Z118,"")</f>
        <v/>
      </c>
      <c r="AG118" s="68">
        <f>IF(AND(E118=1,ISNUMBER(AA118)),AA118,"")</f>
        <v/>
      </c>
      <c r="AH118" s="68">
        <f>IF(AND(E118=1,ISNUMBER(AB118)),AB118,"")</f>
        <v/>
      </c>
      <c r="AI118" s="68">
        <f>IF(AND(E118=1,ISNUMBER(AC118)),AC118,"")</f>
        <v/>
      </c>
      <c r="AJ118" s="68">
        <f>IF(AND(E118=1,ISNUMBER(AD118)),AD118,"")</f>
        <v/>
      </c>
      <c r="AK118" s="68">
        <f>IF(AND(E118=1,ISNUMBER(AE118)),AE118,"")</f>
        <v/>
      </c>
    </row>
    <row r="119">
      <c r="A119" s="65">
        <f>Raw_Data_LI!A119</f>
        <v/>
      </c>
      <c r="B119" s="66">
        <f>Raw_Data_LI!B119</f>
        <v/>
      </c>
      <c r="C119" s="66">
        <f>Raw_Data_LI!C119</f>
        <v/>
      </c>
      <c r="D119">
        <f>IF(AND(B119&gt;=cfg_li_poa_mid_min,B119&lt;=cfg_li_poa_mid_max),1,0)</f>
        <v/>
      </c>
      <c r="E119">
        <f>IF(AND(B119&gt;=cfg_li_poa_low_min,B119&lt;=cfg_li_poa_low_max,C119&gt;=cfg_li_low_elev_min),1,0)</f>
        <v/>
      </c>
      <c r="F119" s="67">
        <f>IF(Raw_Data_LI!D119="","",Raw_Data_LI!D119/B119)</f>
        <v/>
      </c>
      <c r="G119" s="67">
        <f>IF(Raw_Data_LI!E119="","",Raw_Data_LI!E119/B119)</f>
        <v/>
      </c>
      <c r="H119" s="67">
        <f>IF(Raw_Data_LI!F119="","",Raw_Data_LI!F119/B119)</f>
        <v/>
      </c>
      <c r="I119" s="67">
        <f>IF(Raw_Data_LI!G119="","",Raw_Data_LI!G119/B119)</f>
        <v/>
      </c>
      <c r="J119" s="67">
        <f>IF(Raw_Data_LI!H119="","",Raw_Data_LI!H119/B119)</f>
        <v/>
      </c>
      <c r="K119" s="67">
        <f>IF(Raw_Data_LI!I119="","",Raw_Data_LI!I119/B119)</f>
        <v/>
      </c>
      <c r="L119" s="67">
        <f>IF(AND(D119=1,ISNUMBER(F119),F119&gt;0),F119,"")</f>
        <v/>
      </c>
      <c r="M119" s="67">
        <f>IF(AND(D119=1,ISNUMBER(G119),G119&gt;0),G119,"")</f>
        <v/>
      </c>
      <c r="N119" s="67">
        <f>IF(AND(D119=1,ISNUMBER(H119),H119&gt;0),H119,"")</f>
        <v/>
      </c>
      <c r="O119" s="67">
        <f>IF(AND(D119=1,ISNUMBER(I119),I119&gt;0),I119,"")</f>
        <v/>
      </c>
      <c r="P119" s="67">
        <f>IF(AND(D119=1,ISNUMBER(J119),J119&gt;0),J119,"")</f>
        <v/>
      </c>
      <c r="Q119" s="67">
        <f>IF(AND(D119=1,ISNUMBER(K119),K119&gt;0),K119,"")</f>
        <v/>
      </c>
      <c r="R119" s="68">
        <f>IF(AND(ISNUMBER(F119),L$4&gt;=cfg_li_min_mid_samples),F119/L$5,"")</f>
        <v/>
      </c>
      <c r="S119" s="68">
        <f>IF(AND(ISNUMBER(G119),M$4&gt;=cfg_li_min_mid_samples),G119/M$5,"")</f>
        <v/>
      </c>
      <c r="T119" s="68">
        <f>IF(AND(ISNUMBER(H119),N$4&gt;=cfg_li_min_mid_samples),H119/N$5,"")</f>
        <v/>
      </c>
      <c r="U119" s="68">
        <f>IF(AND(ISNUMBER(I119),O$4&gt;=cfg_li_min_mid_samples),I119/O$5,"")</f>
        <v/>
      </c>
      <c r="V119" s="68">
        <f>IF(AND(ISNUMBER(J119),P$4&gt;=cfg_li_min_mid_samples),J119/P$5,"")</f>
        <v/>
      </c>
      <c r="W119" s="68">
        <f>IF(AND(ISNUMBER(K119),Q$4&gt;=cfg_li_min_mid_samples),K119/Q$5,"")</f>
        <v/>
      </c>
      <c r="X119">
        <f>COUNT(R119:W119)</f>
        <v/>
      </c>
      <c r="Y119" s="68">
        <f>IF(X119&gt;=cfg_li_min_peers,MEDIAN(R119:W119),"")</f>
        <v/>
      </c>
      <c r="Z119" s="68">
        <f>IF(AND(ISNUMBER(R119),ISNUMBER(Y119)),R119/Y119,"")</f>
        <v/>
      </c>
      <c r="AA119" s="68">
        <f>IF(AND(ISNUMBER(S119),ISNUMBER(Y119)),S119/Y119,"")</f>
        <v/>
      </c>
      <c r="AB119" s="68">
        <f>IF(AND(ISNUMBER(T119),ISNUMBER(Y119)),T119/Y119,"")</f>
        <v/>
      </c>
      <c r="AC119" s="68">
        <f>IF(AND(ISNUMBER(U119),ISNUMBER(Y119)),U119/Y119,"")</f>
        <v/>
      </c>
      <c r="AD119" s="68">
        <f>IF(AND(ISNUMBER(V119),ISNUMBER(Y119)),V119/Y119,"")</f>
        <v/>
      </c>
      <c r="AE119" s="68">
        <f>IF(AND(ISNUMBER(W119),ISNUMBER(Y119)),W119/Y119,"")</f>
        <v/>
      </c>
      <c r="AF119" s="68">
        <f>IF(AND(E119=1,ISNUMBER(Z119)),Z119,"")</f>
        <v/>
      </c>
      <c r="AG119" s="68">
        <f>IF(AND(E119=1,ISNUMBER(AA119)),AA119,"")</f>
        <v/>
      </c>
      <c r="AH119" s="68">
        <f>IF(AND(E119=1,ISNUMBER(AB119)),AB119,"")</f>
        <v/>
      </c>
      <c r="AI119" s="68">
        <f>IF(AND(E119=1,ISNUMBER(AC119)),AC119,"")</f>
        <v/>
      </c>
      <c r="AJ119" s="68">
        <f>IF(AND(E119=1,ISNUMBER(AD119)),AD119,"")</f>
        <v/>
      </c>
      <c r="AK119" s="68">
        <f>IF(AND(E119=1,ISNUMBER(AE119)),AE119,"")</f>
        <v/>
      </c>
    </row>
    <row r="120">
      <c r="A120" s="65">
        <f>Raw_Data_LI!A120</f>
        <v/>
      </c>
      <c r="B120" s="66">
        <f>Raw_Data_LI!B120</f>
        <v/>
      </c>
      <c r="C120" s="66">
        <f>Raw_Data_LI!C120</f>
        <v/>
      </c>
      <c r="D120">
        <f>IF(AND(B120&gt;=cfg_li_poa_mid_min,B120&lt;=cfg_li_poa_mid_max),1,0)</f>
        <v/>
      </c>
      <c r="E120">
        <f>IF(AND(B120&gt;=cfg_li_poa_low_min,B120&lt;=cfg_li_poa_low_max,C120&gt;=cfg_li_low_elev_min),1,0)</f>
        <v/>
      </c>
      <c r="F120" s="67">
        <f>IF(Raw_Data_LI!D120="","",Raw_Data_LI!D120/B120)</f>
        <v/>
      </c>
      <c r="G120" s="67">
        <f>IF(Raw_Data_LI!E120="","",Raw_Data_LI!E120/B120)</f>
        <v/>
      </c>
      <c r="H120" s="67">
        <f>IF(Raw_Data_LI!F120="","",Raw_Data_LI!F120/B120)</f>
        <v/>
      </c>
      <c r="I120" s="67">
        <f>IF(Raw_Data_LI!G120="","",Raw_Data_LI!G120/B120)</f>
        <v/>
      </c>
      <c r="J120" s="67">
        <f>IF(Raw_Data_LI!H120="","",Raw_Data_LI!H120/B120)</f>
        <v/>
      </c>
      <c r="K120" s="67">
        <f>IF(Raw_Data_LI!I120="","",Raw_Data_LI!I120/B120)</f>
        <v/>
      </c>
      <c r="L120" s="67">
        <f>IF(AND(D120=1,ISNUMBER(F120),F120&gt;0),F120,"")</f>
        <v/>
      </c>
      <c r="M120" s="67">
        <f>IF(AND(D120=1,ISNUMBER(G120),G120&gt;0),G120,"")</f>
        <v/>
      </c>
      <c r="N120" s="67">
        <f>IF(AND(D120=1,ISNUMBER(H120),H120&gt;0),H120,"")</f>
        <v/>
      </c>
      <c r="O120" s="67">
        <f>IF(AND(D120=1,ISNUMBER(I120),I120&gt;0),I120,"")</f>
        <v/>
      </c>
      <c r="P120" s="67">
        <f>IF(AND(D120=1,ISNUMBER(J120),J120&gt;0),J120,"")</f>
        <v/>
      </c>
      <c r="Q120" s="67">
        <f>IF(AND(D120=1,ISNUMBER(K120),K120&gt;0),K120,"")</f>
        <v/>
      </c>
      <c r="R120" s="68">
        <f>IF(AND(ISNUMBER(F120),L$4&gt;=cfg_li_min_mid_samples),F120/L$5,"")</f>
        <v/>
      </c>
      <c r="S120" s="68">
        <f>IF(AND(ISNUMBER(G120),M$4&gt;=cfg_li_min_mid_samples),G120/M$5,"")</f>
        <v/>
      </c>
      <c r="T120" s="68">
        <f>IF(AND(ISNUMBER(H120),N$4&gt;=cfg_li_min_mid_samples),H120/N$5,"")</f>
        <v/>
      </c>
      <c r="U120" s="68">
        <f>IF(AND(ISNUMBER(I120),O$4&gt;=cfg_li_min_mid_samples),I120/O$5,"")</f>
        <v/>
      </c>
      <c r="V120" s="68">
        <f>IF(AND(ISNUMBER(J120),P$4&gt;=cfg_li_min_mid_samples),J120/P$5,"")</f>
        <v/>
      </c>
      <c r="W120" s="68">
        <f>IF(AND(ISNUMBER(K120),Q$4&gt;=cfg_li_min_mid_samples),K120/Q$5,"")</f>
        <v/>
      </c>
      <c r="X120">
        <f>COUNT(R120:W120)</f>
        <v/>
      </c>
      <c r="Y120" s="68">
        <f>IF(X120&gt;=cfg_li_min_peers,MEDIAN(R120:W120),"")</f>
        <v/>
      </c>
      <c r="Z120" s="68">
        <f>IF(AND(ISNUMBER(R120),ISNUMBER(Y120)),R120/Y120,"")</f>
        <v/>
      </c>
      <c r="AA120" s="68">
        <f>IF(AND(ISNUMBER(S120),ISNUMBER(Y120)),S120/Y120,"")</f>
        <v/>
      </c>
      <c r="AB120" s="68">
        <f>IF(AND(ISNUMBER(T120),ISNUMBER(Y120)),T120/Y120,"")</f>
        <v/>
      </c>
      <c r="AC120" s="68">
        <f>IF(AND(ISNUMBER(U120),ISNUMBER(Y120)),U120/Y120,"")</f>
        <v/>
      </c>
      <c r="AD120" s="68">
        <f>IF(AND(ISNUMBER(V120),ISNUMBER(Y120)),V120/Y120,"")</f>
        <v/>
      </c>
      <c r="AE120" s="68">
        <f>IF(AND(ISNUMBER(W120),ISNUMBER(Y120)),W120/Y120,"")</f>
        <v/>
      </c>
      <c r="AF120" s="68">
        <f>IF(AND(E120=1,ISNUMBER(Z120)),Z120,"")</f>
        <v/>
      </c>
      <c r="AG120" s="68">
        <f>IF(AND(E120=1,ISNUMBER(AA120)),AA120,"")</f>
        <v/>
      </c>
      <c r="AH120" s="68">
        <f>IF(AND(E120=1,ISNUMBER(AB120)),AB120,"")</f>
        <v/>
      </c>
      <c r="AI120" s="68">
        <f>IF(AND(E120=1,ISNUMBER(AC120)),AC120,"")</f>
        <v/>
      </c>
      <c r="AJ120" s="68">
        <f>IF(AND(E120=1,ISNUMBER(AD120)),AD120,"")</f>
        <v/>
      </c>
      <c r="AK120" s="68">
        <f>IF(AND(E120=1,ISNUMBER(AE120)),AE120,"")</f>
        <v/>
      </c>
    </row>
    <row r="121">
      <c r="A121" s="65">
        <f>Raw_Data_LI!A121</f>
        <v/>
      </c>
      <c r="B121" s="66">
        <f>Raw_Data_LI!B121</f>
        <v/>
      </c>
      <c r="C121" s="66">
        <f>Raw_Data_LI!C121</f>
        <v/>
      </c>
      <c r="D121">
        <f>IF(AND(B121&gt;=cfg_li_poa_mid_min,B121&lt;=cfg_li_poa_mid_max),1,0)</f>
        <v/>
      </c>
      <c r="E121">
        <f>IF(AND(B121&gt;=cfg_li_poa_low_min,B121&lt;=cfg_li_poa_low_max,C121&gt;=cfg_li_low_elev_min),1,0)</f>
        <v/>
      </c>
      <c r="F121" s="67">
        <f>IF(Raw_Data_LI!D121="","",Raw_Data_LI!D121/B121)</f>
        <v/>
      </c>
      <c r="G121" s="67">
        <f>IF(Raw_Data_LI!E121="","",Raw_Data_LI!E121/B121)</f>
        <v/>
      </c>
      <c r="H121" s="67">
        <f>IF(Raw_Data_LI!F121="","",Raw_Data_LI!F121/B121)</f>
        <v/>
      </c>
      <c r="I121" s="67">
        <f>IF(Raw_Data_LI!G121="","",Raw_Data_LI!G121/B121)</f>
        <v/>
      </c>
      <c r="J121" s="67">
        <f>IF(Raw_Data_LI!H121="","",Raw_Data_LI!H121/B121)</f>
        <v/>
      </c>
      <c r="K121" s="67">
        <f>IF(Raw_Data_LI!I121="","",Raw_Data_LI!I121/B121)</f>
        <v/>
      </c>
      <c r="L121" s="67">
        <f>IF(AND(D121=1,ISNUMBER(F121),F121&gt;0),F121,"")</f>
        <v/>
      </c>
      <c r="M121" s="67">
        <f>IF(AND(D121=1,ISNUMBER(G121),G121&gt;0),G121,"")</f>
        <v/>
      </c>
      <c r="N121" s="67">
        <f>IF(AND(D121=1,ISNUMBER(H121),H121&gt;0),H121,"")</f>
        <v/>
      </c>
      <c r="O121" s="67">
        <f>IF(AND(D121=1,ISNUMBER(I121),I121&gt;0),I121,"")</f>
        <v/>
      </c>
      <c r="P121" s="67">
        <f>IF(AND(D121=1,ISNUMBER(J121),J121&gt;0),J121,"")</f>
        <v/>
      </c>
      <c r="Q121" s="67">
        <f>IF(AND(D121=1,ISNUMBER(K121),K121&gt;0),K121,"")</f>
        <v/>
      </c>
      <c r="R121" s="68">
        <f>IF(AND(ISNUMBER(F121),L$4&gt;=cfg_li_min_mid_samples),F121/L$5,"")</f>
        <v/>
      </c>
      <c r="S121" s="68">
        <f>IF(AND(ISNUMBER(G121),M$4&gt;=cfg_li_min_mid_samples),G121/M$5,"")</f>
        <v/>
      </c>
      <c r="T121" s="68">
        <f>IF(AND(ISNUMBER(H121),N$4&gt;=cfg_li_min_mid_samples),H121/N$5,"")</f>
        <v/>
      </c>
      <c r="U121" s="68">
        <f>IF(AND(ISNUMBER(I121),O$4&gt;=cfg_li_min_mid_samples),I121/O$5,"")</f>
        <v/>
      </c>
      <c r="V121" s="68">
        <f>IF(AND(ISNUMBER(J121),P$4&gt;=cfg_li_min_mid_samples),J121/P$5,"")</f>
        <v/>
      </c>
      <c r="W121" s="68">
        <f>IF(AND(ISNUMBER(K121),Q$4&gt;=cfg_li_min_mid_samples),K121/Q$5,"")</f>
        <v/>
      </c>
      <c r="X121">
        <f>COUNT(R121:W121)</f>
        <v/>
      </c>
      <c r="Y121" s="68">
        <f>IF(X121&gt;=cfg_li_min_peers,MEDIAN(R121:W121),"")</f>
        <v/>
      </c>
      <c r="Z121" s="68">
        <f>IF(AND(ISNUMBER(R121),ISNUMBER(Y121)),R121/Y121,"")</f>
        <v/>
      </c>
      <c r="AA121" s="68">
        <f>IF(AND(ISNUMBER(S121),ISNUMBER(Y121)),S121/Y121,"")</f>
        <v/>
      </c>
      <c r="AB121" s="68">
        <f>IF(AND(ISNUMBER(T121),ISNUMBER(Y121)),T121/Y121,"")</f>
        <v/>
      </c>
      <c r="AC121" s="68">
        <f>IF(AND(ISNUMBER(U121),ISNUMBER(Y121)),U121/Y121,"")</f>
        <v/>
      </c>
      <c r="AD121" s="68">
        <f>IF(AND(ISNUMBER(V121),ISNUMBER(Y121)),V121/Y121,"")</f>
        <v/>
      </c>
      <c r="AE121" s="68">
        <f>IF(AND(ISNUMBER(W121),ISNUMBER(Y121)),W121/Y121,"")</f>
        <v/>
      </c>
      <c r="AF121" s="68">
        <f>IF(AND(E121=1,ISNUMBER(Z121)),Z121,"")</f>
        <v/>
      </c>
      <c r="AG121" s="68">
        <f>IF(AND(E121=1,ISNUMBER(AA121)),AA121,"")</f>
        <v/>
      </c>
      <c r="AH121" s="68">
        <f>IF(AND(E121=1,ISNUMBER(AB121)),AB121,"")</f>
        <v/>
      </c>
      <c r="AI121" s="68">
        <f>IF(AND(E121=1,ISNUMBER(AC121)),AC121,"")</f>
        <v/>
      </c>
      <c r="AJ121" s="68">
        <f>IF(AND(E121=1,ISNUMBER(AD121)),AD121,"")</f>
        <v/>
      </c>
      <c r="AK121" s="68">
        <f>IF(AND(E121=1,ISNUMBER(AE121)),AE121,"")</f>
        <v/>
      </c>
    </row>
    <row r="122">
      <c r="A122" s="65">
        <f>Raw_Data_LI!A122</f>
        <v/>
      </c>
      <c r="B122" s="66">
        <f>Raw_Data_LI!B122</f>
        <v/>
      </c>
      <c r="C122" s="66">
        <f>Raw_Data_LI!C122</f>
        <v/>
      </c>
      <c r="D122">
        <f>IF(AND(B122&gt;=cfg_li_poa_mid_min,B122&lt;=cfg_li_poa_mid_max),1,0)</f>
        <v/>
      </c>
      <c r="E122">
        <f>IF(AND(B122&gt;=cfg_li_poa_low_min,B122&lt;=cfg_li_poa_low_max,C122&gt;=cfg_li_low_elev_min),1,0)</f>
        <v/>
      </c>
      <c r="F122" s="67">
        <f>IF(Raw_Data_LI!D122="","",Raw_Data_LI!D122/B122)</f>
        <v/>
      </c>
      <c r="G122" s="67">
        <f>IF(Raw_Data_LI!E122="","",Raw_Data_LI!E122/B122)</f>
        <v/>
      </c>
      <c r="H122" s="67">
        <f>IF(Raw_Data_LI!F122="","",Raw_Data_LI!F122/B122)</f>
        <v/>
      </c>
      <c r="I122" s="67">
        <f>IF(Raw_Data_LI!G122="","",Raw_Data_LI!G122/B122)</f>
        <v/>
      </c>
      <c r="J122" s="67">
        <f>IF(Raw_Data_LI!H122="","",Raw_Data_LI!H122/B122)</f>
        <v/>
      </c>
      <c r="K122" s="67">
        <f>IF(Raw_Data_LI!I122="","",Raw_Data_LI!I122/B122)</f>
        <v/>
      </c>
      <c r="L122" s="67">
        <f>IF(AND(D122=1,ISNUMBER(F122),F122&gt;0),F122,"")</f>
        <v/>
      </c>
      <c r="M122" s="67">
        <f>IF(AND(D122=1,ISNUMBER(G122),G122&gt;0),G122,"")</f>
        <v/>
      </c>
      <c r="N122" s="67">
        <f>IF(AND(D122=1,ISNUMBER(H122),H122&gt;0),H122,"")</f>
        <v/>
      </c>
      <c r="O122" s="67">
        <f>IF(AND(D122=1,ISNUMBER(I122),I122&gt;0),I122,"")</f>
        <v/>
      </c>
      <c r="P122" s="67">
        <f>IF(AND(D122=1,ISNUMBER(J122),J122&gt;0),J122,"")</f>
        <v/>
      </c>
      <c r="Q122" s="67">
        <f>IF(AND(D122=1,ISNUMBER(K122),K122&gt;0),K122,"")</f>
        <v/>
      </c>
      <c r="R122" s="68">
        <f>IF(AND(ISNUMBER(F122),L$4&gt;=cfg_li_min_mid_samples),F122/L$5,"")</f>
        <v/>
      </c>
      <c r="S122" s="68">
        <f>IF(AND(ISNUMBER(G122),M$4&gt;=cfg_li_min_mid_samples),G122/M$5,"")</f>
        <v/>
      </c>
      <c r="T122" s="68">
        <f>IF(AND(ISNUMBER(H122),N$4&gt;=cfg_li_min_mid_samples),H122/N$5,"")</f>
        <v/>
      </c>
      <c r="U122" s="68">
        <f>IF(AND(ISNUMBER(I122),O$4&gt;=cfg_li_min_mid_samples),I122/O$5,"")</f>
        <v/>
      </c>
      <c r="V122" s="68">
        <f>IF(AND(ISNUMBER(J122),P$4&gt;=cfg_li_min_mid_samples),J122/P$5,"")</f>
        <v/>
      </c>
      <c r="W122" s="68">
        <f>IF(AND(ISNUMBER(K122),Q$4&gt;=cfg_li_min_mid_samples),K122/Q$5,"")</f>
        <v/>
      </c>
      <c r="X122">
        <f>COUNT(R122:W122)</f>
        <v/>
      </c>
      <c r="Y122" s="68">
        <f>IF(X122&gt;=cfg_li_min_peers,MEDIAN(R122:W122),"")</f>
        <v/>
      </c>
      <c r="Z122" s="68">
        <f>IF(AND(ISNUMBER(R122),ISNUMBER(Y122)),R122/Y122,"")</f>
        <v/>
      </c>
      <c r="AA122" s="68">
        <f>IF(AND(ISNUMBER(S122),ISNUMBER(Y122)),S122/Y122,"")</f>
        <v/>
      </c>
      <c r="AB122" s="68">
        <f>IF(AND(ISNUMBER(T122),ISNUMBER(Y122)),T122/Y122,"")</f>
        <v/>
      </c>
      <c r="AC122" s="68">
        <f>IF(AND(ISNUMBER(U122),ISNUMBER(Y122)),U122/Y122,"")</f>
        <v/>
      </c>
      <c r="AD122" s="68">
        <f>IF(AND(ISNUMBER(V122),ISNUMBER(Y122)),V122/Y122,"")</f>
        <v/>
      </c>
      <c r="AE122" s="68">
        <f>IF(AND(ISNUMBER(W122),ISNUMBER(Y122)),W122/Y122,"")</f>
        <v/>
      </c>
      <c r="AF122" s="68">
        <f>IF(AND(E122=1,ISNUMBER(Z122)),Z122,"")</f>
        <v/>
      </c>
      <c r="AG122" s="68">
        <f>IF(AND(E122=1,ISNUMBER(AA122)),AA122,"")</f>
        <v/>
      </c>
      <c r="AH122" s="68">
        <f>IF(AND(E122=1,ISNUMBER(AB122)),AB122,"")</f>
        <v/>
      </c>
      <c r="AI122" s="68">
        <f>IF(AND(E122=1,ISNUMBER(AC122)),AC122,"")</f>
        <v/>
      </c>
      <c r="AJ122" s="68">
        <f>IF(AND(E122=1,ISNUMBER(AD122)),AD122,"")</f>
        <v/>
      </c>
      <c r="AK122" s="68">
        <f>IF(AND(E122=1,ISNUMBER(AE122)),AE122,"")</f>
        <v/>
      </c>
    </row>
    <row r="123">
      <c r="A123" s="65">
        <f>Raw_Data_LI!A123</f>
        <v/>
      </c>
      <c r="B123" s="66">
        <f>Raw_Data_LI!B123</f>
        <v/>
      </c>
      <c r="C123" s="66">
        <f>Raw_Data_LI!C123</f>
        <v/>
      </c>
      <c r="D123">
        <f>IF(AND(B123&gt;=cfg_li_poa_mid_min,B123&lt;=cfg_li_poa_mid_max),1,0)</f>
        <v/>
      </c>
      <c r="E123">
        <f>IF(AND(B123&gt;=cfg_li_poa_low_min,B123&lt;=cfg_li_poa_low_max,C123&gt;=cfg_li_low_elev_min),1,0)</f>
        <v/>
      </c>
      <c r="F123" s="67">
        <f>IF(Raw_Data_LI!D123="","",Raw_Data_LI!D123/B123)</f>
        <v/>
      </c>
      <c r="G123" s="67">
        <f>IF(Raw_Data_LI!E123="","",Raw_Data_LI!E123/B123)</f>
        <v/>
      </c>
      <c r="H123" s="67">
        <f>IF(Raw_Data_LI!F123="","",Raw_Data_LI!F123/B123)</f>
        <v/>
      </c>
      <c r="I123" s="67">
        <f>IF(Raw_Data_LI!G123="","",Raw_Data_LI!G123/B123)</f>
        <v/>
      </c>
      <c r="J123" s="67">
        <f>IF(Raw_Data_LI!H123="","",Raw_Data_LI!H123/B123)</f>
        <v/>
      </c>
      <c r="K123" s="67">
        <f>IF(Raw_Data_LI!I123="","",Raw_Data_LI!I123/B123)</f>
        <v/>
      </c>
      <c r="L123" s="67">
        <f>IF(AND(D123=1,ISNUMBER(F123),F123&gt;0),F123,"")</f>
        <v/>
      </c>
      <c r="M123" s="67">
        <f>IF(AND(D123=1,ISNUMBER(G123),G123&gt;0),G123,"")</f>
        <v/>
      </c>
      <c r="N123" s="67">
        <f>IF(AND(D123=1,ISNUMBER(H123),H123&gt;0),H123,"")</f>
        <v/>
      </c>
      <c r="O123" s="67">
        <f>IF(AND(D123=1,ISNUMBER(I123),I123&gt;0),I123,"")</f>
        <v/>
      </c>
      <c r="P123" s="67">
        <f>IF(AND(D123=1,ISNUMBER(J123),J123&gt;0),J123,"")</f>
        <v/>
      </c>
      <c r="Q123" s="67">
        <f>IF(AND(D123=1,ISNUMBER(K123),K123&gt;0),K123,"")</f>
        <v/>
      </c>
      <c r="R123" s="68">
        <f>IF(AND(ISNUMBER(F123),L$4&gt;=cfg_li_min_mid_samples),F123/L$5,"")</f>
        <v/>
      </c>
      <c r="S123" s="68">
        <f>IF(AND(ISNUMBER(G123),M$4&gt;=cfg_li_min_mid_samples),G123/M$5,"")</f>
        <v/>
      </c>
      <c r="T123" s="68">
        <f>IF(AND(ISNUMBER(H123),N$4&gt;=cfg_li_min_mid_samples),H123/N$5,"")</f>
        <v/>
      </c>
      <c r="U123" s="68">
        <f>IF(AND(ISNUMBER(I123),O$4&gt;=cfg_li_min_mid_samples),I123/O$5,"")</f>
        <v/>
      </c>
      <c r="V123" s="68">
        <f>IF(AND(ISNUMBER(J123),P$4&gt;=cfg_li_min_mid_samples),J123/P$5,"")</f>
        <v/>
      </c>
      <c r="W123" s="68">
        <f>IF(AND(ISNUMBER(K123),Q$4&gt;=cfg_li_min_mid_samples),K123/Q$5,"")</f>
        <v/>
      </c>
      <c r="X123">
        <f>COUNT(R123:W123)</f>
        <v/>
      </c>
      <c r="Y123" s="68">
        <f>IF(X123&gt;=cfg_li_min_peers,MEDIAN(R123:W123),"")</f>
        <v/>
      </c>
      <c r="Z123" s="68">
        <f>IF(AND(ISNUMBER(R123),ISNUMBER(Y123)),R123/Y123,"")</f>
        <v/>
      </c>
      <c r="AA123" s="68">
        <f>IF(AND(ISNUMBER(S123),ISNUMBER(Y123)),S123/Y123,"")</f>
        <v/>
      </c>
      <c r="AB123" s="68">
        <f>IF(AND(ISNUMBER(T123),ISNUMBER(Y123)),T123/Y123,"")</f>
        <v/>
      </c>
      <c r="AC123" s="68">
        <f>IF(AND(ISNUMBER(U123),ISNUMBER(Y123)),U123/Y123,"")</f>
        <v/>
      </c>
      <c r="AD123" s="68">
        <f>IF(AND(ISNUMBER(V123),ISNUMBER(Y123)),V123/Y123,"")</f>
        <v/>
      </c>
      <c r="AE123" s="68">
        <f>IF(AND(ISNUMBER(W123),ISNUMBER(Y123)),W123/Y123,"")</f>
        <v/>
      </c>
      <c r="AF123" s="68">
        <f>IF(AND(E123=1,ISNUMBER(Z123)),Z123,"")</f>
        <v/>
      </c>
      <c r="AG123" s="68">
        <f>IF(AND(E123=1,ISNUMBER(AA123)),AA123,"")</f>
        <v/>
      </c>
      <c r="AH123" s="68">
        <f>IF(AND(E123=1,ISNUMBER(AB123)),AB123,"")</f>
        <v/>
      </c>
      <c r="AI123" s="68">
        <f>IF(AND(E123=1,ISNUMBER(AC123)),AC123,"")</f>
        <v/>
      </c>
      <c r="AJ123" s="68">
        <f>IF(AND(E123=1,ISNUMBER(AD123)),AD123,"")</f>
        <v/>
      </c>
      <c r="AK123" s="68">
        <f>IF(AND(E123=1,ISNUMBER(AE123)),AE123,"")</f>
        <v/>
      </c>
    </row>
    <row r="124">
      <c r="A124" s="65">
        <f>Raw_Data_LI!A124</f>
        <v/>
      </c>
      <c r="B124" s="66">
        <f>Raw_Data_LI!B124</f>
        <v/>
      </c>
      <c r="C124" s="66">
        <f>Raw_Data_LI!C124</f>
        <v/>
      </c>
      <c r="D124">
        <f>IF(AND(B124&gt;=cfg_li_poa_mid_min,B124&lt;=cfg_li_poa_mid_max),1,0)</f>
        <v/>
      </c>
      <c r="E124">
        <f>IF(AND(B124&gt;=cfg_li_poa_low_min,B124&lt;=cfg_li_poa_low_max,C124&gt;=cfg_li_low_elev_min),1,0)</f>
        <v/>
      </c>
      <c r="F124" s="67">
        <f>IF(Raw_Data_LI!D124="","",Raw_Data_LI!D124/B124)</f>
        <v/>
      </c>
      <c r="G124" s="67">
        <f>IF(Raw_Data_LI!E124="","",Raw_Data_LI!E124/B124)</f>
        <v/>
      </c>
      <c r="H124" s="67">
        <f>IF(Raw_Data_LI!F124="","",Raw_Data_LI!F124/B124)</f>
        <v/>
      </c>
      <c r="I124" s="67">
        <f>IF(Raw_Data_LI!G124="","",Raw_Data_LI!G124/B124)</f>
        <v/>
      </c>
      <c r="J124" s="67">
        <f>IF(Raw_Data_LI!H124="","",Raw_Data_LI!H124/B124)</f>
        <v/>
      </c>
      <c r="K124" s="67">
        <f>IF(Raw_Data_LI!I124="","",Raw_Data_LI!I124/B124)</f>
        <v/>
      </c>
      <c r="L124" s="67">
        <f>IF(AND(D124=1,ISNUMBER(F124),F124&gt;0),F124,"")</f>
        <v/>
      </c>
      <c r="M124" s="67">
        <f>IF(AND(D124=1,ISNUMBER(G124),G124&gt;0),G124,"")</f>
        <v/>
      </c>
      <c r="N124" s="67">
        <f>IF(AND(D124=1,ISNUMBER(H124),H124&gt;0),H124,"")</f>
        <v/>
      </c>
      <c r="O124" s="67">
        <f>IF(AND(D124=1,ISNUMBER(I124),I124&gt;0),I124,"")</f>
        <v/>
      </c>
      <c r="P124" s="67">
        <f>IF(AND(D124=1,ISNUMBER(J124),J124&gt;0),J124,"")</f>
        <v/>
      </c>
      <c r="Q124" s="67">
        <f>IF(AND(D124=1,ISNUMBER(K124),K124&gt;0),K124,"")</f>
        <v/>
      </c>
      <c r="R124" s="68">
        <f>IF(AND(ISNUMBER(F124),L$4&gt;=cfg_li_min_mid_samples),F124/L$5,"")</f>
        <v/>
      </c>
      <c r="S124" s="68">
        <f>IF(AND(ISNUMBER(G124),M$4&gt;=cfg_li_min_mid_samples),G124/M$5,"")</f>
        <v/>
      </c>
      <c r="T124" s="68">
        <f>IF(AND(ISNUMBER(H124),N$4&gt;=cfg_li_min_mid_samples),H124/N$5,"")</f>
        <v/>
      </c>
      <c r="U124" s="68">
        <f>IF(AND(ISNUMBER(I124),O$4&gt;=cfg_li_min_mid_samples),I124/O$5,"")</f>
        <v/>
      </c>
      <c r="V124" s="68">
        <f>IF(AND(ISNUMBER(J124),P$4&gt;=cfg_li_min_mid_samples),J124/P$5,"")</f>
        <v/>
      </c>
      <c r="W124" s="68">
        <f>IF(AND(ISNUMBER(K124),Q$4&gt;=cfg_li_min_mid_samples),K124/Q$5,"")</f>
        <v/>
      </c>
      <c r="X124">
        <f>COUNT(R124:W124)</f>
        <v/>
      </c>
      <c r="Y124" s="68">
        <f>IF(X124&gt;=cfg_li_min_peers,MEDIAN(R124:W124),"")</f>
        <v/>
      </c>
      <c r="Z124" s="68">
        <f>IF(AND(ISNUMBER(R124),ISNUMBER(Y124)),R124/Y124,"")</f>
        <v/>
      </c>
      <c r="AA124" s="68">
        <f>IF(AND(ISNUMBER(S124),ISNUMBER(Y124)),S124/Y124,"")</f>
        <v/>
      </c>
      <c r="AB124" s="68">
        <f>IF(AND(ISNUMBER(T124),ISNUMBER(Y124)),T124/Y124,"")</f>
        <v/>
      </c>
      <c r="AC124" s="68">
        <f>IF(AND(ISNUMBER(U124),ISNUMBER(Y124)),U124/Y124,"")</f>
        <v/>
      </c>
      <c r="AD124" s="68">
        <f>IF(AND(ISNUMBER(V124),ISNUMBER(Y124)),V124/Y124,"")</f>
        <v/>
      </c>
      <c r="AE124" s="68">
        <f>IF(AND(ISNUMBER(W124),ISNUMBER(Y124)),W124/Y124,"")</f>
        <v/>
      </c>
      <c r="AF124" s="68">
        <f>IF(AND(E124=1,ISNUMBER(Z124)),Z124,"")</f>
        <v/>
      </c>
      <c r="AG124" s="68">
        <f>IF(AND(E124=1,ISNUMBER(AA124)),AA124,"")</f>
        <v/>
      </c>
      <c r="AH124" s="68">
        <f>IF(AND(E124=1,ISNUMBER(AB124)),AB124,"")</f>
        <v/>
      </c>
      <c r="AI124" s="68">
        <f>IF(AND(E124=1,ISNUMBER(AC124)),AC124,"")</f>
        <v/>
      </c>
      <c r="AJ124" s="68">
        <f>IF(AND(E124=1,ISNUMBER(AD124)),AD124,"")</f>
        <v/>
      </c>
      <c r="AK124" s="68">
        <f>IF(AND(E124=1,ISNUMBER(AE124)),AE124,"")</f>
        <v/>
      </c>
    </row>
    <row r="125">
      <c r="A125" s="65">
        <f>Raw_Data_LI!A125</f>
        <v/>
      </c>
      <c r="B125" s="66">
        <f>Raw_Data_LI!B125</f>
        <v/>
      </c>
      <c r="C125" s="66">
        <f>Raw_Data_LI!C125</f>
        <v/>
      </c>
      <c r="D125">
        <f>IF(AND(B125&gt;=cfg_li_poa_mid_min,B125&lt;=cfg_li_poa_mid_max),1,0)</f>
        <v/>
      </c>
      <c r="E125">
        <f>IF(AND(B125&gt;=cfg_li_poa_low_min,B125&lt;=cfg_li_poa_low_max,C125&gt;=cfg_li_low_elev_min),1,0)</f>
        <v/>
      </c>
      <c r="F125" s="67">
        <f>IF(Raw_Data_LI!D125="","",Raw_Data_LI!D125/B125)</f>
        <v/>
      </c>
      <c r="G125" s="67">
        <f>IF(Raw_Data_LI!E125="","",Raw_Data_LI!E125/B125)</f>
        <v/>
      </c>
      <c r="H125" s="67">
        <f>IF(Raw_Data_LI!F125="","",Raw_Data_LI!F125/B125)</f>
        <v/>
      </c>
      <c r="I125" s="67">
        <f>IF(Raw_Data_LI!G125="","",Raw_Data_LI!G125/B125)</f>
        <v/>
      </c>
      <c r="J125" s="67">
        <f>IF(Raw_Data_LI!H125="","",Raw_Data_LI!H125/B125)</f>
        <v/>
      </c>
      <c r="K125" s="67">
        <f>IF(Raw_Data_LI!I125="","",Raw_Data_LI!I125/B125)</f>
        <v/>
      </c>
      <c r="L125" s="67">
        <f>IF(AND(D125=1,ISNUMBER(F125),F125&gt;0),F125,"")</f>
        <v/>
      </c>
      <c r="M125" s="67">
        <f>IF(AND(D125=1,ISNUMBER(G125),G125&gt;0),G125,"")</f>
        <v/>
      </c>
      <c r="N125" s="67">
        <f>IF(AND(D125=1,ISNUMBER(H125),H125&gt;0),H125,"")</f>
        <v/>
      </c>
      <c r="O125" s="67">
        <f>IF(AND(D125=1,ISNUMBER(I125),I125&gt;0),I125,"")</f>
        <v/>
      </c>
      <c r="P125" s="67">
        <f>IF(AND(D125=1,ISNUMBER(J125),J125&gt;0),J125,"")</f>
        <v/>
      </c>
      <c r="Q125" s="67">
        <f>IF(AND(D125=1,ISNUMBER(K125),K125&gt;0),K125,"")</f>
        <v/>
      </c>
      <c r="R125" s="68">
        <f>IF(AND(ISNUMBER(F125),L$4&gt;=cfg_li_min_mid_samples),F125/L$5,"")</f>
        <v/>
      </c>
      <c r="S125" s="68">
        <f>IF(AND(ISNUMBER(G125),M$4&gt;=cfg_li_min_mid_samples),G125/M$5,"")</f>
        <v/>
      </c>
      <c r="T125" s="68">
        <f>IF(AND(ISNUMBER(H125),N$4&gt;=cfg_li_min_mid_samples),H125/N$5,"")</f>
        <v/>
      </c>
      <c r="U125" s="68">
        <f>IF(AND(ISNUMBER(I125),O$4&gt;=cfg_li_min_mid_samples),I125/O$5,"")</f>
        <v/>
      </c>
      <c r="V125" s="68">
        <f>IF(AND(ISNUMBER(J125),P$4&gt;=cfg_li_min_mid_samples),J125/P$5,"")</f>
        <v/>
      </c>
      <c r="W125" s="68">
        <f>IF(AND(ISNUMBER(K125),Q$4&gt;=cfg_li_min_mid_samples),K125/Q$5,"")</f>
        <v/>
      </c>
      <c r="X125">
        <f>COUNT(R125:W125)</f>
        <v/>
      </c>
      <c r="Y125" s="68">
        <f>IF(X125&gt;=cfg_li_min_peers,MEDIAN(R125:W125),"")</f>
        <v/>
      </c>
      <c r="Z125" s="68">
        <f>IF(AND(ISNUMBER(R125),ISNUMBER(Y125)),R125/Y125,"")</f>
        <v/>
      </c>
      <c r="AA125" s="68">
        <f>IF(AND(ISNUMBER(S125),ISNUMBER(Y125)),S125/Y125,"")</f>
        <v/>
      </c>
      <c r="AB125" s="68">
        <f>IF(AND(ISNUMBER(T125),ISNUMBER(Y125)),T125/Y125,"")</f>
        <v/>
      </c>
      <c r="AC125" s="68">
        <f>IF(AND(ISNUMBER(U125),ISNUMBER(Y125)),U125/Y125,"")</f>
        <v/>
      </c>
      <c r="AD125" s="68">
        <f>IF(AND(ISNUMBER(V125),ISNUMBER(Y125)),V125/Y125,"")</f>
        <v/>
      </c>
      <c r="AE125" s="68">
        <f>IF(AND(ISNUMBER(W125),ISNUMBER(Y125)),W125/Y125,"")</f>
        <v/>
      </c>
      <c r="AF125" s="68">
        <f>IF(AND(E125=1,ISNUMBER(Z125)),Z125,"")</f>
        <v/>
      </c>
      <c r="AG125" s="68">
        <f>IF(AND(E125=1,ISNUMBER(AA125)),AA125,"")</f>
        <v/>
      </c>
      <c r="AH125" s="68">
        <f>IF(AND(E125=1,ISNUMBER(AB125)),AB125,"")</f>
        <v/>
      </c>
      <c r="AI125" s="68">
        <f>IF(AND(E125=1,ISNUMBER(AC125)),AC125,"")</f>
        <v/>
      </c>
      <c r="AJ125" s="68">
        <f>IF(AND(E125=1,ISNUMBER(AD125)),AD125,"")</f>
        <v/>
      </c>
      <c r="AK125" s="68">
        <f>IF(AND(E125=1,ISNUMBER(AE125)),AE125,"")</f>
        <v/>
      </c>
    </row>
    <row r="126">
      <c r="A126" s="65">
        <f>Raw_Data_LI!A126</f>
        <v/>
      </c>
      <c r="B126" s="66">
        <f>Raw_Data_LI!B126</f>
        <v/>
      </c>
      <c r="C126" s="66">
        <f>Raw_Data_LI!C126</f>
        <v/>
      </c>
      <c r="D126">
        <f>IF(AND(B126&gt;=cfg_li_poa_mid_min,B126&lt;=cfg_li_poa_mid_max),1,0)</f>
        <v/>
      </c>
      <c r="E126">
        <f>IF(AND(B126&gt;=cfg_li_poa_low_min,B126&lt;=cfg_li_poa_low_max,C126&gt;=cfg_li_low_elev_min),1,0)</f>
        <v/>
      </c>
      <c r="F126" s="67">
        <f>IF(Raw_Data_LI!D126="","",Raw_Data_LI!D126/B126)</f>
        <v/>
      </c>
      <c r="G126" s="67">
        <f>IF(Raw_Data_LI!E126="","",Raw_Data_LI!E126/B126)</f>
        <v/>
      </c>
      <c r="H126" s="67">
        <f>IF(Raw_Data_LI!F126="","",Raw_Data_LI!F126/B126)</f>
        <v/>
      </c>
      <c r="I126" s="67">
        <f>IF(Raw_Data_LI!G126="","",Raw_Data_LI!G126/B126)</f>
        <v/>
      </c>
      <c r="J126" s="67">
        <f>IF(Raw_Data_LI!H126="","",Raw_Data_LI!H126/B126)</f>
        <v/>
      </c>
      <c r="K126" s="67">
        <f>IF(Raw_Data_LI!I126="","",Raw_Data_LI!I126/B126)</f>
        <v/>
      </c>
      <c r="L126" s="67">
        <f>IF(AND(D126=1,ISNUMBER(F126),F126&gt;0),F126,"")</f>
        <v/>
      </c>
      <c r="M126" s="67">
        <f>IF(AND(D126=1,ISNUMBER(G126),G126&gt;0),G126,"")</f>
        <v/>
      </c>
      <c r="N126" s="67">
        <f>IF(AND(D126=1,ISNUMBER(H126),H126&gt;0),H126,"")</f>
        <v/>
      </c>
      <c r="O126" s="67">
        <f>IF(AND(D126=1,ISNUMBER(I126),I126&gt;0),I126,"")</f>
        <v/>
      </c>
      <c r="P126" s="67">
        <f>IF(AND(D126=1,ISNUMBER(J126),J126&gt;0),J126,"")</f>
        <v/>
      </c>
      <c r="Q126" s="67">
        <f>IF(AND(D126=1,ISNUMBER(K126),K126&gt;0),K126,"")</f>
        <v/>
      </c>
      <c r="R126" s="68">
        <f>IF(AND(ISNUMBER(F126),L$4&gt;=cfg_li_min_mid_samples),F126/L$5,"")</f>
        <v/>
      </c>
      <c r="S126" s="68">
        <f>IF(AND(ISNUMBER(G126),M$4&gt;=cfg_li_min_mid_samples),G126/M$5,"")</f>
        <v/>
      </c>
      <c r="T126" s="68">
        <f>IF(AND(ISNUMBER(H126),N$4&gt;=cfg_li_min_mid_samples),H126/N$5,"")</f>
        <v/>
      </c>
      <c r="U126" s="68">
        <f>IF(AND(ISNUMBER(I126),O$4&gt;=cfg_li_min_mid_samples),I126/O$5,"")</f>
        <v/>
      </c>
      <c r="V126" s="68">
        <f>IF(AND(ISNUMBER(J126),P$4&gt;=cfg_li_min_mid_samples),J126/P$5,"")</f>
        <v/>
      </c>
      <c r="W126" s="68">
        <f>IF(AND(ISNUMBER(K126),Q$4&gt;=cfg_li_min_mid_samples),K126/Q$5,"")</f>
        <v/>
      </c>
      <c r="X126">
        <f>COUNT(R126:W126)</f>
        <v/>
      </c>
      <c r="Y126" s="68">
        <f>IF(X126&gt;=cfg_li_min_peers,MEDIAN(R126:W126),"")</f>
        <v/>
      </c>
      <c r="Z126" s="68">
        <f>IF(AND(ISNUMBER(R126),ISNUMBER(Y126)),R126/Y126,"")</f>
        <v/>
      </c>
      <c r="AA126" s="68">
        <f>IF(AND(ISNUMBER(S126),ISNUMBER(Y126)),S126/Y126,"")</f>
        <v/>
      </c>
      <c r="AB126" s="68">
        <f>IF(AND(ISNUMBER(T126),ISNUMBER(Y126)),T126/Y126,"")</f>
        <v/>
      </c>
      <c r="AC126" s="68">
        <f>IF(AND(ISNUMBER(U126),ISNUMBER(Y126)),U126/Y126,"")</f>
        <v/>
      </c>
      <c r="AD126" s="68">
        <f>IF(AND(ISNUMBER(V126),ISNUMBER(Y126)),V126/Y126,"")</f>
        <v/>
      </c>
      <c r="AE126" s="68">
        <f>IF(AND(ISNUMBER(W126),ISNUMBER(Y126)),W126/Y126,"")</f>
        <v/>
      </c>
      <c r="AF126" s="68">
        <f>IF(AND(E126=1,ISNUMBER(Z126)),Z126,"")</f>
        <v/>
      </c>
      <c r="AG126" s="68">
        <f>IF(AND(E126=1,ISNUMBER(AA126)),AA126,"")</f>
        <v/>
      </c>
      <c r="AH126" s="68">
        <f>IF(AND(E126=1,ISNUMBER(AB126)),AB126,"")</f>
        <v/>
      </c>
      <c r="AI126" s="68">
        <f>IF(AND(E126=1,ISNUMBER(AC126)),AC126,"")</f>
        <v/>
      </c>
      <c r="AJ126" s="68">
        <f>IF(AND(E126=1,ISNUMBER(AD126)),AD126,"")</f>
        <v/>
      </c>
      <c r="AK126" s="68">
        <f>IF(AND(E126=1,ISNUMBER(AE126)),AE126,"")</f>
        <v/>
      </c>
    </row>
    <row r="127">
      <c r="A127" s="65">
        <f>Raw_Data_LI!A127</f>
        <v/>
      </c>
      <c r="B127" s="66">
        <f>Raw_Data_LI!B127</f>
        <v/>
      </c>
      <c r="C127" s="66">
        <f>Raw_Data_LI!C127</f>
        <v/>
      </c>
      <c r="D127">
        <f>IF(AND(B127&gt;=cfg_li_poa_mid_min,B127&lt;=cfg_li_poa_mid_max),1,0)</f>
        <v/>
      </c>
      <c r="E127">
        <f>IF(AND(B127&gt;=cfg_li_poa_low_min,B127&lt;=cfg_li_poa_low_max,C127&gt;=cfg_li_low_elev_min),1,0)</f>
        <v/>
      </c>
      <c r="F127" s="67">
        <f>IF(Raw_Data_LI!D127="","",Raw_Data_LI!D127/B127)</f>
        <v/>
      </c>
      <c r="G127" s="67">
        <f>IF(Raw_Data_LI!E127="","",Raw_Data_LI!E127/B127)</f>
        <v/>
      </c>
      <c r="H127" s="67">
        <f>IF(Raw_Data_LI!F127="","",Raw_Data_LI!F127/B127)</f>
        <v/>
      </c>
      <c r="I127" s="67">
        <f>IF(Raw_Data_LI!G127="","",Raw_Data_LI!G127/B127)</f>
        <v/>
      </c>
      <c r="J127" s="67">
        <f>IF(Raw_Data_LI!H127="","",Raw_Data_LI!H127/B127)</f>
        <v/>
      </c>
      <c r="K127" s="67">
        <f>IF(Raw_Data_LI!I127="","",Raw_Data_LI!I127/B127)</f>
        <v/>
      </c>
      <c r="L127" s="67">
        <f>IF(AND(D127=1,ISNUMBER(F127),F127&gt;0),F127,"")</f>
        <v/>
      </c>
      <c r="M127" s="67">
        <f>IF(AND(D127=1,ISNUMBER(G127),G127&gt;0),G127,"")</f>
        <v/>
      </c>
      <c r="N127" s="67">
        <f>IF(AND(D127=1,ISNUMBER(H127),H127&gt;0),H127,"")</f>
        <v/>
      </c>
      <c r="O127" s="67">
        <f>IF(AND(D127=1,ISNUMBER(I127),I127&gt;0),I127,"")</f>
        <v/>
      </c>
      <c r="P127" s="67">
        <f>IF(AND(D127=1,ISNUMBER(J127),J127&gt;0),J127,"")</f>
        <v/>
      </c>
      <c r="Q127" s="67">
        <f>IF(AND(D127=1,ISNUMBER(K127),K127&gt;0),K127,"")</f>
        <v/>
      </c>
      <c r="R127" s="68">
        <f>IF(AND(ISNUMBER(F127),L$4&gt;=cfg_li_min_mid_samples),F127/L$5,"")</f>
        <v/>
      </c>
      <c r="S127" s="68">
        <f>IF(AND(ISNUMBER(G127),M$4&gt;=cfg_li_min_mid_samples),G127/M$5,"")</f>
        <v/>
      </c>
      <c r="T127" s="68">
        <f>IF(AND(ISNUMBER(H127),N$4&gt;=cfg_li_min_mid_samples),H127/N$5,"")</f>
        <v/>
      </c>
      <c r="U127" s="68">
        <f>IF(AND(ISNUMBER(I127),O$4&gt;=cfg_li_min_mid_samples),I127/O$5,"")</f>
        <v/>
      </c>
      <c r="V127" s="68">
        <f>IF(AND(ISNUMBER(J127),P$4&gt;=cfg_li_min_mid_samples),J127/P$5,"")</f>
        <v/>
      </c>
      <c r="W127" s="68">
        <f>IF(AND(ISNUMBER(K127),Q$4&gt;=cfg_li_min_mid_samples),K127/Q$5,"")</f>
        <v/>
      </c>
      <c r="X127">
        <f>COUNT(R127:W127)</f>
        <v/>
      </c>
      <c r="Y127" s="68">
        <f>IF(X127&gt;=cfg_li_min_peers,MEDIAN(R127:W127),"")</f>
        <v/>
      </c>
      <c r="Z127" s="68">
        <f>IF(AND(ISNUMBER(R127),ISNUMBER(Y127)),R127/Y127,"")</f>
        <v/>
      </c>
      <c r="AA127" s="68">
        <f>IF(AND(ISNUMBER(S127),ISNUMBER(Y127)),S127/Y127,"")</f>
        <v/>
      </c>
      <c r="AB127" s="68">
        <f>IF(AND(ISNUMBER(T127),ISNUMBER(Y127)),T127/Y127,"")</f>
        <v/>
      </c>
      <c r="AC127" s="68">
        <f>IF(AND(ISNUMBER(U127),ISNUMBER(Y127)),U127/Y127,"")</f>
        <v/>
      </c>
      <c r="AD127" s="68">
        <f>IF(AND(ISNUMBER(V127),ISNUMBER(Y127)),V127/Y127,"")</f>
        <v/>
      </c>
      <c r="AE127" s="68">
        <f>IF(AND(ISNUMBER(W127),ISNUMBER(Y127)),W127/Y127,"")</f>
        <v/>
      </c>
      <c r="AF127" s="68">
        <f>IF(AND(E127=1,ISNUMBER(Z127)),Z127,"")</f>
        <v/>
      </c>
      <c r="AG127" s="68">
        <f>IF(AND(E127=1,ISNUMBER(AA127)),AA127,"")</f>
        <v/>
      </c>
      <c r="AH127" s="68">
        <f>IF(AND(E127=1,ISNUMBER(AB127)),AB127,"")</f>
        <v/>
      </c>
      <c r="AI127" s="68">
        <f>IF(AND(E127=1,ISNUMBER(AC127)),AC127,"")</f>
        <v/>
      </c>
      <c r="AJ127" s="68">
        <f>IF(AND(E127=1,ISNUMBER(AD127)),AD127,"")</f>
        <v/>
      </c>
      <c r="AK127" s="68">
        <f>IF(AND(E127=1,ISNUMBER(AE127)),AE127,"")</f>
        <v/>
      </c>
    </row>
    <row r="128">
      <c r="A128" s="65">
        <f>Raw_Data_LI!A128</f>
        <v/>
      </c>
      <c r="B128" s="66">
        <f>Raw_Data_LI!B128</f>
        <v/>
      </c>
      <c r="C128" s="66">
        <f>Raw_Data_LI!C128</f>
        <v/>
      </c>
      <c r="D128">
        <f>IF(AND(B128&gt;=cfg_li_poa_mid_min,B128&lt;=cfg_li_poa_mid_max),1,0)</f>
        <v/>
      </c>
      <c r="E128">
        <f>IF(AND(B128&gt;=cfg_li_poa_low_min,B128&lt;=cfg_li_poa_low_max,C128&gt;=cfg_li_low_elev_min),1,0)</f>
        <v/>
      </c>
      <c r="F128" s="67">
        <f>IF(Raw_Data_LI!D128="","",Raw_Data_LI!D128/B128)</f>
        <v/>
      </c>
      <c r="G128" s="67">
        <f>IF(Raw_Data_LI!E128="","",Raw_Data_LI!E128/B128)</f>
        <v/>
      </c>
      <c r="H128" s="67">
        <f>IF(Raw_Data_LI!F128="","",Raw_Data_LI!F128/B128)</f>
        <v/>
      </c>
      <c r="I128" s="67">
        <f>IF(Raw_Data_LI!G128="","",Raw_Data_LI!G128/B128)</f>
        <v/>
      </c>
      <c r="J128" s="67">
        <f>IF(Raw_Data_LI!H128="","",Raw_Data_LI!H128/B128)</f>
        <v/>
      </c>
      <c r="K128" s="67">
        <f>IF(Raw_Data_LI!I128="","",Raw_Data_LI!I128/B128)</f>
        <v/>
      </c>
      <c r="L128" s="67">
        <f>IF(AND(D128=1,ISNUMBER(F128),F128&gt;0),F128,"")</f>
        <v/>
      </c>
      <c r="M128" s="67">
        <f>IF(AND(D128=1,ISNUMBER(G128),G128&gt;0),G128,"")</f>
        <v/>
      </c>
      <c r="N128" s="67">
        <f>IF(AND(D128=1,ISNUMBER(H128),H128&gt;0),H128,"")</f>
        <v/>
      </c>
      <c r="O128" s="67">
        <f>IF(AND(D128=1,ISNUMBER(I128),I128&gt;0),I128,"")</f>
        <v/>
      </c>
      <c r="P128" s="67">
        <f>IF(AND(D128=1,ISNUMBER(J128),J128&gt;0),J128,"")</f>
        <v/>
      </c>
      <c r="Q128" s="67">
        <f>IF(AND(D128=1,ISNUMBER(K128),K128&gt;0),K128,"")</f>
        <v/>
      </c>
      <c r="R128" s="68">
        <f>IF(AND(ISNUMBER(F128),L$4&gt;=cfg_li_min_mid_samples),F128/L$5,"")</f>
        <v/>
      </c>
      <c r="S128" s="68">
        <f>IF(AND(ISNUMBER(G128),M$4&gt;=cfg_li_min_mid_samples),G128/M$5,"")</f>
        <v/>
      </c>
      <c r="T128" s="68">
        <f>IF(AND(ISNUMBER(H128),N$4&gt;=cfg_li_min_mid_samples),H128/N$5,"")</f>
        <v/>
      </c>
      <c r="U128" s="68">
        <f>IF(AND(ISNUMBER(I128),O$4&gt;=cfg_li_min_mid_samples),I128/O$5,"")</f>
        <v/>
      </c>
      <c r="V128" s="68">
        <f>IF(AND(ISNUMBER(J128),P$4&gt;=cfg_li_min_mid_samples),J128/P$5,"")</f>
        <v/>
      </c>
      <c r="W128" s="68">
        <f>IF(AND(ISNUMBER(K128),Q$4&gt;=cfg_li_min_mid_samples),K128/Q$5,"")</f>
        <v/>
      </c>
      <c r="X128">
        <f>COUNT(R128:W128)</f>
        <v/>
      </c>
      <c r="Y128" s="68">
        <f>IF(X128&gt;=cfg_li_min_peers,MEDIAN(R128:W128),"")</f>
        <v/>
      </c>
      <c r="Z128" s="68">
        <f>IF(AND(ISNUMBER(R128),ISNUMBER(Y128)),R128/Y128,"")</f>
        <v/>
      </c>
      <c r="AA128" s="68">
        <f>IF(AND(ISNUMBER(S128),ISNUMBER(Y128)),S128/Y128,"")</f>
        <v/>
      </c>
      <c r="AB128" s="68">
        <f>IF(AND(ISNUMBER(T128),ISNUMBER(Y128)),T128/Y128,"")</f>
        <v/>
      </c>
      <c r="AC128" s="68">
        <f>IF(AND(ISNUMBER(U128),ISNUMBER(Y128)),U128/Y128,"")</f>
        <v/>
      </c>
      <c r="AD128" s="68">
        <f>IF(AND(ISNUMBER(V128),ISNUMBER(Y128)),V128/Y128,"")</f>
        <v/>
      </c>
      <c r="AE128" s="68">
        <f>IF(AND(ISNUMBER(W128),ISNUMBER(Y128)),W128/Y128,"")</f>
        <v/>
      </c>
      <c r="AF128" s="68">
        <f>IF(AND(E128=1,ISNUMBER(Z128)),Z128,"")</f>
        <v/>
      </c>
      <c r="AG128" s="68">
        <f>IF(AND(E128=1,ISNUMBER(AA128)),AA128,"")</f>
        <v/>
      </c>
      <c r="AH128" s="68">
        <f>IF(AND(E128=1,ISNUMBER(AB128)),AB128,"")</f>
        <v/>
      </c>
      <c r="AI128" s="68">
        <f>IF(AND(E128=1,ISNUMBER(AC128)),AC128,"")</f>
        <v/>
      </c>
      <c r="AJ128" s="68">
        <f>IF(AND(E128=1,ISNUMBER(AD128)),AD128,"")</f>
        <v/>
      </c>
      <c r="AK128" s="68">
        <f>IF(AND(E128=1,ISNUMBER(AE128)),AE128,"")</f>
        <v/>
      </c>
    </row>
    <row r="129">
      <c r="A129" s="65">
        <f>Raw_Data_LI!A129</f>
        <v/>
      </c>
      <c r="B129" s="66">
        <f>Raw_Data_LI!B129</f>
        <v/>
      </c>
      <c r="C129" s="66">
        <f>Raw_Data_LI!C129</f>
        <v/>
      </c>
      <c r="D129">
        <f>IF(AND(B129&gt;=cfg_li_poa_mid_min,B129&lt;=cfg_li_poa_mid_max),1,0)</f>
        <v/>
      </c>
      <c r="E129">
        <f>IF(AND(B129&gt;=cfg_li_poa_low_min,B129&lt;=cfg_li_poa_low_max,C129&gt;=cfg_li_low_elev_min),1,0)</f>
        <v/>
      </c>
      <c r="F129" s="67">
        <f>IF(Raw_Data_LI!D129="","",Raw_Data_LI!D129/B129)</f>
        <v/>
      </c>
      <c r="G129" s="67">
        <f>IF(Raw_Data_LI!E129="","",Raw_Data_LI!E129/B129)</f>
        <v/>
      </c>
      <c r="H129" s="67">
        <f>IF(Raw_Data_LI!F129="","",Raw_Data_LI!F129/B129)</f>
        <v/>
      </c>
      <c r="I129" s="67">
        <f>IF(Raw_Data_LI!G129="","",Raw_Data_LI!G129/B129)</f>
        <v/>
      </c>
      <c r="J129" s="67">
        <f>IF(Raw_Data_LI!H129="","",Raw_Data_LI!H129/B129)</f>
        <v/>
      </c>
      <c r="K129" s="67">
        <f>IF(Raw_Data_LI!I129="","",Raw_Data_LI!I129/B129)</f>
        <v/>
      </c>
      <c r="L129" s="67">
        <f>IF(AND(D129=1,ISNUMBER(F129),F129&gt;0),F129,"")</f>
        <v/>
      </c>
      <c r="M129" s="67">
        <f>IF(AND(D129=1,ISNUMBER(G129),G129&gt;0),G129,"")</f>
        <v/>
      </c>
      <c r="N129" s="67">
        <f>IF(AND(D129=1,ISNUMBER(H129),H129&gt;0),H129,"")</f>
        <v/>
      </c>
      <c r="O129" s="67">
        <f>IF(AND(D129=1,ISNUMBER(I129),I129&gt;0),I129,"")</f>
        <v/>
      </c>
      <c r="P129" s="67">
        <f>IF(AND(D129=1,ISNUMBER(J129),J129&gt;0),J129,"")</f>
        <v/>
      </c>
      <c r="Q129" s="67">
        <f>IF(AND(D129=1,ISNUMBER(K129),K129&gt;0),K129,"")</f>
        <v/>
      </c>
      <c r="R129" s="68">
        <f>IF(AND(ISNUMBER(F129),L$4&gt;=cfg_li_min_mid_samples),F129/L$5,"")</f>
        <v/>
      </c>
      <c r="S129" s="68">
        <f>IF(AND(ISNUMBER(G129),M$4&gt;=cfg_li_min_mid_samples),G129/M$5,"")</f>
        <v/>
      </c>
      <c r="T129" s="68">
        <f>IF(AND(ISNUMBER(H129),N$4&gt;=cfg_li_min_mid_samples),H129/N$5,"")</f>
        <v/>
      </c>
      <c r="U129" s="68">
        <f>IF(AND(ISNUMBER(I129),O$4&gt;=cfg_li_min_mid_samples),I129/O$5,"")</f>
        <v/>
      </c>
      <c r="V129" s="68">
        <f>IF(AND(ISNUMBER(J129),P$4&gt;=cfg_li_min_mid_samples),J129/P$5,"")</f>
        <v/>
      </c>
      <c r="W129" s="68">
        <f>IF(AND(ISNUMBER(K129),Q$4&gt;=cfg_li_min_mid_samples),K129/Q$5,"")</f>
        <v/>
      </c>
      <c r="X129">
        <f>COUNT(R129:W129)</f>
        <v/>
      </c>
      <c r="Y129" s="68">
        <f>IF(X129&gt;=cfg_li_min_peers,MEDIAN(R129:W129),"")</f>
        <v/>
      </c>
      <c r="Z129" s="68">
        <f>IF(AND(ISNUMBER(R129),ISNUMBER(Y129)),R129/Y129,"")</f>
        <v/>
      </c>
      <c r="AA129" s="68">
        <f>IF(AND(ISNUMBER(S129),ISNUMBER(Y129)),S129/Y129,"")</f>
        <v/>
      </c>
      <c r="AB129" s="68">
        <f>IF(AND(ISNUMBER(T129),ISNUMBER(Y129)),T129/Y129,"")</f>
        <v/>
      </c>
      <c r="AC129" s="68">
        <f>IF(AND(ISNUMBER(U129),ISNUMBER(Y129)),U129/Y129,"")</f>
        <v/>
      </c>
      <c r="AD129" s="68">
        <f>IF(AND(ISNUMBER(V129),ISNUMBER(Y129)),V129/Y129,"")</f>
        <v/>
      </c>
      <c r="AE129" s="68">
        <f>IF(AND(ISNUMBER(W129),ISNUMBER(Y129)),W129/Y129,"")</f>
        <v/>
      </c>
      <c r="AF129" s="68">
        <f>IF(AND(E129=1,ISNUMBER(Z129)),Z129,"")</f>
        <v/>
      </c>
      <c r="AG129" s="68">
        <f>IF(AND(E129=1,ISNUMBER(AA129)),AA129,"")</f>
        <v/>
      </c>
      <c r="AH129" s="68">
        <f>IF(AND(E129=1,ISNUMBER(AB129)),AB129,"")</f>
        <v/>
      </c>
      <c r="AI129" s="68">
        <f>IF(AND(E129=1,ISNUMBER(AC129)),AC129,"")</f>
        <v/>
      </c>
      <c r="AJ129" s="68">
        <f>IF(AND(E129=1,ISNUMBER(AD129)),AD129,"")</f>
        <v/>
      </c>
      <c r="AK129" s="68">
        <f>IF(AND(E129=1,ISNUMBER(AE129)),AE129,"")</f>
        <v/>
      </c>
    </row>
    <row r="130">
      <c r="A130" s="65">
        <f>Raw_Data_LI!A130</f>
        <v/>
      </c>
      <c r="B130" s="66">
        <f>Raw_Data_LI!B130</f>
        <v/>
      </c>
      <c r="C130" s="66">
        <f>Raw_Data_LI!C130</f>
        <v/>
      </c>
      <c r="D130">
        <f>IF(AND(B130&gt;=cfg_li_poa_mid_min,B130&lt;=cfg_li_poa_mid_max),1,0)</f>
        <v/>
      </c>
      <c r="E130">
        <f>IF(AND(B130&gt;=cfg_li_poa_low_min,B130&lt;=cfg_li_poa_low_max,C130&gt;=cfg_li_low_elev_min),1,0)</f>
        <v/>
      </c>
      <c r="F130" s="67">
        <f>IF(Raw_Data_LI!D130="","",Raw_Data_LI!D130/B130)</f>
        <v/>
      </c>
      <c r="G130" s="67">
        <f>IF(Raw_Data_LI!E130="","",Raw_Data_LI!E130/B130)</f>
        <v/>
      </c>
      <c r="H130" s="67">
        <f>IF(Raw_Data_LI!F130="","",Raw_Data_LI!F130/B130)</f>
        <v/>
      </c>
      <c r="I130" s="67">
        <f>IF(Raw_Data_LI!G130="","",Raw_Data_LI!G130/B130)</f>
        <v/>
      </c>
      <c r="J130" s="67">
        <f>IF(Raw_Data_LI!H130="","",Raw_Data_LI!H130/B130)</f>
        <v/>
      </c>
      <c r="K130" s="67">
        <f>IF(Raw_Data_LI!I130="","",Raw_Data_LI!I130/B130)</f>
        <v/>
      </c>
      <c r="L130" s="67">
        <f>IF(AND(D130=1,ISNUMBER(F130),F130&gt;0),F130,"")</f>
        <v/>
      </c>
      <c r="M130" s="67">
        <f>IF(AND(D130=1,ISNUMBER(G130),G130&gt;0),G130,"")</f>
        <v/>
      </c>
      <c r="N130" s="67">
        <f>IF(AND(D130=1,ISNUMBER(H130),H130&gt;0),H130,"")</f>
        <v/>
      </c>
      <c r="O130" s="67">
        <f>IF(AND(D130=1,ISNUMBER(I130),I130&gt;0),I130,"")</f>
        <v/>
      </c>
      <c r="P130" s="67">
        <f>IF(AND(D130=1,ISNUMBER(J130),J130&gt;0),J130,"")</f>
        <v/>
      </c>
      <c r="Q130" s="67">
        <f>IF(AND(D130=1,ISNUMBER(K130),K130&gt;0),K130,"")</f>
        <v/>
      </c>
      <c r="R130" s="68">
        <f>IF(AND(ISNUMBER(F130),L$4&gt;=cfg_li_min_mid_samples),F130/L$5,"")</f>
        <v/>
      </c>
      <c r="S130" s="68">
        <f>IF(AND(ISNUMBER(G130),M$4&gt;=cfg_li_min_mid_samples),G130/M$5,"")</f>
        <v/>
      </c>
      <c r="T130" s="68">
        <f>IF(AND(ISNUMBER(H130),N$4&gt;=cfg_li_min_mid_samples),H130/N$5,"")</f>
        <v/>
      </c>
      <c r="U130" s="68">
        <f>IF(AND(ISNUMBER(I130),O$4&gt;=cfg_li_min_mid_samples),I130/O$5,"")</f>
        <v/>
      </c>
      <c r="V130" s="68">
        <f>IF(AND(ISNUMBER(J130),P$4&gt;=cfg_li_min_mid_samples),J130/P$5,"")</f>
        <v/>
      </c>
      <c r="W130" s="68">
        <f>IF(AND(ISNUMBER(K130),Q$4&gt;=cfg_li_min_mid_samples),K130/Q$5,"")</f>
        <v/>
      </c>
      <c r="X130">
        <f>COUNT(R130:W130)</f>
        <v/>
      </c>
      <c r="Y130" s="68">
        <f>IF(X130&gt;=cfg_li_min_peers,MEDIAN(R130:W130),"")</f>
        <v/>
      </c>
      <c r="Z130" s="68">
        <f>IF(AND(ISNUMBER(R130),ISNUMBER(Y130)),R130/Y130,"")</f>
        <v/>
      </c>
      <c r="AA130" s="68">
        <f>IF(AND(ISNUMBER(S130),ISNUMBER(Y130)),S130/Y130,"")</f>
        <v/>
      </c>
      <c r="AB130" s="68">
        <f>IF(AND(ISNUMBER(T130),ISNUMBER(Y130)),T130/Y130,"")</f>
        <v/>
      </c>
      <c r="AC130" s="68">
        <f>IF(AND(ISNUMBER(U130),ISNUMBER(Y130)),U130/Y130,"")</f>
        <v/>
      </c>
      <c r="AD130" s="68">
        <f>IF(AND(ISNUMBER(V130),ISNUMBER(Y130)),V130/Y130,"")</f>
        <v/>
      </c>
      <c r="AE130" s="68">
        <f>IF(AND(ISNUMBER(W130),ISNUMBER(Y130)),W130/Y130,"")</f>
        <v/>
      </c>
      <c r="AF130" s="68">
        <f>IF(AND(E130=1,ISNUMBER(Z130)),Z130,"")</f>
        <v/>
      </c>
      <c r="AG130" s="68">
        <f>IF(AND(E130=1,ISNUMBER(AA130)),AA130,"")</f>
        <v/>
      </c>
      <c r="AH130" s="68">
        <f>IF(AND(E130=1,ISNUMBER(AB130)),AB130,"")</f>
        <v/>
      </c>
      <c r="AI130" s="68">
        <f>IF(AND(E130=1,ISNUMBER(AC130)),AC130,"")</f>
        <v/>
      </c>
      <c r="AJ130" s="68">
        <f>IF(AND(E130=1,ISNUMBER(AD130)),AD130,"")</f>
        <v/>
      </c>
      <c r="AK130" s="68">
        <f>IF(AND(E130=1,ISNUMBER(AE130)),AE130,"")</f>
        <v/>
      </c>
    </row>
    <row r="131">
      <c r="A131" s="65">
        <f>Raw_Data_LI!A131</f>
        <v/>
      </c>
      <c r="B131" s="66">
        <f>Raw_Data_LI!B131</f>
        <v/>
      </c>
      <c r="C131" s="66">
        <f>Raw_Data_LI!C131</f>
        <v/>
      </c>
      <c r="D131">
        <f>IF(AND(B131&gt;=cfg_li_poa_mid_min,B131&lt;=cfg_li_poa_mid_max),1,0)</f>
        <v/>
      </c>
      <c r="E131">
        <f>IF(AND(B131&gt;=cfg_li_poa_low_min,B131&lt;=cfg_li_poa_low_max,C131&gt;=cfg_li_low_elev_min),1,0)</f>
        <v/>
      </c>
      <c r="F131" s="67">
        <f>IF(Raw_Data_LI!D131="","",Raw_Data_LI!D131/B131)</f>
        <v/>
      </c>
      <c r="G131" s="67">
        <f>IF(Raw_Data_LI!E131="","",Raw_Data_LI!E131/B131)</f>
        <v/>
      </c>
      <c r="H131" s="67">
        <f>IF(Raw_Data_LI!F131="","",Raw_Data_LI!F131/B131)</f>
        <v/>
      </c>
      <c r="I131" s="67">
        <f>IF(Raw_Data_LI!G131="","",Raw_Data_LI!G131/B131)</f>
        <v/>
      </c>
      <c r="J131" s="67">
        <f>IF(Raw_Data_LI!H131="","",Raw_Data_LI!H131/B131)</f>
        <v/>
      </c>
      <c r="K131" s="67">
        <f>IF(Raw_Data_LI!I131="","",Raw_Data_LI!I131/B131)</f>
        <v/>
      </c>
      <c r="L131" s="67">
        <f>IF(AND(D131=1,ISNUMBER(F131),F131&gt;0),F131,"")</f>
        <v/>
      </c>
      <c r="M131" s="67">
        <f>IF(AND(D131=1,ISNUMBER(G131),G131&gt;0),G131,"")</f>
        <v/>
      </c>
      <c r="N131" s="67">
        <f>IF(AND(D131=1,ISNUMBER(H131),H131&gt;0),H131,"")</f>
        <v/>
      </c>
      <c r="O131" s="67">
        <f>IF(AND(D131=1,ISNUMBER(I131),I131&gt;0),I131,"")</f>
        <v/>
      </c>
      <c r="P131" s="67">
        <f>IF(AND(D131=1,ISNUMBER(J131),J131&gt;0),J131,"")</f>
        <v/>
      </c>
      <c r="Q131" s="67">
        <f>IF(AND(D131=1,ISNUMBER(K131),K131&gt;0),K131,"")</f>
        <v/>
      </c>
      <c r="R131" s="68">
        <f>IF(AND(ISNUMBER(F131),L$4&gt;=cfg_li_min_mid_samples),F131/L$5,"")</f>
        <v/>
      </c>
      <c r="S131" s="68">
        <f>IF(AND(ISNUMBER(G131),M$4&gt;=cfg_li_min_mid_samples),G131/M$5,"")</f>
        <v/>
      </c>
      <c r="T131" s="68">
        <f>IF(AND(ISNUMBER(H131),N$4&gt;=cfg_li_min_mid_samples),H131/N$5,"")</f>
        <v/>
      </c>
      <c r="U131" s="68">
        <f>IF(AND(ISNUMBER(I131),O$4&gt;=cfg_li_min_mid_samples),I131/O$5,"")</f>
        <v/>
      </c>
      <c r="V131" s="68">
        <f>IF(AND(ISNUMBER(J131),P$4&gt;=cfg_li_min_mid_samples),J131/P$5,"")</f>
        <v/>
      </c>
      <c r="W131" s="68">
        <f>IF(AND(ISNUMBER(K131),Q$4&gt;=cfg_li_min_mid_samples),K131/Q$5,"")</f>
        <v/>
      </c>
      <c r="X131">
        <f>COUNT(R131:W131)</f>
        <v/>
      </c>
      <c r="Y131" s="68">
        <f>IF(X131&gt;=cfg_li_min_peers,MEDIAN(R131:W131),"")</f>
        <v/>
      </c>
      <c r="Z131" s="68">
        <f>IF(AND(ISNUMBER(R131),ISNUMBER(Y131)),R131/Y131,"")</f>
        <v/>
      </c>
      <c r="AA131" s="68">
        <f>IF(AND(ISNUMBER(S131),ISNUMBER(Y131)),S131/Y131,"")</f>
        <v/>
      </c>
      <c r="AB131" s="68">
        <f>IF(AND(ISNUMBER(T131),ISNUMBER(Y131)),T131/Y131,"")</f>
        <v/>
      </c>
      <c r="AC131" s="68">
        <f>IF(AND(ISNUMBER(U131),ISNUMBER(Y131)),U131/Y131,"")</f>
        <v/>
      </c>
      <c r="AD131" s="68">
        <f>IF(AND(ISNUMBER(V131),ISNUMBER(Y131)),V131/Y131,"")</f>
        <v/>
      </c>
      <c r="AE131" s="68">
        <f>IF(AND(ISNUMBER(W131),ISNUMBER(Y131)),W131/Y131,"")</f>
        <v/>
      </c>
      <c r="AF131" s="68">
        <f>IF(AND(E131=1,ISNUMBER(Z131)),Z131,"")</f>
        <v/>
      </c>
      <c r="AG131" s="68">
        <f>IF(AND(E131=1,ISNUMBER(AA131)),AA131,"")</f>
        <v/>
      </c>
      <c r="AH131" s="68">
        <f>IF(AND(E131=1,ISNUMBER(AB131)),AB131,"")</f>
        <v/>
      </c>
      <c r="AI131" s="68">
        <f>IF(AND(E131=1,ISNUMBER(AC131)),AC131,"")</f>
        <v/>
      </c>
      <c r="AJ131" s="68">
        <f>IF(AND(E131=1,ISNUMBER(AD131)),AD131,"")</f>
        <v/>
      </c>
      <c r="AK131" s="68">
        <f>IF(AND(E131=1,ISNUMBER(AE131)),AE131,"")</f>
        <v/>
      </c>
    </row>
    <row r="132">
      <c r="A132" s="65">
        <f>Raw_Data_LI!A132</f>
        <v/>
      </c>
      <c r="B132" s="66">
        <f>Raw_Data_LI!B132</f>
        <v/>
      </c>
      <c r="C132" s="66">
        <f>Raw_Data_LI!C132</f>
        <v/>
      </c>
      <c r="D132">
        <f>IF(AND(B132&gt;=cfg_li_poa_mid_min,B132&lt;=cfg_li_poa_mid_max),1,0)</f>
        <v/>
      </c>
      <c r="E132">
        <f>IF(AND(B132&gt;=cfg_li_poa_low_min,B132&lt;=cfg_li_poa_low_max,C132&gt;=cfg_li_low_elev_min),1,0)</f>
        <v/>
      </c>
      <c r="F132" s="67">
        <f>IF(Raw_Data_LI!D132="","",Raw_Data_LI!D132/B132)</f>
        <v/>
      </c>
      <c r="G132" s="67">
        <f>IF(Raw_Data_LI!E132="","",Raw_Data_LI!E132/B132)</f>
        <v/>
      </c>
      <c r="H132" s="67">
        <f>IF(Raw_Data_LI!F132="","",Raw_Data_LI!F132/B132)</f>
        <v/>
      </c>
      <c r="I132" s="67">
        <f>IF(Raw_Data_LI!G132="","",Raw_Data_LI!G132/B132)</f>
        <v/>
      </c>
      <c r="J132" s="67">
        <f>IF(Raw_Data_LI!H132="","",Raw_Data_LI!H132/B132)</f>
        <v/>
      </c>
      <c r="K132" s="67">
        <f>IF(Raw_Data_LI!I132="","",Raw_Data_LI!I132/B132)</f>
        <v/>
      </c>
      <c r="L132" s="67">
        <f>IF(AND(D132=1,ISNUMBER(F132),F132&gt;0),F132,"")</f>
        <v/>
      </c>
      <c r="M132" s="67">
        <f>IF(AND(D132=1,ISNUMBER(G132),G132&gt;0),G132,"")</f>
        <v/>
      </c>
      <c r="N132" s="67">
        <f>IF(AND(D132=1,ISNUMBER(H132),H132&gt;0),H132,"")</f>
        <v/>
      </c>
      <c r="O132" s="67">
        <f>IF(AND(D132=1,ISNUMBER(I132),I132&gt;0),I132,"")</f>
        <v/>
      </c>
      <c r="P132" s="67">
        <f>IF(AND(D132=1,ISNUMBER(J132),J132&gt;0),J132,"")</f>
        <v/>
      </c>
      <c r="Q132" s="67">
        <f>IF(AND(D132=1,ISNUMBER(K132),K132&gt;0),K132,"")</f>
        <v/>
      </c>
      <c r="R132" s="68">
        <f>IF(AND(ISNUMBER(F132),L$4&gt;=cfg_li_min_mid_samples),F132/L$5,"")</f>
        <v/>
      </c>
      <c r="S132" s="68">
        <f>IF(AND(ISNUMBER(G132),M$4&gt;=cfg_li_min_mid_samples),G132/M$5,"")</f>
        <v/>
      </c>
      <c r="T132" s="68">
        <f>IF(AND(ISNUMBER(H132),N$4&gt;=cfg_li_min_mid_samples),H132/N$5,"")</f>
        <v/>
      </c>
      <c r="U132" s="68">
        <f>IF(AND(ISNUMBER(I132),O$4&gt;=cfg_li_min_mid_samples),I132/O$5,"")</f>
        <v/>
      </c>
      <c r="V132" s="68">
        <f>IF(AND(ISNUMBER(J132),P$4&gt;=cfg_li_min_mid_samples),J132/P$5,"")</f>
        <v/>
      </c>
      <c r="W132" s="68">
        <f>IF(AND(ISNUMBER(K132),Q$4&gt;=cfg_li_min_mid_samples),K132/Q$5,"")</f>
        <v/>
      </c>
      <c r="X132">
        <f>COUNT(R132:W132)</f>
        <v/>
      </c>
      <c r="Y132" s="68">
        <f>IF(X132&gt;=cfg_li_min_peers,MEDIAN(R132:W132),"")</f>
        <v/>
      </c>
      <c r="Z132" s="68">
        <f>IF(AND(ISNUMBER(R132),ISNUMBER(Y132)),R132/Y132,"")</f>
        <v/>
      </c>
      <c r="AA132" s="68">
        <f>IF(AND(ISNUMBER(S132),ISNUMBER(Y132)),S132/Y132,"")</f>
        <v/>
      </c>
      <c r="AB132" s="68">
        <f>IF(AND(ISNUMBER(T132),ISNUMBER(Y132)),T132/Y132,"")</f>
        <v/>
      </c>
      <c r="AC132" s="68">
        <f>IF(AND(ISNUMBER(U132),ISNUMBER(Y132)),U132/Y132,"")</f>
        <v/>
      </c>
      <c r="AD132" s="68">
        <f>IF(AND(ISNUMBER(V132),ISNUMBER(Y132)),V132/Y132,"")</f>
        <v/>
      </c>
      <c r="AE132" s="68">
        <f>IF(AND(ISNUMBER(W132),ISNUMBER(Y132)),W132/Y132,"")</f>
        <v/>
      </c>
      <c r="AF132" s="68">
        <f>IF(AND(E132=1,ISNUMBER(Z132)),Z132,"")</f>
        <v/>
      </c>
      <c r="AG132" s="68">
        <f>IF(AND(E132=1,ISNUMBER(AA132)),AA132,"")</f>
        <v/>
      </c>
      <c r="AH132" s="68">
        <f>IF(AND(E132=1,ISNUMBER(AB132)),AB132,"")</f>
        <v/>
      </c>
      <c r="AI132" s="68">
        <f>IF(AND(E132=1,ISNUMBER(AC132)),AC132,"")</f>
        <v/>
      </c>
      <c r="AJ132" s="68">
        <f>IF(AND(E132=1,ISNUMBER(AD132)),AD132,"")</f>
        <v/>
      </c>
      <c r="AK132" s="68">
        <f>IF(AND(E132=1,ISNUMBER(AE132)),AE132,"")</f>
        <v/>
      </c>
    </row>
    <row r="133">
      <c r="A133" s="65">
        <f>Raw_Data_LI!A133</f>
        <v/>
      </c>
      <c r="B133" s="66">
        <f>Raw_Data_LI!B133</f>
        <v/>
      </c>
      <c r="C133" s="66">
        <f>Raw_Data_LI!C133</f>
        <v/>
      </c>
      <c r="D133">
        <f>IF(AND(B133&gt;=cfg_li_poa_mid_min,B133&lt;=cfg_li_poa_mid_max),1,0)</f>
        <v/>
      </c>
      <c r="E133">
        <f>IF(AND(B133&gt;=cfg_li_poa_low_min,B133&lt;=cfg_li_poa_low_max,C133&gt;=cfg_li_low_elev_min),1,0)</f>
        <v/>
      </c>
      <c r="F133" s="67">
        <f>IF(Raw_Data_LI!D133="","",Raw_Data_LI!D133/B133)</f>
        <v/>
      </c>
      <c r="G133" s="67">
        <f>IF(Raw_Data_LI!E133="","",Raw_Data_LI!E133/B133)</f>
        <v/>
      </c>
      <c r="H133" s="67">
        <f>IF(Raw_Data_LI!F133="","",Raw_Data_LI!F133/B133)</f>
        <v/>
      </c>
      <c r="I133" s="67">
        <f>IF(Raw_Data_LI!G133="","",Raw_Data_LI!G133/B133)</f>
        <v/>
      </c>
      <c r="J133" s="67">
        <f>IF(Raw_Data_LI!H133="","",Raw_Data_LI!H133/B133)</f>
        <v/>
      </c>
      <c r="K133" s="67">
        <f>IF(Raw_Data_LI!I133="","",Raw_Data_LI!I133/B133)</f>
        <v/>
      </c>
      <c r="L133" s="67">
        <f>IF(AND(D133=1,ISNUMBER(F133),F133&gt;0),F133,"")</f>
        <v/>
      </c>
      <c r="M133" s="67">
        <f>IF(AND(D133=1,ISNUMBER(G133),G133&gt;0),G133,"")</f>
        <v/>
      </c>
      <c r="N133" s="67">
        <f>IF(AND(D133=1,ISNUMBER(H133),H133&gt;0),H133,"")</f>
        <v/>
      </c>
      <c r="O133" s="67">
        <f>IF(AND(D133=1,ISNUMBER(I133),I133&gt;0),I133,"")</f>
        <v/>
      </c>
      <c r="P133" s="67">
        <f>IF(AND(D133=1,ISNUMBER(J133),J133&gt;0),J133,"")</f>
        <v/>
      </c>
      <c r="Q133" s="67">
        <f>IF(AND(D133=1,ISNUMBER(K133),K133&gt;0),K133,"")</f>
        <v/>
      </c>
      <c r="R133" s="68">
        <f>IF(AND(ISNUMBER(F133),L$4&gt;=cfg_li_min_mid_samples),F133/L$5,"")</f>
        <v/>
      </c>
      <c r="S133" s="68">
        <f>IF(AND(ISNUMBER(G133),M$4&gt;=cfg_li_min_mid_samples),G133/M$5,"")</f>
        <v/>
      </c>
      <c r="T133" s="68">
        <f>IF(AND(ISNUMBER(H133),N$4&gt;=cfg_li_min_mid_samples),H133/N$5,"")</f>
        <v/>
      </c>
      <c r="U133" s="68">
        <f>IF(AND(ISNUMBER(I133),O$4&gt;=cfg_li_min_mid_samples),I133/O$5,"")</f>
        <v/>
      </c>
      <c r="V133" s="68">
        <f>IF(AND(ISNUMBER(J133),P$4&gt;=cfg_li_min_mid_samples),J133/P$5,"")</f>
        <v/>
      </c>
      <c r="W133" s="68">
        <f>IF(AND(ISNUMBER(K133),Q$4&gt;=cfg_li_min_mid_samples),K133/Q$5,"")</f>
        <v/>
      </c>
      <c r="X133">
        <f>COUNT(R133:W133)</f>
        <v/>
      </c>
      <c r="Y133" s="68">
        <f>IF(X133&gt;=cfg_li_min_peers,MEDIAN(R133:W133),"")</f>
        <v/>
      </c>
      <c r="Z133" s="68">
        <f>IF(AND(ISNUMBER(R133),ISNUMBER(Y133)),R133/Y133,"")</f>
        <v/>
      </c>
      <c r="AA133" s="68">
        <f>IF(AND(ISNUMBER(S133),ISNUMBER(Y133)),S133/Y133,"")</f>
        <v/>
      </c>
      <c r="AB133" s="68">
        <f>IF(AND(ISNUMBER(T133),ISNUMBER(Y133)),T133/Y133,"")</f>
        <v/>
      </c>
      <c r="AC133" s="68">
        <f>IF(AND(ISNUMBER(U133),ISNUMBER(Y133)),U133/Y133,"")</f>
        <v/>
      </c>
      <c r="AD133" s="68">
        <f>IF(AND(ISNUMBER(V133),ISNUMBER(Y133)),V133/Y133,"")</f>
        <v/>
      </c>
      <c r="AE133" s="68">
        <f>IF(AND(ISNUMBER(W133),ISNUMBER(Y133)),W133/Y133,"")</f>
        <v/>
      </c>
      <c r="AF133" s="68">
        <f>IF(AND(E133=1,ISNUMBER(Z133)),Z133,"")</f>
        <v/>
      </c>
      <c r="AG133" s="68">
        <f>IF(AND(E133=1,ISNUMBER(AA133)),AA133,"")</f>
        <v/>
      </c>
      <c r="AH133" s="68">
        <f>IF(AND(E133=1,ISNUMBER(AB133)),AB133,"")</f>
        <v/>
      </c>
      <c r="AI133" s="68">
        <f>IF(AND(E133=1,ISNUMBER(AC133)),AC133,"")</f>
        <v/>
      </c>
      <c r="AJ133" s="68">
        <f>IF(AND(E133=1,ISNUMBER(AD133)),AD133,"")</f>
        <v/>
      </c>
      <c r="AK133" s="68">
        <f>IF(AND(E133=1,ISNUMBER(AE133)),AE133,"")</f>
        <v/>
      </c>
    </row>
    <row r="134">
      <c r="A134" s="65">
        <f>Raw_Data_LI!A134</f>
        <v/>
      </c>
      <c r="B134" s="66">
        <f>Raw_Data_LI!B134</f>
        <v/>
      </c>
      <c r="C134" s="66">
        <f>Raw_Data_LI!C134</f>
        <v/>
      </c>
      <c r="D134">
        <f>IF(AND(B134&gt;=cfg_li_poa_mid_min,B134&lt;=cfg_li_poa_mid_max),1,0)</f>
        <v/>
      </c>
      <c r="E134">
        <f>IF(AND(B134&gt;=cfg_li_poa_low_min,B134&lt;=cfg_li_poa_low_max,C134&gt;=cfg_li_low_elev_min),1,0)</f>
        <v/>
      </c>
      <c r="F134" s="67">
        <f>IF(Raw_Data_LI!D134="","",Raw_Data_LI!D134/B134)</f>
        <v/>
      </c>
      <c r="G134" s="67">
        <f>IF(Raw_Data_LI!E134="","",Raw_Data_LI!E134/B134)</f>
        <v/>
      </c>
      <c r="H134" s="67">
        <f>IF(Raw_Data_LI!F134="","",Raw_Data_LI!F134/B134)</f>
        <v/>
      </c>
      <c r="I134" s="67">
        <f>IF(Raw_Data_LI!G134="","",Raw_Data_LI!G134/B134)</f>
        <v/>
      </c>
      <c r="J134" s="67">
        <f>IF(Raw_Data_LI!H134="","",Raw_Data_LI!H134/B134)</f>
        <v/>
      </c>
      <c r="K134" s="67">
        <f>IF(Raw_Data_LI!I134="","",Raw_Data_LI!I134/B134)</f>
        <v/>
      </c>
      <c r="L134" s="67">
        <f>IF(AND(D134=1,ISNUMBER(F134),F134&gt;0),F134,"")</f>
        <v/>
      </c>
      <c r="M134" s="67">
        <f>IF(AND(D134=1,ISNUMBER(G134),G134&gt;0),G134,"")</f>
        <v/>
      </c>
      <c r="N134" s="67">
        <f>IF(AND(D134=1,ISNUMBER(H134),H134&gt;0),H134,"")</f>
        <v/>
      </c>
      <c r="O134" s="67">
        <f>IF(AND(D134=1,ISNUMBER(I134),I134&gt;0),I134,"")</f>
        <v/>
      </c>
      <c r="P134" s="67">
        <f>IF(AND(D134=1,ISNUMBER(J134),J134&gt;0),J134,"")</f>
        <v/>
      </c>
      <c r="Q134" s="67">
        <f>IF(AND(D134=1,ISNUMBER(K134),K134&gt;0),K134,"")</f>
        <v/>
      </c>
      <c r="R134" s="68">
        <f>IF(AND(ISNUMBER(F134),L$4&gt;=cfg_li_min_mid_samples),F134/L$5,"")</f>
        <v/>
      </c>
      <c r="S134" s="68">
        <f>IF(AND(ISNUMBER(G134),M$4&gt;=cfg_li_min_mid_samples),G134/M$5,"")</f>
        <v/>
      </c>
      <c r="T134" s="68">
        <f>IF(AND(ISNUMBER(H134),N$4&gt;=cfg_li_min_mid_samples),H134/N$5,"")</f>
        <v/>
      </c>
      <c r="U134" s="68">
        <f>IF(AND(ISNUMBER(I134),O$4&gt;=cfg_li_min_mid_samples),I134/O$5,"")</f>
        <v/>
      </c>
      <c r="V134" s="68">
        <f>IF(AND(ISNUMBER(J134),P$4&gt;=cfg_li_min_mid_samples),J134/P$5,"")</f>
        <v/>
      </c>
      <c r="W134" s="68">
        <f>IF(AND(ISNUMBER(K134),Q$4&gt;=cfg_li_min_mid_samples),K134/Q$5,"")</f>
        <v/>
      </c>
      <c r="X134">
        <f>COUNT(R134:W134)</f>
        <v/>
      </c>
      <c r="Y134" s="68">
        <f>IF(X134&gt;=cfg_li_min_peers,MEDIAN(R134:W134),"")</f>
        <v/>
      </c>
      <c r="Z134" s="68">
        <f>IF(AND(ISNUMBER(R134),ISNUMBER(Y134)),R134/Y134,"")</f>
        <v/>
      </c>
      <c r="AA134" s="68">
        <f>IF(AND(ISNUMBER(S134),ISNUMBER(Y134)),S134/Y134,"")</f>
        <v/>
      </c>
      <c r="AB134" s="68">
        <f>IF(AND(ISNUMBER(T134),ISNUMBER(Y134)),T134/Y134,"")</f>
        <v/>
      </c>
      <c r="AC134" s="68">
        <f>IF(AND(ISNUMBER(U134),ISNUMBER(Y134)),U134/Y134,"")</f>
        <v/>
      </c>
      <c r="AD134" s="68">
        <f>IF(AND(ISNUMBER(V134),ISNUMBER(Y134)),V134/Y134,"")</f>
        <v/>
      </c>
      <c r="AE134" s="68">
        <f>IF(AND(ISNUMBER(W134),ISNUMBER(Y134)),W134/Y134,"")</f>
        <v/>
      </c>
      <c r="AF134" s="68">
        <f>IF(AND(E134=1,ISNUMBER(Z134)),Z134,"")</f>
        <v/>
      </c>
      <c r="AG134" s="68">
        <f>IF(AND(E134=1,ISNUMBER(AA134)),AA134,"")</f>
        <v/>
      </c>
      <c r="AH134" s="68">
        <f>IF(AND(E134=1,ISNUMBER(AB134)),AB134,"")</f>
        <v/>
      </c>
      <c r="AI134" s="68">
        <f>IF(AND(E134=1,ISNUMBER(AC134)),AC134,"")</f>
        <v/>
      </c>
      <c r="AJ134" s="68">
        <f>IF(AND(E134=1,ISNUMBER(AD134)),AD134,"")</f>
        <v/>
      </c>
      <c r="AK134" s="68">
        <f>IF(AND(E134=1,ISNUMBER(AE134)),AE134,"")</f>
        <v/>
      </c>
    </row>
    <row r="135">
      <c r="A135" s="65">
        <f>Raw_Data_LI!A135</f>
        <v/>
      </c>
      <c r="B135" s="66">
        <f>Raw_Data_LI!B135</f>
        <v/>
      </c>
      <c r="C135" s="66">
        <f>Raw_Data_LI!C135</f>
        <v/>
      </c>
      <c r="D135">
        <f>IF(AND(B135&gt;=cfg_li_poa_mid_min,B135&lt;=cfg_li_poa_mid_max),1,0)</f>
        <v/>
      </c>
      <c r="E135">
        <f>IF(AND(B135&gt;=cfg_li_poa_low_min,B135&lt;=cfg_li_poa_low_max,C135&gt;=cfg_li_low_elev_min),1,0)</f>
        <v/>
      </c>
      <c r="F135" s="67">
        <f>IF(Raw_Data_LI!D135="","",Raw_Data_LI!D135/B135)</f>
        <v/>
      </c>
      <c r="G135" s="67">
        <f>IF(Raw_Data_LI!E135="","",Raw_Data_LI!E135/B135)</f>
        <v/>
      </c>
      <c r="H135" s="67">
        <f>IF(Raw_Data_LI!F135="","",Raw_Data_LI!F135/B135)</f>
        <v/>
      </c>
      <c r="I135" s="67">
        <f>IF(Raw_Data_LI!G135="","",Raw_Data_LI!G135/B135)</f>
        <v/>
      </c>
      <c r="J135" s="67">
        <f>IF(Raw_Data_LI!H135="","",Raw_Data_LI!H135/B135)</f>
        <v/>
      </c>
      <c r="K135" s="67">
        <f>IF(Raw_Data_LI!I135="","",Raw_Data_LI!I135/B135)</f>
        <v/>
      </c>
      <c r="L135" s="67">
        <f>IF(AND(D135=1,ISNUMBER(F135),F135&gt;0),F135,"")</f>
        <v/>
      </c>
      <c r="M135" s="67">
        <f>IF(AND(D135=1,ISNUMBER(G135),G135&gt;0),G135,"")</f>
        <v/>
      </c>
      <c r="N135" s="67">
        <f>IF(AND(D135=1,ISNUMBER(H135),H135&gt;0),H135,"")</f>
        <v/>
      </c>
      <c r="O135" s="67">
        <f>IF(AND(D135=1,ISNUMBER(I135),I135&gt;0),I135,"")</f>
        <v/>
      </c>
      <c r="P135" s="67">
        <f>IF(AND(D135=1,ISNUMBER(J135),J135&gt;0),J135,"")</f>
        <v/>
      </c>
      <c r="Q135" s="67">
        <f>IF(AND(D135=1,ISNUMBER(K135),K135&gt;0),K135,"")</f>
        <v/>
      </c>
      <c r="R135" s="68">
        <f>IF(AND(ISNUMBER(F135),L$4&gt;=cfg_li_min_mid_samples),F135/L$5,"")</f>
        <v/>
      </c>
      <c r="S135" s="68">
        <f>IF(AND(ISNUMBER(G135),M$4&gt;=cfg_li_min_mid_samples),G135/M$5,"")</f>
        <v/>
      </c>
      <c r="T135" s="68">
        <f>IF(AND(ISNUMBER(H135),N$4&gt;=cfg_li_min_mid_samples),H135/N$5,"")</f>
        <v/>
      </c>
      <c r="U135" s="68">
        <f>IF(AND(ISNUMBER(I135),O$4&gt;=cfg_li_min_mid_samples),I135/O$5,"")</f>
        <v/>
      </c>
      <c r="V135" s="68">
        <f>IF(AND(ISNUMBER(J135),P$4&gt;=cfg_li_min_mid_samples),J135/P$5,"")</f>
        <v/>
      </c>
      <c r="W135" s="68">
        <f>IF(AND(ISNUMBER(K135),Q$4&gt;=cfg_li_min_mid_samples),K135/Q$5,"")</f>
        <v/>
      </c>
      <c r="X135">
        <f>COUNT(R135:W135)</f>
        <v/>
      </c>
      <c r="Y135" s="68">
        <f>IF(X135&gt;=cfg_li_min_peers,MEDIAN(R135:W135),"")</f>
        <v/>
      </c>
      <c r="Z135" s="68">
        <f>IF(AND(ISNUMBER(R135),ISNUMBER(Y135)),R135/Y135,"")</f>
        <v/>
      </c>
      <c r="AA135" s="68">
        <f>IF(AND(ISNUMBER(S135),ISNUMBER(Y135)),S135/Y135,"")</f>
        <v/>
      </c>
      <c r="AB135" s="68">
        <f>IF(AND(ISNUMBER(T135),ISNUMBER(Y135)),T135/Y135,"")</f>
        <v/>
      </c>
      <c r="AC135" s="68">
        <f>IF(AND(ISNUMBER(U135),ISNUMBER(Y135)),U135/Y135,"")</f>
        <v/>
      </c>
      <c r="AD135" s="68">
        <f>IF(AND(ISNUMBER(V135),ISNUMBER(Y135)),V135/Y135,"")</f>
        <v/>
      </c>
      <c r="AE135" s="68">
        <f>IF(AND(ISNUMBER(W135),ISNUMBER(Y135)),W135/Y135,"")</f>
        <v/>
      </c>
      <c r="AF135" s="68">
        <f>IF(AND(E135=1,ISNUMBER(Z135)),Z135,"")</f>
        <v/>
      </c>
      <c r="AG135" s="68">
        <f>IF(AND(E135=1,ISNUMBER(AA135)),AA135,"")</f>
        <v/>
      </c>
      <c r="AH135" s="68">
        <f>IF(AND(E135=1,ISNUMBER(AB135)),AB135,"")</f>
        <v/>
      </c>
      <c r="AI135" s="68">
        <f>IF(AND(E135=1,ISNUMBER(AC135)),AC135,"")</f>
        <v/>
      </c>
      <c r="AJ135" s="68">
        <f>IF(AND(E135=1,ISNUMBER(AD135)),AD135,"")</f>
        <v/>
      </c>
      <c r="AK135" s="68">
        <f>IF(AND(E135=1,ISNUMBER(AE135)),AE135,"")</f>
        <v/>
      </c>
    </row>
    <row r="136">
      <c r="A136" s="65">
        <f>Raw_Data_LI!A136</f>
        <v/>
      </c>
      <c r="B136" s="66">
        <f>Raw_Data_LI!B136</f>
        <v/>
      </c>
      <c r="C136" s="66">
        <f>Raw_Data_LI!C136</f>
        <v/>
      </c>
      <c r="D136">
        <f>IF(AND(B136&gt;=cfg_li_poa_mid_min,B136&lt;=cfg_li_poa_mid_max),1,0)</f>
        <v/>
      </c>
      <c r="E136">
        <f>IF(AND(B136&gt;=cfg_li_poa_low_min,B136&lt;=cfg_li_poa_low_max,C136&gt;=cfg_li_low_elev_min),1,0)</f>
        <v/>
      </c>
      <c r="F136" s="67">
        <f>IF(Raw_Data_LI!D136="","",Raw_Data_LI!D136/B136)</f>
        <v/>
      </c>
      <c r="G136" s="67">
        <f>IF(Raw_Data_LI!E136="","",Raw_Data_LI!E136/B136)</f>
        <v/>
      </c>
      <c r="H136" s="67">
        <f>IF(Raw_Data_LI!F136="","",Raw_Data_LI!F136/B136)</f>
        <v/>
      </c>
      <c r="I136" s="67">
        <f>IF(Raw_Data_LI!G136="","",Raw_Data_LI!G136/B136)</f>
        <v/>
      </c>
      <c r="J136" s="67">
        <f>IF(Raw_Data_LI!H136="","",Raw_Data_LI!H136/B136)</f>
        <v/>
      </c>
      <c r="K136" s="67">
        <f>IF(Raw_Data_LI!I136="","",Raw_Data_LI!I136/B136)</f>
        <v/>
      </c>
      <c r="L136" s="67">
        <f>IF(AND(D136=1,ISNUMBER(F136),F136&gt;0),F136,"")</f>
        <v/>
      </c>
      <c r="M136" s="67">
        <f>IF(AND(D136=1,ISNUMBER(G136),G136&gt;0),G136,"")</f>
        <v/>
      </c>
      <c r="N136" s="67">
        <f>IF(AND(D136=1,ISNUMBER(H136),H136&gt;0),H136,"")</f>
        <v/>
      </c>
      <c r="O136" s="67">
        <f>IF(AND(D136=1,ISNUMBER(I136),I136&gt;0),I136,"")</f>
        <v/>
      </c>
      <c r="P136" s="67">
        <f>IF(AND(D136=1,ISNUMBER(J136),J136&gt;0),J136,"")</f>
        <v/>
      </c>
      <c r="Q136" s="67">
        <f>IF(AND(D136=1,ISNUMBER(K136),K136&gt;0),K136,"")</f>
        <v/>
      </c>
      <c r="R136" s="68">
        <f>IF(AND(ISNUMBER(F136),L$4&gt;=cfg_li_min_mid_samples),F136/L$5,"")</f>
        <v/>
      </c>
      <c r="S136" s="68">
        <f>IF(AND(ISNUMBER(G136),M$4&gt;=cfg_li_min_mid_samples),G136/M$5,"")</f>
        <v/>
      </c>
      <c r="T136" s="68">
        <f>IF(AND(ISNUMBER(H136),N$4&gt;=cfg_li_min_mid_samples),H136/N$5,"")</f>
        <v/>
      </c>
      <c r="U136" s="68">
        <f>IF(AND(ISNUMBER(I136),O$4&gt;=cfg_li_min_mid_samples),I136/O$5,"")</f>
        <v/>
      </c>
      <c r="V136" s="68">
        <f>IF(AND(ISNUMBER(J136),P$4&gt;=cfg_li_min_mid_samples),J136/P$5,"")</f>
        <v/>
      </c>
      <c r="W136" s="68">
        <f>IF(AND(ISNUMBER(K136),Q$4&gt;=cfg_li_min_mid_samples),K136/Q$5,"")</f>
        <v/>
      </c>
      <c r="X136">
        <f>COUNT(R136:W136)</f>
        <v/>
      </c>
      <c r="Y136" s="68">
        <f>IF(X136&gt;=cfg_li_min_peers,MEDIAN(R136:W136),"")</f>
        <v/>
      </c>
      <c r="Z136" s="68">
        <f>IF(AND(ISNUMBER(R136),ISNUMBER(Y136)),R136/Y136,"")</f>
        <v/>
      </c>
      <c r="AA136" s="68">
        <f>IF(AND(ISNUMBER(S136),ISNUMBER(Y136)),S136/Y136,"")</f>
        <v/>
      </c>
      <c r="AB136" s="68">
        <f>IF(AND(ISNUMBER(T136),ISNUMBER(Y136)),T136/Y136,"")</f>
        <v/>
      </c>
      <c r="AC136" s="68">
        <f>IF(AND(ISNUMBER(U136),ISNUMBER(Y136)),U136/Y136,"")</f>
        <v/>
      </c>
      <c r="AD136" s="68">
        <f>IF(AND(ISNUMBER(V136),ISNUMBER(Y136)),V136/Y136,"")</f>
        <v/>
      </c>
      <c r="AE136" s="68">
        <f>IF(AND(ISNUMBER(W136),ISNUMBER(Y136)),W136/Y136,"")</f>
        <v/>
      </c>
      <c r="AF136" s="68">
        <f>IF(AND(E136=1,ISNUMBER(Z136)),Z136,"")</f>
        <v/>
      </c>
      <c r="AG136" s="68">
        <f>IF(AND(E136=1,ISNUMBER(AA136)),AA136,"")</f>
        <v/>
      </c>
      <c r="AH136" s="68">
        <f>IF(AND(E136=1,ISNUMBER(AB136)),AB136,"")</f>
        <v/>
      </c>
      <c r="AI136" s="68">
        <f>IF(AND(E136=1,ISNUMBER(AC136)),AC136,"")</f>
        <v/>
      </c>
      <c r="AJ136" s="68">
        <f>IF(AND(E136=1,ISNUMBER(AD136)),AD136,"")</f>
        <v/>
      </c>
      <c r="AK136" s="68">
        <f>IF(AND(E136=1,ISNUMBER(AE136)),AE136,"")</f>
        <v/>
      </c>
    </row>
    <row r="137">
      <c r="A137" s="65">
        <f>Raw_Data_LI!A137</f>
        <v/>
      </c>
      <c r="B137" s="66">
        <f>Raw_Data_LI!B137</f>
        <v/>
      </c>
      <c r="C137" s="66">
        <f>Raw_Data_LI!C137</f>
        <v/>
      </c>
      <c r="D137">
        <f>IF(AND(B137&gt;=cfg_li_poa_mid_min,B137&lt;=cfg_li_poa_mid_max),1,0)</f>
        <v/>
      </c>
      <c r="E137">
        <f>IF(AND(B137&gt;=cfg_li_poa_low_min,B137&lt;=cfg_li_poa_low_max,C137&gt;=cfg_li_low_elev_min),1,0)</f>
        <v/>
      </c>
      <c r="F137" s="67">
        <f>IF(Raw_Data_LI!D137="","",Raw_Data_LI!D137/B137)</f>
        <v/>
      </c>
      <c r="G137" s="67">
        <f>IF(Raw_Data_LI!E137="","",Raw_Data_LI!E137/B137)</f>
        <v/>
      </c>
      <c r="H137" s="67">
        <f>IF(Raw_Data_LI!F137="","",Raw_Data_LI!F137/B137)</f>
        <v/>
      </c>
      <c r="I137" s="67">
        <f>IF(Raw_Data_LI!G137="","",Raw_Data_LI!G137/B137)</f>
        <v/>
      </c>
      <c r="J137" s="67">
        <f>IF(Raw_Data_LI!H137="","",Raw_Data_LI!H137/B137)</f>
        <v/>
      </c>
      <c r="K137" s="67">
        <f>IF(Raw_Data_LI!I137="","",Raw_Data_LI!I137/B137)</f>
        <v/>
      </c>
      <c r="L137" s="67">
        <f>IF(AND(D137=1,ISNUMBER(F137),F137&gt;0),F137,"")</f>
        <v/>
      </c>
      <c r="M137" s="67">
        <f>IF(AND(D137=1,ISNUMBER(G137),G137&gt;0),G137,"")</f>
        <v/>
      </c>
      <c r="N137" s="67">
        <f>IF(AND(D137=1,ISNUMBER(H137),H137&gt;0),H137,"")</f>
        <v/>
      </c>
      <c r="O137" s="67">
        <f>IF(AND(D137=1,ISNUMBER(I137),I137&gt;0),I137,"")</f>
        <v/>
      </c>
      <c r="P137" s="67">
        <f>IF(AND(D137=1,ISNUMBER(J137),J137&gt;0),J137,"")</f>
        <v/>
      </c>
      <c r="Q137" s="67">
        <f>IF(AND(D137=1,ISNUMBER(K137),K137&gt;0),K137,"")</f>
        <v/>
      </c>
      <c r="R137" s="68">
        <f>IF(AND(ISNUMBER(F137),L$4&gt;=cfg_li_min_mid_samples),F137/L$5,"")</f>
        <v/>
      </c>
      <c r="S137" s="68">
        <f>IF(AND(ISNUMBER(G137),M$4&gt;=cfg_li_min_mid_samples),G137/M$5,"")</f>
        <v/>
      </c>
      <c r="T137" s="68">
        <f>IF(AND(ISNUMBER(H137),N$4&gt;=cfg_li_min_mid_samples),H137/N$5,"")</f>
        <v/>
      </c>
      <c r="U137" s="68">
        <f>IF(AND(ISNUMBER(I137),O$4&gt;=cfg_li_min_mid_samples),I137/O$5,"")</f>
        <v/>
      </c>
      <c r="V137" s="68">
        <f>IF(AND(ISNUMBER(J137),P$4&gt;=cfg_li_min_mid_samples),J137/P$5,"")</f>
        <v/>
      </c>
      <c r="W137" s="68">
        <f>IF(AND(ISNUMBER(K137),Q$4&gt;=cfg_li_min_mid_samples),K137/Q$5,"")</f>
        <v/>
      </c>
      <c r="X137">
        <f>COUNT(R137:W137)</f>
        <v/>
      </c>
      <c r="Y137" s="68">
        <f>IF(X137&gt;=cfg_li_min_peers,MEDIAN(R137:W137),"")</f>
        <v/>
      </c>
      <c r="Z137" s="68">
        <f>IF(AND(ISNUMBER(R137),ISNUMBER(Y137)),R137/Y137,"")</f>
        <v/>
      </c>
      <c r="AA137" s="68">
        <f>IF(AND(ISNUMBER(S137),ISNUMBER(Y137)),S137/Y137,"")</f>
        <v/>
      </c>
      <c r="AB137" s="68">
        <f>IF(AND(ISNUMBER(T137),ISNUMBER(Y137)),T137/Y137,"")</f>
        <v/>
      </c>
      <c r="AC137" s="68">
        <f>IF(AND(ISNUMBER(U137),ISNUMBER(Y137)),U137/Y137,"")</f>
        <v/>
      </c>
      <c r="AD137" s="68">
        <f>IF(AND(ISNUMBER(V137),ISNUMBER(Y137)),V137/Y137,"")</f>
        <v/>
      </c>
      <c r="AE137" s="68">
        <f>IF(AND(ISNUMBER(W137),ISNUMBER(Y137)),W137/Y137,"")</f>
        <v/>
      </c>
      <c r="AF137" s="68">
        <f>IF(AND(E137=1,ISNUMBER(Z137)),Z137,"")</f>
        <v/>
      </c>
      <c r="AG137" s="68">
        <f>IF(AND(E137=1,ISNUMBER(AA137)),AA137,"")</f>
        <v/>
      </c>
      <c r="AH137" s="68">
        <f>IF(AND(E137=1,ISNUMBER(AB137)),AB137,"")</f>
        <v/>
      </c>
      <c r="AI137" s="68">
        <f>IF(AND(E137=1,ISNUMBER(AC137)),AC137,"")</f>
        <v/>
      </c>
      <c r="AJ137" s="68">
        <f>IF(AND(E137=1,ISNUMBER(AD137)),AD137,"")</f>
        <v/>
      </c>
      <c r="AK137" s="68">
        <f>IF(AND(E137=1,ISNUMBER(AE137)),AE137,"")</f>
        <v/>
      </c>
    </row>
    <row r="138">
      <c r="A138" s="65">
        <f>Raw_Data_LI!A138</f>
        <v/>
      </c>
      <c r="B138" s="66">
        <f>Raw_Data_LI!B138</f>
        <v/>
      </c>
      <c r="C138" s="66">
        <f>Raw_Data_LI!C138</f>
        <v/>
      </c>
      <c r="D138">
        <f>IF(AND(B138&gt;=cfg_li_poa_mid_min,B138&lt;=cfg_li_poa_mid_max),1,0)</f>
        <v/>
      </c>
      <c r="E138">
        <f>IF(AND(B138&gt;=cfg_li_poa_low_min,B138&lt;=cfg_li_poa_low_max,C138&gt;=cfg_li_low_elev_min),1,0)</f>
        <v/>
      </c>
      <c r="F138" s="67">
        <f>IF(Raw_Data_LI!D138="","",Raw_Data_LI!D138/B138)</f>
        <v/>
      </c>
      <c r="G138" s="67">
        <f>IF(Raw_Data_LI!E138="","",Raw_Data_LI!E138/B138)</f>
        <v/>
      </c>
      <c r="H138" s="67">
        <f>IF(Raw_Data_LI!F138="","",Raw_Data_LI!F138/B138)</f>
        <v/>
      </c>
      <c r="I138" s="67">
        <f>IF(Raw_Data_LI!G138="","",Raw_Data_LI!G138/B138)</f>
        <v/>
      </c>
      <c r="J138" s="67">
        <f>IF(Raw_Data_LI!H138="","",Raw_Data_LI!H138/B138)</f>
        <v/>
      </c>
      <c r="K138" s="67">
        <f>IF(Raw_Data_LI!I138="","",Raw_Data_LI!I138/B138)</f>
        <v/>
      </c>
      <c r="L138" s="67">
        <f>IF(AND(D138=1,ISNUMBER(F138),F138&gt;0),F138,"")</f>
        <v/>
      </c>
      <c r="M138" s="67">
        <f>IF(AND(D138=1,ISNUMBER(G138),G138&gt;0),G138,"")</f>
        <v/>
      </c>
      <c r="N138" s="67">
        <f>IF(AND(D138=1,ISNUMBER(H138),H138&gt;0),H138,"")</f>
        <v/>
      </c>
      <c r="O138" s="67">
        <f>IF(AND(D138=1,ISNUMBER(I138),I138&gt;0),I138,"")</f>
        <v/>
      </c>
      <c r="P138" s="67">
        <f>IF(AND(D138=1,ISNUMBER(J138),J138&gt;0),J138,"")</f>
        <v/>
      </c>
      <c r="Q138" s="67">
        <f>IF(AND(D138=1,ISNUMBER(K138),K138&gt;0),K138,"")</f>
        <v/>
      </c>
      <c r="R138" s="68">
        <f>IF(AND(ISNUMBER(F138),L$4&gt;=cfg_li_min_mid_samples),F138/L$5,"")</f>
        <v/>
      </c>
      <c r="S138" s="68">
        <f>IF(AND(ISNUMBER(G138),M$4&gt;=cfg_li_min_mid_samples),G138/M$5,"")</f>
        <v/>
      </c>
      <c r="T138" s="68">
        <f>IF(AND(ISNUMBER(H138),N$4&gt;=cfg_li_min_mid_samples),H138/N$5,"")</f>
        <v/>
      </c>
      <c r="U138" s="68">
        <f>IF(AND(ISNUMBER(I138),O$4&gt;=cfg_li_min_mid_samples),I138/O$5,"")</f>
        <v/>
      </c>
      <c r="V138" s="68">
        <f>IF(AND(ISNUMBER(J138),P$4&gt;=cfg_li_min_mid_samples),J138/P$5,"")</f>
        <v/>
      </c>
      <c r="W138" s="68">
        <f>IF(AND(ISNUMBER(K138),Q$4&gt;=cfg_li_min_mid_samples),K138/Q$5,"")</f>
        <v/>
      </c>
      <c r="X138">
        <f>COUNT(R138:W138)</f>
        <v/>
      </c>
      <c r="Y138" s="68">
        <f>IF(X138&gt;=cfg_li_min_peers,MEDIAN(R138:W138),"")</f>
        <v/>
      </c>
      <c r="Z138" s="68">
        <f>IF(AND(ISNUMBER(R138),ISNUMBER(Y138)),R138/Y138,"")</f>
        <v/>
      </c>
      <c r="AA138" s="68">
        <f>IF(AND(ISNUMBER(S138),ISNUMBER(Y138)),S138/Y138,"")</f>
        <v/>
      </c>
      <c r="AB138" s="68">
        <f>IF(AND(ISNUMBER(T138),ISNUMBER(Y138)),T138/Y138,"")</f>
        <v/>
      </c>
      <c r="AC138" s="68">
        <f>IF(AND(ISNUMBER(U138),ISNUMBER(Y138)),U138/Y138,"")</f>
        <v/>
      </c>
      <c r="AD138" s="68">
        <f>IF(AND(ISNUMBER(V138),ISNUMBER(Y138)),V138/Y138,"")</f>
        <v/>
      </c>
      <c r="AE138" s="68">
        <f>IF(AND(ISNUMBER(W138),ISNUMBER(Y138)),W138/Y138,"")</f>
        <v/>
      </c>
      <c r="AF138" s="68">
        <f>IF(AND(E138=1,ISNUMBER(Z138)),Z138,"")</f>
        <v/>
      </c>
      <c r="AG138" s="68">
        <f>IF(AND(E138=1,ISNUMBER(AA138)),AA138,"")</f>
        <v/>
      </c>
      <c r="AH138" s="68">
        <f>IF(AND(E138=1,ISNUMBER(AB138)),AB138,"")</f>
        <v/>
      </c>
      <c r="AI138" s="68">
        <f>IF(AND(E138=1,ISNUMBER(AC138)),AC138,"")</f>
        <v/>
      </c>
      <c r="AJ138" s="68">
        <f>IF(AND(E138=1,ISNUMBER(AD138)),AD138,"")</f>
        <v/>
      </c>
      <c r="AK138" s="68">
        <f>IF(AND(E138=1,ISNUMBER(AE138)),AE138,"")</f>
        <v/>
      </c>
    </row>
    <row r="139">
      <c r="A139" s="65">
        <f>Raw_Data_LI!A139</f>
        <v/>
      </c>
      <c r="B139" s="66">
        <f>Raw_Data_LI!B139</f>
        <v/>
      </c>
      <c r="C139" s="66">
        <f>Raw_Data_LI!C139</f>
        <v/>
      </c>
      <c r="D139">
        <f>IF(AND(B139&gt;=cfg_li_poa_mid_min,B139&lt;=cfg_li_poa_mid_max),1,0)</f>
        <v/>
      </c>
      <c r="E139">
        <f>IF(AND(B139&gt;=cfg_li_poa_low_min,B139&lt;=cfg_li_poa_low_max,C139&gt;=cfg_li_low_elev_min),1,0)</f>
        <v/>
      </c>
      <c r="F139" s="67">
        <f>IF(Raw_Data_LI!D139="","",Raw_Data_LI!D139/B139)</f>
        <v/>
      </c>
      <c r="G139" s="67">
        <f>IF(Raw_Data_LI!E139="","",Raw_Data_LI!E139/B139)</f>
        <v/>
      </c>
      <c r="H139" s="67">
        <f>IF(Raw_Data_LI!F139="","",Raw_Data_LI!F139/B139)</f>
        <v/>
      </c>
      <c r="I139" s="67">
        <f>IF(Raw_Data_LI!G139="","",Raw_Data_LI!G139/B139)</f>
        <v/>
      </c>
      <c r="J139" s="67">
        <f>IF(Raw_Data_LI!H139="","",Raw_Data_LI!H139/B139)</f>
        <v/>
      </c>
      <c r="K139" s="67">
        <f>IF(Raw_Data_LI!I139="","",Raw_Data_LI!I139/B139)</f>
        <v/>
      </c>
      <c r="L139" s="67">
        <f>IF(AND(D139=1,ISNUMBER(F139),F139&gt;0),F139,"")</f>
        <v/>
      </c>
      <c r="M139" s="67">
        <f>IF(AND(D139=1,ISNUMBER(G139),G139&gt;0),G139,"")</f>
        <v/>
      </c>
      <c r="N139" s="67">
        <f>IF(AND(D139=1,ISNUMBER(H139),H139&gt;0),H139,"")</f>
        <v/>
      </c>
      <c r="O139" s="67">
        <f>IF(AND(D139=1,ISNUMBER(I139),I139&gt;0),I139,"")</f>
        <v/>
      </c>
      <c r="P139" s="67">
        <f>IF(AND(D139=1,ISNUMBER(J139),J139&gt;0),J139,"")</f>
        <v/>
      </c>
      <c r="Q139" s="67">
        <f>IF(AND(D139=1,ISNUMBER(K139),K139&gt;0),K139,"")</f>
        <v/>
      </c>
      <c r="R139" s="68">
        <f>IF(AND(ISNUMBER(F139),L$4&gt;=cfg_li_min_mid_samples),F139/L$5,"")</f>
        <v/>
      </c>
      <c r="S139" s="68">
        <f>IF(AND(ISNUMBER(G139),M$4&gt;=cfg_li_min_mid_samples),G139/M$5,"")</f>
        <v/>
      </c>
      <c r="T139" s="68">
        <f>IF(AND(ISNUMBER(H139),N$4&gt;=cfg_li_min_mid_samples),H139/N$5,"")</f>
        <v/>
      </c>
      <c r="U139" s="68">
        <f>IF(AND(ISNUMBER(I139),O$4&gt;=cfg_li_min_mid_samples),I139/O$5,"")</f>
        <v/>
      </c>
      <c r="V139" s="68">
        <f>IF(AND(ISNUMBER(J139),P$4&gt;=cfg_li_min_mid_samples),J139/P$5,"")</f>
        <v/>
      </c>
      <c r="W139" s="68">
        <f>IF(AND(ISNUMBER(K139),Q$4&gt;=cfg_li_min_mid_samples),K139/Q$5,"")</f>
        <v/>
      </c>
      <c r="X139">
        <f>COUNT(R139:W139)</f>
        <v/>
      </c>
      <c r="Y139" s="68">
        <f>IF(X139&gt;=cfg_li_min_peers,MEDIAN(R139:W139),"")</f>
        <v/>
      </c>
      <c r="Z139" s="68">
        <f>IF(AND(ISNUMBER(R139),ISNUMBER(Y139)),R139/Y139,"")</f>
        <v/>
      </c>
      <c r="AA139" s="68">
        <f>IF(AND(ISNUMBER(S139),ISNUMBER(Y139)),S139/Y139,"")</f>
        <v/>
      </c>
      <c r="AB139" s="68">
        <f>IF(AND(ISNUMBER(T139),ISNUMBER(Y139)),T139/Y139,"")</f>
        <v/>
      </c>
      <c r="AC139" s="68">
        <f>IF(AND(ISNUMBER(U139),ISNUMBER(Y139)),U139/Y139,"")</f>
        <v/>
      </c>
      <c r="AD139" s="68">
        <f>IF(AND(ISNUMBER(V139),ISNUMBER(Y139)),V139/Y139,"")</f>
        <v/>
      </c>
      <c r="AE139" s="68">
        <f>IF(AND(ISNUMBER(W139),ISNUMBER(Y139)),W139/Y139,"")</f>
        <v/>
      </c>
      <c r="AF139" s="68">
        <f>IF(AND(E139=1,ISNUMBER(Z139)),Z139,"")</f>
        <v/>
      </c>
      <c r="AG139" s="68">
        <f>IF(AND(E139=1,ISNUMBER(AA139)),AA139,"")</f>
        <v/>
      </c>
      <c r="AH139" s="68">
        <f>IF(AND(E139=1,ISNUMBER(AB139)),AB139,"")</f>
        <v/>
      </c>
      <c r="AI139" s="68">
        <f>IF(AND(E139=1,ISNUMBER(AC139)),AC139,"")</f>
        <v/>
      </c>
      <c r="AJ139" s="68">
        <f>IF(AND(E139=1,ISNUMBER(AD139)),AD139,"")</f>
        <v/>
      </c>
      <c r="AK139" s="68">
        <f>IF(AND(E139=1,ISNUMBER(AE139)),AE139,"")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11" max="11"/>
    <col width="60" customWidth="1" min="15" max="15"/>
  </cols>
  <sheetData>
    <row r="1">
      <c r="A1" s="23" t="inlineStr">
        <is>
          <t>M2a_LowIrradiance -- low_ratio relatif tetangga se-WB + robust z + klasifikasi</t>
        </is>
      </c>
    </row>
    <row r="2">
      <c r="A2" s="24" t="inlineStr">
        <is>
          <t>low_ratio = MEDIAN(lowdev); median &amp; MAD atas inverter terevaluasi; z = (low_ratio - median) / (1.4826 x MAX(MAD, 0.005)).</t>
        </is>
      </c>
    </row>
    <row r="3">
      <c r="A3" s="24" t="inlineStr">
        <is>
          <t>Flag bila low_ratio &lt; cfg_li_low_ratio_threshold DAN z &lt; -cfg_li_robust_z_min. Severity: &lt; 0,80 CRITICAL; &lt; 0,85 HIGH; lainnya MEDIUM.</t>
        </is>
      </c>
    </row>
    <row r="4">
      <c r="A4" s="10" t="inlineStr">
        <is>
          <t>inverter_id</t>
        </is>
      </c>
      <c r="B4" s="10" t="inlineStr">
        <is>
          <t>n_mid</t>
        </is>
      </c>
      <c r="C4" s="10" t="inlineStr">
        <is>
          <t>median_mid_pr</t>
        </is>
      </c>
      <c r="D4" s="10" t="inlineStr">
        <is>
          <t>n_low</t>
        </is>
      </c>
      <c r="E4" s="10" t="inlineStr">
        <is>
          <t>evaluated</t>
        </is>
      </c>
      <c r="F4" s="10" t="inlineStr">
        <is>
          <t>low_ratio</t>
        </is>
      </c>
      <c r="G4" s="10" t="inlineStr">
        <is>
          <t>wb_median_low_ratio</t>
        </is>
      </c>
      <c r="H4" s="10" t="inlineStr">
        <is>
          <t>abs_dev</t>
        </is>
      </c>
      <c r="I4" s="10" t="inlineStr">
        <is>
          <t>mad</t>
        </is>
      </c>
      <c r="J4" s="10" t="inlineStr">
        <is>
          <t>robust_z</t>
        </is>
      </c>
      <c r="K4" s="10" t="inlineStr">
        <is>
          <t>classification</t>
        </is>
      </c>
      <c r="L4" s="10" t="inlineStr">
        <is>
          <t>severity</t>
        </is>
      </c>
      <c r="M4" s="10" t="inlineStr">
        <is>
          <t>emit</t>
        </is>
      </c>
      <c r="N4" s="10" t="inlineStr">
        <is>
          <t>confidence</t>
        </is>
      </c>
      <c r="O4" s="10" t="inlineStr">
        <is>
          <t>message</t>
        </is>
      </c>
    </row>
    <row r="5">
      <c r="A5" s="5" t="inlineStr">
        <is>
          <t>WB05-INV01</t>
        </is>
      </c>
      <c r="B5" s="5">
        <f>Helpers_LI!L$4</f>
        <v/>
      </c>
      <c r="C5" s="37">
        <f>Helpers_LI!L$5</f>
        <v/>
      </c>
      <c r="D5" s="5">
        <f>COUNT(Helpers_LI!AF$7:AF$139)</f>
        <v/>
      </c>
      <c r="E5" s="5">
        <f>IF(AND(D5&gt;=cfg_li_min_low_samples,B5&gt;=cfg_li_min_mid_samples),1,0)</f>
        <v/>
      </c>
      <c r="F5" s="31">
        <f>IF(E5=1,MEDIAN(Helpers_LI!AF$7:AF$139),"")</f>
        <v/>
      </c>
      <c r="G5" s="31">
        <f>IF(E5=1,MEDIAN($F$5:$F$10),"")</f>
        <v/>
      </c>
      <c r="H5" s="31">
        <f>IF(E5=1,ABS(F5-G5),"")</f>
        <v/>
      </c>
      <c r="I5" s="31">
        <f>IF(E5=1,MEDIAN($H$5:$H$10),"")</f>
        <v/>
      </c>
      <c r="J5" s="15">
        <f>IF(E5=1,(F5-G5)/(1.4826*MAX(I5,0.005)),"")</f>
        <v/>
      </c>
      <c r="K5" s="5">
        <f>IF(E5=0,"insufficient_data",IF(AND(F5&lt;cfg_li_low_ratio_threshold,J5&lt;-cfg_li_robust_z_min),"low_irradiance_underperform","normal"))</f>
        <v/>
      </c>
      <c r="L5" s="5">
        <f>IF(K5="low_irradiance_underperform",IF(F5&lt;0.8,"CRITICAL",IF(F5&lt;0.85,"HIGH","MEDIUM")),"NORMAL")</f>
        <v/>
      </c>
      <c r="M5" s="5">
        <f>IF(K5="low_irradiance_underperform",1,0)</f>
        <v/>
      </c>
      <c r="N5" s="18">
        <f>IF(M5=1,MIN(95,50+5*ABS(J5)),"")</f>
        <v/>
      </c>
      <c r="O5" s="5">
        <f>IF(M5=1,"Low-light relatif tetangga: low_ratio="&amp;TEXT(F5,"0.000")&amp;" &lt; "&amp;cfg_li_low_ratio_threshold&amp;" (median "&amp;LEFT(A5,4)&amp;" "&amp;TEXT(G5,"0.000")&amp;", z="&amp;TEXT(J5,"0.0")&amp;", n="&amp;D5&amp;")","")</f>
        <v/>
      </c>
    </row>
    <row r="6">
      <c r="A6" s="5" t="inlineStr">
        <is>
          <t>WB05-INV02</t>
        </is>
      </c>
      <c r="B6" s="5">
        <f>Helpers_LI!M$4</f>
        <v/>
      </c>
      <c r="C6" s="37">
        <f>Helpers_LI!M$5</f>
        <v/>
      </c>
      <c r="D6" s="5">
        <f>COUNT(Helpers_LI!AG$7:AG$139)</f>
        <v/>
      </c>
      <c r="E6" s="5">
        <f>IF(AND(D6&gt;=cfg_li_min_low_samples,B6&gt;=cfg_li_min_mid_samples),1,0)</f>
        <v/>
      </c>
      <c r="F6" s="31">
        <f>IF(E6=1,MEDIAN(Helpers_LI!AG$7:AG$139),"")</f>
        <v/>
      </c>
      <c r="G6" s="31">
        <f>IF(E6=1,MEDIAN($F$5:$F$10),"")</f>
        <v/>
      </c>
      <c r="H6" s="31">
        <f>IF(E6=1,ABS(F6-G6),"")</f>
        <v/>
      </c>
      <c r="I6" s="31">
        <f>IF(E6=1,MEDIAN($H$5:$H$10),"")</f>
        <v/>
      </c>
      <c r="J6" s="15">
        <f>IF(E6=1,(F6-G6)/(1.4826*MAX(I6,0.005)),"")</f>
        <v/>
      </c>
      <c r="K6" s="5">
        <f>IF(E6=0,"insufficient_data",IF(AND(F6&lt;cfg_li_low_ratio_threshold,J6&lt;-cfg_li_robust_z_min),"low_irradiance_underperform","normal"))</f>
        <v/>
      </c>
      <c r="L6" s="5">
        <f>IF(K6="low_irradiance_underperform",IF(F6&lt;0.8,"CRITICAL",IF(F6&lt;0.85,"HIGH","MEDIUM")),"NORMAL")</f>
        <v/>
      </c>
      <c r="M6" s="5">
        <f>IF(K6="low_irradiance_underperform",1,0)</f>
        <v/>
      </c>
      <c r="N6" s="18">
        <f>IF(M6=1,MIN(95,50+5*ABS(J6)),"")</f>
        <v/>
      </c>
      <c r="O6" s="5">
        <f>IF(M6=1,"Low-light relatif tetangga: low_ratio="&amp;TEXT(F6,"0.000")&amp;" &lt; "&amp;cfg_li_low_ratio_threshold&amp;" (median "&amp;LEFT(A6,4)&amp;" "&amp;TEXT(G6,"0.000")&amp;", z="&amp;TEXT(J6,"0.0")&amp;", n="&amp;D6&amp;")","")</f>
        <v/>
      </c>
    </row>
    <row r="7">
      <c r="A7" s="5" t="inlineStr">
        <is>
          <t>WB05-INV03</t>
        </is>
      </c>
      <c r="B7" s="5">
        <f>Helpers_LI!N$4</f>
        <v/>
      </c>
      <c r="C7" s="37">
        <f>Helpers_LI!N$5</f>
        <v/>
      </c>
      <c r="D7" s="5">
        <f>COUNT(Helpers_LI!AH$7:AH$139)</f>
        <v/>
      </c>
      <c r="E7" s="5">
        <f>IF(AND(D7&gt;=cfg_li_min_low_samples,B7&gt;=cfg_li_min_mid_samples),1,0)</f>
        <v/>
      </c>
      <c r="F7" s="31">
        <f>IF(E7=1,MEDIAN(Helpers_LI!AH$7:AH$139),"")</f>
        <v/>
      </c>
      <c r="G7" s="31">
        <f>IF(E7=1,MEDIAN($F$5:$F$10),"")</f>
        <v/>
      </c>
      <c r="H7" s="31">
        <f>IF(E7=1,ABS(F7-G7),"")</f>
        <v/>
      </c>
      <c r="I7" s="31">
        <f>IF(E7=1,MEDIAN($H$5:$H$10),"")</f>
        <v/>
      </c>
      <c r="J7" s="15">
        <f>IF(E7=1,(F7-G7)/(1.4826*MAX(I7,0.005)),"")</f>
        <v/>
      </c>
      <c r="K7" s="5">
        <f>IF(E7=0,"insufficient_data",IF(AND(F7&lt;cfg_li_low_ratio_threshold,J7&lt;-cfg_li_robust_z_min),"low_irradiance_underperform","normal"))</f>
        <v/>
      </c>
      <c r="L7" s="5">
        <f>IF(K7="low_irradiance_underperform",IF(F7&lt;0.8,"CRITICAL",IF(F7&lt;0.85,"HIGH","MEDIUM")),"NORMAL")</f>
        <v/>
      </c>
      <c r="M7" s="5">
        <f>IF(K7="low_irradiance_underperform",1,0)</f>
        <v/>
      </c>
      <c r="N7" s="18">
        <f>IF(M7=1,MIN(95,50+5*ABS(J7)),"")</f>
        <v/>
      </c>
      <c r="O7" s="5">
        <f>IF(M7=1,"Low-light relatif tetangga: low_ratio="&amp;TEXT(F7,"0.000")&amp;" &lt; "&amp;cfg_li_low_ratio_threshold&amp;" (median "&amp;LEFT(A7,4)&amp;" "&amp;TEXT(G7,"0.000")&amp;", z="&amp;TEXT(J7,"0.0")&amp;", n="&amp;D7&amp;")","")</f>
        <v/>
      </c>
    </row>
    <row r="8">
      <c r="A8" s="5" t="inlineStr">
        <is>
          <t>WB05-INV04</t>
        </is>
      </c>
      <c r="B8" s="5">
        <f>Helpers_LI!O$4</f>
        <v/>
      </c>
      <c r="C8" s="37">
        <f>Helpers_LI!O$5</f>
        <v/>
      </c>
      <c r="D8" s="5">
        <f>COUNT(Helpers_LI!AI$7:AI$139)</f>
        <v/>
      </c>
      <c r="E8" s="5">
        <f>IF(AND(D8&gt;=cfg_li_min_low_samples,B8&gt;=cfg_li_min_mid_samples),1,0)</f>
        <v/>
      </c>
      <c r="F8" s="31">
        <f>IF(E8=1,MEDIAN(Helpers_LI!AI$7:AI$139),"")</f>
        <v/>
      </c>
      <c r="G8" s="31">
        <f>IF(E8=1,MEDIAN($F$5:$F$10),"")</f>
        <v/>
      </c>
      <c r="H8" s="31">
        <f>IF(E8=1,ABS(F8-G8),"")</f>
        <v/>
      </c>
      <c r="I8" s="31">
        <f>IF(E8=1,MEDIAN($H$5:$H$10),"")</f>
        <v/>
      </c>
      <c r="J8" s="15">
        <f>IF(E8=1,(F8-G8)/(1.4826*MAX(I8,0.005)),"")</f>
        <v/>
      </c>
      <c r="K8" s="5">
        <f>IF(E8=0,"insufficient_data",IF(AND(F8&lt;cfg_li_low_ratio_threshold,J8&lt;-cfg_li_robust_z_min),"low_irradiance_underperform","normal"))</f>
        <v/>
      </c>
      <c r="L8" s="5">
        <f>IF(K8="low_irradiance_underperform",IF(F8&lt;0.8,"CRITICAL",IF(F8&lt;0.85,"HIGH","MEDIUM")),"NORMAL")</f>
        <v/>
      </c>
      <c r="M8" s="5">
        <f>IF(K8="low_irradiance_underperform",1,0)</f>
        <v/>
      </c>
      <c r="N8" s="18">
        <f>IF(M8=1,MIN(95,50+5*ABS(J8)),"")</f>
        <v/>
      </c>
      <c r="O8" s="5">
        <f>IF(M8=1,"Low-light relatif tetangga: low_ratio="&amp;TEXT(F8,"0.000")&amp;" &lt; "&amp;cfg_li_low_ratio_threshold&amp;" (median "&amp;LEFT(A8,4)&amp;" "&amp;TEXT(G8,"0.000")&amp;", z="&amp;TEXT(J8,"0.0")&amp;", n="&amp;D8&amp;")","")</f>
        <v/>
      </c>
    </row>
    <row r="9">
      <c r="A9" s="5" t="inlineStr">
        <is>
          <t>WB05-INV05</t>
        </is>
      </c>
      <c r="B9" s="5">
        <f>Helpers_LI!P$4</f>
        <v/>
      </c>
      <c r="C9" s="37">
        <f>Helpers_LI!P$5</f>
        <v/>
      </c>
      <c r="D9" s="5">
        <f>COUNT(Helpers_LI!AJ$7:AJ$139)</f>
        <v/>
      </c>
      <c r="E9" s="5">
        <f>IF(AND(D9&gt;=cfg_li_min_low_samples,B9&gt;=cfg_li_min_mid_samples),1,0)</f>
        <v/>
      </c>
      <c r="F9" s="31">
        <f>IF(E9=1,MEDIAN(Helpers_LI!AJ$7:AJ$139),"")</f>
        <v/>
      </c>
      <c r="G9" s="31">
        <f>IF(E9=1,MEDIAN($F$5:$F$10),"")</f>
        <v/>
      </c>
      <c r="H9" s="31">
        <f>IF(E9=1,ABS(F9-G9),"")</f>
        <v/>
      </c>
      <c r="I9" s="31">
        <f>IF(E9=1,MEDIAN($H$5:$H$10),"")</f>
        <v/>
      </c>
      <c r="J9" s="15">
        <f>IF(E9=1,(F9-G9)/(1.4826*MAX(I9,0.005)),"")</f>
        <v/>
      </c>
      <c r="K9" s="5">
        <f>IF(E9=0,"insufficient_data",IF(AND(F9&lt;cfg_li_low_ratio_threshold,J9&lt;-cfg_li_robust_z_min),"low_irradiance_underperform","normal"))</f>
        <v/>
      </c>
      <c r="L9" s="5">
        <f>IF(K9="low_irradiance_underperform",IF(F9&lt;0.8,"CRITICAL",IF(F9&lt;0.85,"HIGH","MEDIUM")),"NORMAL")</f>
        <v/>
      </c>
      <c r="M9" s="5">
        <f>IF(K9="low_irradiance_underperform",1,0)</f>
        <v/>
      </c>
      <c r="N9" s="18">
        <f>IF(M9=1,MIN(95,50+5*ABS(J9)),"")</f>
        <v/>
      </c>
      <c r="O9" s="5">
        <f>IF(M9=1,"Low-light relatif tetangga: low_ratio="&amp;TEXT(F9,"0.000")&amp;" &lt; "&amp;cfg_li_low_ratio_threshold&amp;" (median "&amp;LEFT(A9,4)&amp;" "&amp;TEXT(G9,"0.000")&amp;", z="&amp;TEXT(J9,"0.0")&amp;", n="&amp;D9&amp;")","")</f>
        <v/>
      </c>
    </row>
    <row r="10">
      <c r="A10" s="5" t="inlineStr">
        <is>
          <t>WB05-INV06</t>
        </is>
      </c>
      <c r="B10" s="5">
        <f>Helpers_LI!Q$4</f>
        <v/>
      </c>
      <c r="C10" s="37">
        <f>Helpers_LI!Q$5</f>
        <v/>
      </c>
      <c r="D10" s="5">
        <f>COUNT(Helpers_LI!AK$7:AK$139)</f>
        <v/>
      </c>
      <c r="E10" s="5">
        <f>IF(AND(D10&gt;=cfg_li_min_low_samples,B10&gt;=cfg_li_min_mid_samples),1,0)</f>
        <v/>
      </c>
      <c r="F10" s="31">
        <f>IF(E10=1,MEDIAN(Helpers_LI!AK$7:AK$139),"")</f>
        <v/>
      </c>
      <c r="G10" s="31">
        <f>IF(E10=1,MEDIAN($F$5:$F$10),"")</f>
        <v/>
      </c>
      <c r="H10" s="31">
        <f>IF(E10=1,ABS(F10-G10),"")</f>
        <v/>
      </c>
      <c r="I10" s="31">
        <f>IF(E10=1,MEDIAN($H$5:$H$10),"")</f>
        <v/>
      </c>
      <c r="J10" s="15">
        <f>IF(E10=1,(F10-G10)/(1.4826*MAX(I10,0.005)),"")</f>
        <v/>
      </c>
      <c r="K10" s="5">
        <f>IF(E10=0,"insufficient_data",IF(AND(F10&lt;cfg_li_low_ratio_threshold,J10&lt;-cfg_li_robust_z_min),"low_irradiance_underperform","normal"))</f>
        <v/>
      </c>
      <c r="L10" s="5">
        <f>IF(K10="low_irradiance_underperform",IF(F10&lt;0.8,"CRITICAL",IF(F10&lt;0.85,"HIGH","MEDIUM")),"NORMAL")</f>
        <v/>
      </c>
      <c r="M10" s="5">
        <f>IF(K10="low_irradiance_underperform",1,0)</f>
        <v/>
      </c>
      <c r="N10" s="18">
        <f>IF(M10=1,MIN(95,50+5*ABS(J10)),"")</f>
        <v/>
      </c>
      <c r="O10" s="5">
        <f>IF(M10=1,"Low-light relatif tetangga: low_ratio="&amp;TEXT(F10,"0.000")&amp;" &lt; "&amp;cfg_li_low_ratio_threshold&amp;" (median "&amp;LEFT(A10,4)&amp;" "&amp;TEXT(G10,"0.000")&amp;", z="&amp;TEXT(J10,"0.0")&amp;", n="&amp;D10&amp;")","")</f>
        <v/>
      </c>
    </row>
  </sheetData>
  <conditionalFormatting sqref="L5:L10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7">
      <formula>"MEDIUM"</formula>
    </cfRule>
  </conditionalFormatting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23" t="inlineStr">
        <is>
          <t>LI_Summary -- hitung per klasifikasi (mirror LowIrradianceSummary)</t>
        </is>
      </c>
    </row>
    <row r="2">
      <c r="A2" s="24" t="inlineStr">
        <is>
          <t>general_underperform tidak lagi dihasilkan sejak 2026-09-28; baris dipertahankan (selalu 0) supaya dasbor lama tidak rusak.</t>
        </is>
      </c>
    </row>
    <row r="4">
      <c r="A4" s="10" t="inlineStr">
        <is>
          <t>classification</t>
        </is>
      </c>
      <c r="B4" s="10" t="inlineStr">
        <is>
          <t>count</t>
        </is>
      </c>
    </row>
    <row r="5">
      <c r="A5" s="5" t="inlineStr">
        <is>
          <t>low_irradiance_underperform</t>
        </is>
      </c>
      <c r="B5" s="5">
        <f>COUNTIF(M2a_LowIrradiance!$K$5:$K$10,"low_irradiance_underperform")</f>
        <v/>
      </c>
    </row>
    <row r="6">
      <c r="A6" s="5" t="inlineStr">
        <is>
          <t>general_underperform</t>
        </is>
      </c>
      <c r="B6" s="5">
        <f>COUNTIF(M2a_LowIrradiance!$K$5:$K$10,"general_underperform")</f>
        <v/>
      </c>
    </row>
    <row r="7">
      <c r="A7" s="5" t="inlineStr">
        <is>
          <t>normal</t>
        </is>
      </c>
      <c r="B7" s="5">
        <f>COUNTIF(M2a_LowIrradiance!$K$5:$K$10,"normal")</f>
        <v/>
      </c>
    </row>
    <row r="8">
      <c r="A8" s="5" t="inlineStr">
        <is>
          <t>insufficient_data</t>
        </is>
      </c>
      <c r="B8" s="5">
        <f>COUNTIF(M2a_LowIrradiance!$K$5:$K$10,"insufficient_data")</f>
        <v/>
      </c>
    </row>
    <row r="10">
      <c r="A10" s="5" t="inlineStr">
        <is>
          <t>n_emit</t>
        </is>
      </c>
      <c r="B10" s="5">
        <f>SUM(M2a_LowIrradiance!M5:M10)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3" max="3"/>
  </cols>
  <sheetData>
    <row r="1">
      <c r="A1" s="23" t="inlineStr">
        <is>
          <t>Raw_Data_SH — daya per-PV (kW) + POA per timestamp (WB05-INV01)</t>
        </is>
      </c>
    </row>
    <row r="2">
      <c r="A2" s="24" t="inlineStr">
        <is>
          <t>1 inverter, 6 PV, 8 jam (08:00–15:00) × 6 timestamp/jam = 48 baris. Jam 8/9/10 di-shade (di-highlight): daya turun seragam → CV rendah + PR rendah.</t>
        </is>
      </c>
    </row>
    <row r="3">
      <c r="A3" s="24" t="inlineStr">
        <is>
          <t>Daya per-PV = Σ source PV{n} Power(kW) (atau V·I/1000). Ganti dengan data Huawei aktual (paste over).</t>
        </is>
      </c>
    </row>
    <row r="4">
      <c r="A4" s="10" t="inlineStr">
        <is>
          <t>inverter_id</t>
        </is>
      </c>
      <c r="B4" s="10" t="inlineStr">
        <is>
          <t>hour</t>
        </is>
      </c>
      <c r="C4" s="10" t="inlineStr">
        <is>
          <t>Start Time</t>
        </is>
      </c>
      <c r="D4" s="10" t="inlineStr">
        <is>
          <t>POA (W/m²)</t>
        </is>
      </c>
      <c r="E4" s="10" t="inlineStr">
        <is>
          <t>PV1 Power(kW)</t>
        </is>
      </c>
      <c r="F4" s="10" t="inlineStr">
        <is>
          <t>PV2 Power(kW)</t>
        </is>
      </c>
      <c r="G4" s="10" t="inlineStr">
        <is>
          <t>PV3 Power(kW)</t>
        </is>
      </c>
      <c r="H4" s="10" t="inlineStr">
        <is>
          <t>PV4 Power(kW)</t>
        </is>
      </c>
      <c r="I4" s="10" t="inlineStr">
        <is>
          <t>PV5 Power(kW)</t>
        </is>
      </c>
      <c r="J4" s="10" t="inlineStr">
        <is>
          <t>PV6 Power(kW)</t>
        </is>
      </c>
    </row>
    <row r="5">
      <c r="A5" s="5" t="inlineStr">
        <is>
          <t>WB05-INV01</t>
        </is>
      </c>
      <c r="B5" s="5" t="n">
        <v>8</v>
      </c>
      <c r="C5" s="40" t="n">
        <v>46156.33333333334</v>
      </c>
      <c r="D5" s="18" t="n">
        <v>339.5</v>
      </c>
      <c r="E5" s="43" t="n">
        <v>0.5658333333333333</v>
      </c>
      <c r="F5" s="43" t="n">
        <v>0.5771499999999999</v>
      </c>
      <c r="G5" s="43" t="n">
        <v>0.5545166666666667</v>
      </c>
      <c r="H5" s="43" t="n">
        <v>0.5714916666666666</v>
      </c>
      <c r="I5" s="43" t="n">
        <v>0.560175</v>
      </c>
      <c r="J5" s="43" t="n">
        <v>0.5658333333333333</v>
      </c>
    </row>
    <row r="6">
      <c r="A6" s="5" t="inlineStr">
        <is>
          <t>WB05-INV01</t>
        </is>
      </c>
      <c r="B6" s="5" t="n">
        <v>8</v>
      </c>
      <c r="C6" s="40" t="n">
        <v>46156.34027777778</v>
      </c>
      <c r="D6" s="18" t="n">
        <v>346.5</v>
      </c>
      <c r="E6" s="43" t="n">
        <v>0.5775</v>
      </c>
      <c r="F6" s="43" t="n">
        <v>0.58905</v>
      </c>
      <c r="G6" s="43" t="n">
        <v>0.56595</v>
      </c>
      <c r="H6" s="43" t="n">
        <v>0.583275</v>
      </c>
      <c r="I6" s="43" t="n">
        <v>0.5717249999999999</v>
      </c>
      <c r="J6" s="43" t="n">
        <v>0.5775</v>
      </c>
    </row>
    <row r="7">
      <c r="A7" s="5" t="inlineStr">
        <is>
          <t>WB05-INV01</t>
        </is>
      </c>
      <c r="B7" s="5" t="n">
        <v>8</v>
      </c>
      <c r="C7" s="40" t="n">
        <v>46156.34722222222</v>
      </c>
      <c r="D7" s="18" t="n">
        <v>350</v>
      </c>
      <c r="E7" s="43" t="n">
        <v>0.5833333333333334</v>
      </c>
      <c r="F7" s="43" t="n">
        <v>0.5950000000000001</v>
      </c>
      <c r="G7" s="43" t="n">
        <v>0.5716666666666667</v>
      </c>
      <c r="H7" s="43" t="n">
        <v>0.5891666666666667</v>
      </c>
      <c r="I7" s="43" t="n">
        <v>0.5775</v>
      </c>
      <c r="J7" s="43" t="n">
        <v>0.5833333333333334</v>
      </c>
    </row>
    <row r="8">
      <c r="A8" s="5" t="inlineStr">
        <is>
          <t>WB05-INV01</t>
        </is>
      </c>
      <c r="B8" s="5" t="n">
        <v>8</v>
      </c>
      <c r="C8" s="40" t="n">
        <v>46156.35416666666</v>
      </c>
      <c r="D8" s="18" t="n">
        <v>353.5</v>
      </c>
      <c r="E8" s="43" t="n">
        <v>0.5891666666666667</v>
      </c>
      <c r="F8" s="43" t="n">
        <v>0.60095</v>
      </c>
      <c r="G8" s="43" t="n">
        <v>0.5773833333333334</v>
      </c>
      <c r="H8" s="43" t="n">
        <v>0.5950583333333334</v>
      </c>
      <c r="I8" s="43" t="n">
        <v>0.583275</v>
      </c>
      <c r="J8" s="43" t="n">
        <v>0.5891666666666667</v>
      </c>
    </row>
    <row r="9">
      <c r="A9" s="5" t="inlineStr">
        <is>
          <t>WB05-INV01</t>
        </is>
      </c>
      <c r="B9" s="5" t="n">
        <v>8</v>
      </c>
      <c r="C9" s="40" t="n">
        <v>46156.36111111111</v>
      </c>
      <c r="D9" s="18" t="n">
        <v>350</v>
      </c>
      <c r="E9" s="43" t="n">
        <v>0.5833333333333334</v>
      </c>
      <c r="F9" s="43" t="n">
        <v>0.5950000000000001</v>
      </c>
      <c r="G9" s="43" t="n">
        <v>0.5716666666666667</v>
      </c>
      <c r="H9" s="43" t="n">
        <v>0.5891666666666667</v>
      </c>
      <c r="I9" s="43" t="n">
        <v>0.5775</v>
      </c>
      <c r="J9" s="43" t="n">
        <v>0.5833333333333334</v>
      </c>
    </row>
    <row r="10">
      <c r="A10" s="5" t="inlineStr">
        <is>
          <t>WB05-INV01</t>
        </is>
      </c>
      <c r="B10" s="5" t="n">
        <v>8</v>
      </c>
      <c r="C10" s="40" t="n">
        <v>46156.36805555555</v>
      </c>
      <c r="D10" s="18" t="n">
        <v>360.5</v>
      </c>
      <c r="E10" s="43" t="n">
        <v>0.6008333333333333</v>
      </c>
      <c r="F10" s="43" t="n">
        <v>0.61285</v>
      </c>
      <c r="G10" s="43" t="n">
        <v>0.5888166666666667</v>
      </c>
      <c r="H10" s="43" t="n">
        <v>0.6068416666666666</v>
      </c>
      <c r="I10" s="43" t="n">
        <v>0.594825</v>
      </c>
      <c r="J10" s="43" t="n">
        <v>0.6008333333333333</v>
      </c>
    </row>
    <row r="11">
      <c r="A11" s="5" t="inlineStr">
        <is>
          <t>WB05-INV01</t>
        </is>
      </c>
      <c r="B11" s="5" t="n">
        <v>9</v>
      </c>
      <c r="C11" s="40" t="n">
        <v>46156.375</v>
      </c>
      <c r="D11" s="18" t="n">
        <v>533.5</v>
      </c>
      <c r="E11" s="43" t="n">
        <v>0.8891666666666667</v>
      </c>
      <c r="F11" s="43" t="n">
        <v>0.90695</v>
      </c>
      <c r="G11" s="43" t="n">
        <v>0.8713833333333333</v>
      </c>
      <c r="H11" s="43" t="n">
        <v>0.8980583333333333</v>
      </c>
      <c r="I11" s="43" t="n">
        <v>0.880275</v>
      </c>
      <c r="J11" s="43" t="n">
        <v>0.8891666666666667</v>
      </c>
    </row>
    <row r="12">
      <c r="A12" s="5" t="inlineStr">
        <is>
          <t>WB05-INV01</t>
        </is>
      </c>
      <c r="B12" s="5" t="n">
        <v>9</v>
      </c>
      <c r="C12" s="40" t="n">
        <v>46156.38194444445</v>
      </c>
      <c r="D12" s="18" t="n">
        <v>544.5</v>
      </c>
      <c r="E12" s="43" t="n">
        <v>0.9075000000000001</v>
      </c>
      <c r="F12" s="43" t="n">
        <v>0.9256500000000001</v>
      </c>
      <c r="G12" s="43" t="n">
        <v>0.88935</v>
      </c>
      <c r="H12" s="43" t="n">
        <v>0.916575</v>
      </c>
      <c r="I12" s="43" t="n">
        <v>0.898425</v>
      </c>
      <c r="J12" s="43" t="n">
        <v>0.9075000000000001</v>
      </c>
    </row>
    <row r="13">
      <c r="A13" s="5" t="inlineStr">
        <is>
          <t>WB05-INV01</t>
        </is>
      </c>
      <c r="B13" s="5" t="n">
        <v>9</v>
      </c>
      <c r="C13" s="40" t="n">
        <v>46156.38888888889</v>
      </c>
      <c r="D13" s="18" t="n">
        <v>550</v>
      </c>
      <c r="E13" s="43" t="n">
        <v>0.9166666666666666</v>
      </c>
      <c r="F13" s="43" t="n">
        <v>0.9350000000000001</v>
      </c>
      <c r="G13" s="43" t="n">
        <v>0.8983333333333333</v>
      </c>
      <c r="H13" s="43" t="n">
        <v>0.9258333333333333</v>
      </c>
      <c r="I13" s="43" t="n">
        <v>0.9075000000000001</v>
      </c>
      <c r="J13" s="43" t="n">
        <v>0.9166666666666666</v>
      </c>
    </row>
    <row r="14">
      <c r="A14" s="5" t="inlineStr">
        <is>
          <t>WB05-INV01</t>
        </is>
      </c>
      <c r="B14" s="5" t="n">
        <v>9</v>
      </c>
      <c r="C14" s="40" t="n">
        <v>46156.39583333334</v>
      </c>
      <c r="D14" s="18" t="n">
        <v>555.5</v>
      </c>
      <c r="E14" s="43" t="n">
        <v>0.9258333333333333</v>
      </c>
      <c r="F14" s="43" t="n">
        <v>0.94435</v>
      </c>
      <c r="G14" s="43" t="n">
        <v>0.9073166666666665</v>
      </c>
      <c r="H14" s="43" t="n">
        <v>0.9350916666666667</v>
      </c>
      <c r="I14" s="43" t="n">
        <v>0.9165749999999999</v>
      </c>
      <c r="J14" s="43" t="n">
        <v>0.9258333333333333</v>
      </c>
    </row>
    <row r="15">
      <c r="A15" s="5" t="inlineStr">
        <is>
          <t>WB05-INV01</t>
        </is>
      </c>
      <c r="B15" s="5" t="n">
        <v>9</v>
      </c>
      <c r="C15" s="40" t="n">
        <v>46156.40277777778</v>
      </c>
      <c r="D15" s="18" t="n">
        <v>550</v>
      </c>
      <c r="E15" s="43" t="n">
        <v>0.9166666666666666</v>
      </c>
      <c r="F15" s="43" t="n">
        <v>0.9350000000000001</v>
      </c>
      <c r="G15" s="43" t="n">
        <v>0.8983333333333333</v>
      </c>
      <c r="H15" s="43" t="n">
        <v>0.9258333333333333</v>
      </c>
      <c r="I15" s="43" t="n">
        <v>0.9075000000000001</v>
      </c>
      <c r="J15" s="43" t="n">
        <v>0.9166666666666666</v>
      </c>
    </row>
    <row r="16">
      <c r="A16" s="5" t="inlineStr">
        <is>
          <t>WB05-INV01</t>
        </is>
      </c>
      <c r="B16" s="5" t="n">
        <v>9</v>
      </c>
      <c r="C16" s="40" t="n">
        <v>46156.40972222222</v>
      </c>
      <c r="D16" s="18" t="n">
        <v>566.5</v>
      </c>
      <c r="E16" s="43" t="n">
        <v>0.9441666666666667</v>
      </c>
      <c r="F16" s="43" t="n">
        <v>0.96305</v>
      </c>
      <c r="G16" s="43" t="n">
        <v>0.9252833333333333</v>
      </c>
      <c r="H16" s="43" t="n">
        <v>0.9536083333333334</v>
      </c>
      <c r="I16" s="43" t="n">
        <v>0.9347249999999999</v>
      </c>
      <c r="J16" s="43" t="n">
        <v>0.9441666666666667</v>
      </c>
    </row>
    <row r="17">
      <c r="A17" s="5" t="inlineStr">
        <is>
          <t>WB05-INV01</t>
        </is>
      </c>
      <c r="B17" s="5" t="n">
        <v>10</v>
      </c>
      <c r="C17" s="40" t="n">
        <v>46156.41666666666</v>
      </c>
      <c r="D17" s="18" t="n">
        <v>698.4</v>
      </c>
      <c r="E17" s="43" t="n">
        <v>1.164</v>
      </c>
      <c r="F17" s="43" t="n">
        <v>1.18728</v>
      </c>
      <c r="G17" s="43" t="n">
        <v>1.14072</v>
      </c>
      <c r="H17" s="43" t="n">
        <v>1.17564</v>
      </c>
      <c r="I17" s="43" t="n">
        <v>1.15236</v>
      </c>
      <c r="J17" s="43" t="n">
        <v>1.164</v>
      </c>
    </row>
    <row r="18">
      <c r="A18" s="5" t="inlineStr">
        <is>
          <t>WB05-INV01</t>
        </is>
      </c>
      <c r="B18" s="5" t="n">
        <v>10</v>
      </c>
      <c r="C18" s="40" t="n">
        <v>46156.42361111111</v>
      </c>
      <c r="D18" s="18" t="n">
        <v>712.8</v>
      </c>
      <c r="E18" s="43" t="n">
        <v>1.188</v>
      </c>
      <c r="F18" s="43" t="n">
        <v>1.21176</v>
      </c>
      <c r="G18" s="43" t="n">
        <v>1.16424</v>
      </c>
      <c r="H18" s="43" t="n">
        <v>1.19988</v>
      </c>
      <c r="I18" s="43" t="n">
        <v>1.17612</v>
      </c>
      <c r="J18" s="43" t="n">
        <v>1.188</v>
      </c>
    </row>
    <row r="19">
      <c r="A19" s="5" t="inlineStr">
        <is>
          <t>WB05-INV01</t>
        </is>
      </c>
      <c r="B19" s="5" t="n">
        <v>10</v>
      </c>
      <c r="C19" s="40" t="n">
        <v>46156.43055555555</v>
      </c>
      <c r="D19" s="18" t="n">
        <v>720</v>
      </c>
      <c r="E19" s="43" t="n">
        <v>1.2</v>
      </c>
      <c r="F19" s="43" t="n">
        <v>1.224</v>
      </c>
      <c r="G19" s="43" t="n">
        <v>1.176</v>
      </c>
      <c r="H19" s="43" t="n">
        <v>1.212</v>
      </c>
      <c r="I19" s="43" t="n">
        <v>1.188</v>
      </c>
      <c r="J19" s="43" t="n">
        <v>1.2</v>
      </c>
    </row>
    <row r="20">
      <c r="A20" s="5" t="inlineStr">
        <is>
          <t>WB05-INV01</t>
        </is>
      </c>
      <c r="B20" s="5" t="n">
        <v>10</v>
      </c>
      <c r="C20" s="40" t="n">
        <v>46156.4375</v>
      </c>
      <c r="D20" s="18" t="n">
        <v>727.2</v>
      </c>
      <c r="E20" s="43" t="n">
        <v>1.212</v>
      </c>
      <c r="F20" s="43" t="n">
        <v>1.23624</v>
      </c>
      <c r="G20" s="43" t="n">
        <v>1.18776</v>
      </c>
      <c r="H20" s="43" t="n">
        <v>1.22412</v>
      </c>
      <c r="I20" s="43" t="n">
        <v>1.19988</v>
      </c>
      <c r="J20" s="43" t="n">
        <v>1.212</v>
      </c>
    </row>
    <row r="21">
      <c r="A21" s="5" t="inlineStr">
        <is>
          <t>WB05-INV01</t>
        </is>
      </c>
      <c r="B21" s="5" t="n">
        <v>10</v>
      </c>
      <c r="C21" s="40" t="n">
        <v>46156.44444444445</v>
      </c>
      <c r="D21" s="18" t="n">
        <v>720</v>
      </c>
      <c r="E21" s="43" t="n">
        <v>1.2</v>
      </c>
      <c r="F21" s="43" t="n">
        <v>1.224</v>
      </c>
      <c r="G21" s="43" t="n">
        <v>1.176</v>
      </c>
      <c r="H21" s="43" t="n">
        <v>1.212</v>
      </c>
      <c r="I21" s="43" t="n">
        <v>1.188</v>
      </c>
      <c r="J21" s="43" t="n">
        <v>1.2</v>
      </c>
    </row>
    <row r="22">
      <c r="A22" s="5" t="inlineStr">
        <is>
          <t>WB05-INV01</t>
        </is>
      </c>
      <c r="B22" s="5" t="n">
        <v>10</v>
      </c>
      <c r="C22" s="40" t="n">
        <v>46156.45138888889</v>
      </c>
      <c r="D22" s="18" t="n">
        <v>741.6</v>
      </c>
      <c r="E22" s="43" t="n">
        <v>1.236</v>
      </c>
      <c r="F22" s="43" t="n">
        <v>1.26072</v>
      </c>
      <c r="G22" s="43" t="n">
        <v>1.21128</v>
      </c>
      <c r="H22" s="43" t="n">
        <v>1.24836</v>
      </c>
      <c r="I22" s="43" t="n">
        <v>1.22364</v>
      </c>
      <c r="J22" s="43" t="n">
        <v>1.236</v>
      </c>
    </row>
    <row r="23">
      <c r="A23" s="5" t="inlineStr">
        <is>
          <t>WB05-INV01</t>
        </is>
      </c>
      <c r="B23" s="5" t="n">
        <v>11</v>
      </c>
      <c r="C23" s="40" t="n">
        <v>46156.45833333334</v>
      </c>
      <c r="D23" s="18" t="n">
        <v>824.5</v>
      </c>
      <c r="E23" s="31" t="n">
        <v>2.748333333333333</v>
      </c>
      <c r="F23" s="31" t="n">
        <v>3.023166666666667</v>
      </c>
      <c r="G23" s="31" t="n">
        <v>2.4735</v>
      </c>
      <c r="H23" s="31" t="n">
        <v>2.88575</v>
      </c>
      <c r="I23" s="31" t="n">
        <v>2.610916666666666</v>
      </c>
      <c r="J23" s="31" t="n">
        <v>2.748333333333333</v>
      </c>
    </row>
    <row r="24">
      <c r="A24" s="5" t="inlineStr">
        <is>
          <t>WB05-INV01</t>
        </is>
      </c>
      <c r="B24" s="5" t="n">
        <v>11</v>
      </c>
      <c r="C24" s="40" t="n">
        <v>46156.46527777778</v>
      </c>
      <c r="D24" s="18" t="n">
        <v>841.5</v>
      </c>
      <c r="E24" s="31" t="n">
        <v>2.805</v>
      </c>
      <c r="F24" s="31" t="n">
        <v>3.0855</v>
      </c>
      <c r="G24" s="31" t="n">
        <v>2.5245</v>
      </c>
      <c r="H24" s="31" t="n">
        <v>2.94525</v>
      </c>
      <c r="I24" s="31" t="n">
        <v>2.66475</v>
      </c>
      <c r="J24" s="31" t="n">
        <v>2.805</v>
      </c>
    </row>
    <row r="25">
      <c r="A25" s="5" t="inlineStr">
        <is>
          <t>WB05-INV01</t>
        </is>
      </c>
      <c r="B25" s="5" t="n">
        <v>11</v>
      </c>
      <c r="C25" s="40" t="n">
        <v>46156.47222222222</v>
      </c>
      <c r="D25" s="18" t="n">
        <v>850</v>
      </c>
      <c r="E25" s="31" t="n">
        <v>2.833333333333333</v>
      </c>
      <c r="F25" s="31" t="n">
        <v>3.116666666666667</v>
      </c>
      <c r="G25" s="31" t="n">
        <v>2.55</v>
      </c>
      <c r="H25" s="31" t="n">
        <v>2.975</v>
      </c>
      <c r="I25" s="31" t="n">
        <v>2.691666666666666</v>
      </c>
      <c r="J25" s="31" t="n">
        <v>2.833333333333333</v>
      </c>
    </row>
    <row r="26">
      <c r="A26" s="5" t="inlineStr">
        <is>
          <t>WB05-INV01</t>
        </is>
      </c>
      <c r="B26" s="5" t="n">
        <v>11</v>
      </c>
      <c r="C26" s="40" t="n">
        <v>46156.47916666666</v>
      </c>
      <c r="D26" s="18" t="n">
        <v>858.5</v>
      </c>
      <c r="E26" s="31" t="n">
        <v>2.861666666666667</v>
      </c>
      <c r="F26" s="31" t="n">
        <v>3.147833333333334</v>
      </c>
      <c r="G26" s="31" t="n">
        <v>2.5755</v>
      </c>
      <c r="H26" s="31" t="n">
        <v>3.00475</v>
      </c>
      <c r="I26" s="31" t="n">
        <v>2.718583333333334</v>
      </c>
      <c r="J26" s="31" t="n">
        <v>2.861666666666667</v>
      </c>
    </row>
    <row r="27">
      <c r="A27" s="5" t="inlineStr">
        <is>
          <t>WB05-INV01</t>
        </is>
      </c>
      <c r="B27" s="5" t="n">
        <v>11</v>
      </c>
      <c r="C27" s="40" t="n">
        <v>46156.48611111111</v>
      </c>
      <c r="D27" s="18" t="n">
        <v>850</v>
      </c>
      <c r="E27" s="31" t="n">
        <v>2.833333333333333</v>
      </c>
      <c r="F27" s="31" t="n">
        <v>3.116666666666667</v>
      </c>
      <c r="G27" s="31" t="n">
        <v>2.55</v>
      </c>
      <c r="H27" s="31" t="n">
        <v>2.975</v>
      </c>
      <c r="I27" s="31" t="n">
        <v>2.691666666666666</v>
      </c>
      <c r="J27" s="31" t="n">
        <v>2.833333333333333</v>
      </c>
    </row>
    <row r="28">
      <c r="A28" s="5" t="inlineStr">
        <is>
          <t>WB05-INV01</t>
        </is>
      </c>
      <c r="B28" s="5" t="n">
        <v>11</v>
      </c>
      <c r="C28" s="40" t="n">
        <v>46156.49305555555</v>
      </c>
      <c r="D28" s="18" t="n">
        <v>875.5</v>
      </c>
      <c r="E28" s="31" t="n">
        <v>2.918333333333333</v>
      </c>
      <c r="F28" s="31" t="n">
        <v>3.210166666666667</v>
      </c>
      <c r="G28" s="31" t="n">
        <v>2.626500000000001</v>
      </c>
      <c r="H28" s="31" t="n">
        <v>3.064250000000001</v>
      </c>
      <c r="I28" s="31" t="n">
        <v>2.772416666666667</v>
      </c>
      <c r="J28" s="31" t="n">
        <v>2.918333333333333</v>
      </c>
    </row>
    <row r="29">
      <c r="A29" s="5" t="inlineStr">
        <is>
          <t>WB05-INV01</t>
        </is>
      </c>
      <c r="B29" s="5" t="n">
        <v>12</v>
      </c>
      <c r="C29" s="40" t="n">
        <v>46156.5</v>
      </c>
      <c r="D29" s="18" t="n">
        <v>873</v>
      </c>
      <c r="E29" s="31" t="n">
        <v>2.91</v>
      </c>
      <c r="F29" s="31" t="n">
        <v>3.201000000000001</v>
      </c>
      <c r="G29" s="31" t="n">
        <v>2.619</v>
      </c>
      <c r="H29" s="31" t="n">
        <v>3.0555</v>
      </c>
      <c r="I29" s="31" t="n">
        <v>2.7645</v>
      </c>
      <c r="J29" s="31" t="n">
        <v>2.91</v>
      </c>
    </row>
    <row r="30">
      <c r="A30" s="5" t="inlineStr">
        <is>
          <t>WB05-INV01</t>
        </is>
      </c>
      <c r="B30" s="5" t="n">
        <v>12</v>
      </c>
      <c r="C30" s="40" t="n">
        <v>46156.50694444445</v>
      </c>
      <c r="D30" s="18" t="n">
        <v>891</v>
      </c>
      <c r="E30" s="31" t="n">
        <v>2.97</v>
      </c>
      <c r="F30" s="31" t="n">
        <v>3.267</v>
      </c>
      <c r="G30" s="31" t="n">
        <v>2.673</v>
      </c>
      <c r="H30" s="31" t="n">
        <v>3.1185</v>
      </c>
      <c r="I30" s="31" t="n">
        <v>2.8215</v>
      </c>
      <c r="J30" s="31" t="n">
        <v>2.97</v>
      </c>
    </row>
    <row r="31">
      <c r="A31" s="5" t="inlineStr">
        <is>
          <t>WB05-INV01</t>
        </is>
      </c>
      <c r="B31" s="5" t="n">
        <v>12</v>
      </c>
      <c r="C31" s="40" t="n">
        <v>46156.51388888889</v>
      </c>
      <c r="D31" s="18" t="n">
        <v>900</v>
      </c>
      <c r="E31" s="31" t="n">
        <v>3</v>
      </c>
      <c r="F31" s="31" t="n">
        <v>3.3</v>
      </c>
      <c r="G31" s="31" t="n">
        <v>2.7</v>
      </c>
      <c r="H31" s="31" t="n">
        <v>3.15</v>
      </c>
      <c r="I31" s="31" t="n">
        <v>2.85</v>
      </c>
      <c r="J31" s="31" t="n">
        <v>3</v>
      </c>
    </row>
    <row r="32">
      <c r="A32" s="5" t="inlineStr">
        <is>
          <t>WB05-INV01</t>
        </is>
      </c>
      <c r="B32" s="5" t="n">
        <v>12</v>
      </c>
      <c r="C32" s="40" t="n">
        <v>46156.52083333334</v>
      </c>
      <c r="D32" s="18" t="n">
        <v>909</v>
      </c>
      <c r="E32" s="31" t="n">
        <v>3.03</v>
      </c>
      <c r="F32" s="31" t="n">
        <v>3.333</v>
      </c>
      <c r="G32" s="31" t="n">
        <v>2.727</v>
      </c>
      <c r="H32" s="31" t="n">
        <v>3.1815</v>
      </c>
      <c r="I32" s="31" t="n">
        <v>2.878499999999999</v>
      </c>
      <c r="J32" s="31" t="n">
        <v>3.03</v>
      </c>
    </row>
    <row r="33">
      <c r="A33" s="5" t="inlineStr">
        <is>
          <t>WB05-INV01</t>
        </is>
      </c>
      <c r="B33" s="5" t="n">
        <v>12</v>
      </c>
      <c r="C33" s="40" t="n">
        <v>46156.52777777778</v>
      </c>
      <c r="D33" s="18" t="n">
        <v>900</v>
      </c>
      <c r="E33" s="31" t="n">
        <v>3</v>
      </c>
      <c r="F33" s="31" t="n">
        <v>3.3</v>
      </c>
      <c r="G33" s="31" t="n">
        <v>2.7</v>
      </c>
      <c r="H33" s="31" t="n">
        <v>3.15</v>
      </c>
      <c r="I33" s="31" t="n">
        <v>2.85</v>
      </c>
      <c r="J33" s="31" t="n">
        <v>3</v>
      </c>
    </row>
    <row r="34">
      <c r="A34" s="5" t="inlineStr">
        <is>
          <t>WB05-INV01</t>
        </is>
      </c>
      <c r="B34" s="5" t="n">
        <v>12</v>
      </c>
      <c r="C34" s="40" t="n">
        <v>46156.53472222222</v>
      </c>
      <c r="D34" s="18" t="n">
        <v>927</v>
      </c>
      <c r="E34" s="31" t="n">
        <v>3.09</v>
      </c>
      <c r="F34" s="31" t="n">
        <v>3.399</v>
      </c>
      <c r="G34" s="31" t="n">
        <v>2.781</v>
      </c>
      <c r="H34" s="31" t="n">
        <v>3.2445</v>
      </c>
      <c r="I34" s="31" t="n">
        <v>2.9355</v>
      </c>
      <c r="J34" s="31" t="n">
        <v>3.09</v>
      </c>
    </row>
    <row r="35">
      <c r="A35" s="5" t="inlineStr">
        <is>
          <t>WB05-INV01</t>
        </is>
      </c>
      <c r="B35" s="5" t="n">
        <v>13</v>
      </c>
      <c r="C35" s="40" t="n">
        <v>46156.54166666666</v>
      </c>
      <c r="D35" s="18" t="n">
        <v>795.4</v>
      </c>
      <c r="E35" s="31" t="n">
        <v>2.651333333333333</v>
      </c>
      <c r="F35" s="31" t="n">
        <v>2.916466666666667</v>
      </c>
      <c r="G35" s="31" t="n">
        <v>2.3862</v>
      </c>
      <c r="H35" s="31" t="n">
        <v>2.7839</v>
      </c>
      <c r="I35" s="31" t="n">
        <v>2.518766666666666</v>
      </c>
      <c r="J35" s="31" t="n">
        <v>2.651333333333333</v>
      </c>
    </row>
    <row r="36">
      <c r="A36" s="5" t="inlineStr">
        <is>
          <t>WB05-INV01</t>
        </is>
      </c>
      <c r="B36" s="5" t="n">
        <v>13</v>
      </c>
      <c r="C36" s="40" t="n">
        <v>46156.54861111111</v>
      </c>
      <c r="D36" s="18" t="n">
        <v>811.8</v>
      </c>
      <c r="E36" s="31" t="n">
        <v>2.706</v>
      </c>
      <c r="F36" s="31" t="n">
        <v>2.976599999999999</v>
      </c>
      <c r="G36" s="31" t="n">
        <v>2.4354</v>
      </c>
      <c r="H36" s="31" t="n">
        <v>2.8413</v>
      </c>
      <c r="I36" s="31" t="n">
        <v>2.5707</v>
      </c>
      <c r="J36" s="31" t="n">
        <v>2.706</v>
      </c>
    </row>
    <row r="37">
      <c r="A37" s="5" t="inlineStr">
        <is>
          <t>WB05-INV01</t>
        </is>
      </c>
      <c r="B37" s="5" t="n">
        <v>13</v>
      </c>
      <c r="C37" s="40" t="n">
        <v>46156.55555555555</v>
      </c>
      <c r="D37" s="18" t="n">
        <v>820</v>
      </c>
      <c r="E37" s="31" t="n">
        <v>2.733333333333333</v>
      </c>
      <c r="F37" s="31" t="n">
        <v>3.006666666666666</v>
      </c>
      <c r="G37" s="31" t="n">
        <v>2.46</v>
      </c>
      <c r="H37" s="31" t="n">
        <v>2.87</v>
      </c>
      <c r="I37" s="31" t="n">
        <v>2.596666666666666</v>
      </c>
      <c r="J37" s="31" t="n">
        <v>2.733333333333333</v>
      </c>
    </row>
    <row r="38">
      <c r="A38" s="5" t="inlineStr">
        <is>
          <t>WB05-INV01</t>
        </is>
      </c>
      <c r="B38" s="5" t="n">
        <v>13</v>
      </c>
      <c r="C38" s="40" t="n">
        <v>46156.5625</v>
      </c>
      <c r="D38" s="18" t="n">
        <v>828.2</v>
      </c>
      <c r="E38" s="31" t="n">
        <v>2.760666666666667</v>
      </c>
      <c r="F38" s="31" t="n">
        <v>3.036733333333334</v>
      </c>
      <c r="G38" s="31" t="n">
        <v>2.4846</v>
      </c>
      <c r="H38" s="31" t="n">
        <v>2.8987</v>
      </c>
      <c r="I38" s="31" t="n">
        <v>2.622633333333333</v>
      </c>
      <c r="J38" s="31" t="n">
        <v>2.760666666666667</v>
      </c>
    </row>
    <row r="39">
      <c r="A39" s="5" t="inlineStr">
        <is>
          <t>WB05-INV01</t>
        </is>
      </c>
      <c r="B39" s="5" t="n">
        <v>13</v>
      </c>
      <c r="C39" s="40" t="n">
        <v>46156.56944444445</v>
      </c>
      <c r="D39" s="18" t="n">
        <v>820</v>
      </c>
      <c r="E39" s="31" t="n">
        <v>2.733333333333333</v>
      </c>
      <c r="F39" s="31" t="n">
        <v>3.006666666666666</v>
      </c>
      <c r="G39" s="31" t="n">
        <v>2.46</v>
      </c>
      <c r="H39" s="31" t="n">
        <v>2.87</v>
      </c>
      <c r="I39" s="31" t="n">
        <v>2.596666666666666</v>
      </c>
      <c r="J39" s="31" t="n">
        <v>2.733333333333333</v>
      </c>
    </row>
    <row r="40">
      <c r="A40" s="5" t="inlineStr">
        <is>
          <t>WB05-INV01</t>
        </is>
      </c>
      <c r="B40" s="5" t="n">
        <v>13</v>
      </c>
      <c r="C40" s="40" t="n">
        <v>46156.57638888889</v>
      </c>
      <c r="D40" s="18" t="n">
        <v>844.6</v>
      </c>
      <c r="E40" s="31" t="n">
        <v>2.815333333333333</v>
      </c>
      <c r="F40" s="31" t="n">
        <v>3.096866666666667</v>
      </c>
      <c r="G40" s="31" t="n">
        <v>2.5338</v>
      </c>
      <c r="H40" s="31" t="n">
        <v>2.9561</v>
      </c>
      <c r="I40" s="31" t="n">
        <v>2.674566666666667</v>
      </c>
      <c r="J40" s="31" t="n">
        <v>2.815333333333333</v>
      </c>
    </row>
    <row r="41">
      <c r="A41" s="5" t="inlineStr">
        <is>
          <t>WB05-INV01</t>
        </is>
      </c>
      <c r="B41" s="5" t="n">
        <v>14</v>
      </c>
      <c r="C41" s="40" t="n">
        <v>46156.58333333334</v>
      </c>
      <c r="D41" s="18" t="n">
        <v>630.5</v>
      </c>
      <c r="E41" s="31" t="n">
        <v>2.101666666666667</v>
      </c>
      <c r="F41" s="31" t="n">
        <v>2.311833333333333</v>
      </c>
      <c r="G41" s="31" t="n">
        <v>1.8915</v>
      </c>
      <c r="H41" s="31" t="n">
        <v>2.20675</v>
      </c>
      <c r="I41" s="31" t="n">
        <v>1.996583333333333</v>
      </c>
      <c r="J41" s="31" t="n">
        <v>2.101666666666667</v>
      </c>
    </row>
    <row r="42">
      <c r="A42" s="5" t="inlineStr">
        <is>
          <t>WB05-INV01</t>
        </is>
      </c>
      <c r="B42" s="5" t="n">
        <v>14</v>
      </c>
      <c r="C42" s="40" t="n">
        <v>46156.59027777778</v>
      </c>
      <c r="D42" s="18" t="n">
        <v>643.5</v>
      </c>
      <c r="E42" s="31" t="n">
        <v>2.145</v>
      </c>
      <c r="F42" s="31" t="n">
        <v>2.3595</v>
      </c>
      <c r="G42" s="31" t="n">
        <v>1.9305</v>
      </c>
      <c r="H42" s="31" t="n">
        <v>2.25225</v>
      </c>
      <c r="I42" s="31" t="n">
        <v>2.03775</v>
      </c>
      <c r="J42" s="31" t="n">
        <v>2.145</v>
      </c>
    </row>
    <row r="43">
      <c r="A43" s="5" t="inlineStr">
        <is>
          <t>WB05-INV01</t>
        </is>
      </c>
      <c r="B43" s="5" t="n">
        <v>14</v>
      </c>
      <c r="C43" s="40" t="n">
        <v>46156.59722222222</v>
      </c>
      <c r="D43" s="18" t="n">
        <v>650</v>
      </c>
      <c r="E43" s="31" t="n">
        <v>2.166666666666667</v>
      </c>
      <c r="F43" s="31" t="n">
        <v>2.383333333333333</v>
      </c>
      <c r="G43" s="31" t="n">
        <v>1.95</v>
      </c>
      <c r="H43" s="31" t="n">
        <v>2.275</v>
      </c>
      <c r="I43" s="31" t="n">
        <v>2.058333333333333</v>
      </c>
      <c r="J43" s="31" t="n">
        <v>2.166666666666667</v>
      </c>
    </row>
    <row r="44">
      <c r="A44" s="5" t="inlineStr">
        <is>
          <t>WB05-INV01</t>
        </is>
      </c>
      <c r="B44" s="5" t="n">
        <v>14</v>
      </c>
      <c r="C44" s="40" t="n">
        <v>46156.60416666666</v>
      </c>
      <c r="D44" s="18" t="n">
        <v>656.5</v>
      </c>
      <c r="E44" s="31" t="n">
        <v>2.188333333333333</v>
      </c>
      <c r="F44" s="31" t="n">
        <v>2.407166666666667</v>
      </c>
      <c r="G44" s="31" t="n">
        <v>1.9695</v>
      </c>
      <c r="H44" s="31" t="n">
        <v>2.29775</v>
      </c>
      <c r="I44" s="31" t="n">
        <v>2.078916666666667</v>
      </c>
      <c r="J44" s="31" t="n">
        <v>2.188333333333333</v>
      </c>
    </row>
    <row r="45">
      <c r="A45" s="5" t="inlineStr">
        <is>
          <t>WB05-INV01</t>
        </is>
      </c>
      <c r="B45" s="5" t="n">
        <v>14</v>
      </c>
      <c r="C45" s="40" t="n">
        <v>46156.61111111111</v>
      </c>
      <c r="D45" s="18" t="n">
        <v>650</v>
      </c>
      <c r="E45" s="31" t="n">
        <v>2.166666666666667</v>
      </c>
      <c r="F45" s="31" t="n">
        <v>2.383333333333333</v>
      </c>
      <c r="G45" s="31" t="n">
        <v>1.95</v>
      </c>
      <c r="H45" s="31" t="n">
        <v>2.275</v>
      </c>
      <c r="I45" s="31" t="n">
        <v>2.058333333333333</v>
      </c>
      <c r="J45" s="31" t="n">
        <v>2.166666666666667</v>
      </c>
    </row>
    <row r="46">
      <c r="A46" s="5" t="inlineStr">
        <is>
          <t>WB05-INV01</t>
        </is>
      </c>
      <c r="B46" s="5" t="n">
        <v>14</v>
      </c>
      <c r="C46" s="40" t="n">
        <v>46156.61805555555</v>
      </c>
      <c r="D46" s="18" t="n">
        <v>669.5</v>
      </c>
      <c r="E46" s="31" t="n">
        <v>2.231666666666667</v>
      </c>
      <c r="F46" s="31" t="n">
        <v>2.454833333333334</v>
      </c>
      <c r="G46" s="31" t="n">
        <v>2.0085</v>
      </c>
      <c r="H46" s="31" t="n">
        <v>2.34325</v>
      </c>
      <c r="I46" s="31" t="n">
        <v>2.120083333333333</v>
      </c>
      <c r="J46" s="31" t="n">
        <v>2.231666666666667</v>
      </c>
    </row>
    <row r="47">
      <c r="A47" s="5" t="inlineStr">
        <is>
          <t>WB05-INV01</t>
        </is>
      </c>
      <c r="B47" s="5" t="n">
        <v>15</v>
      </c>
      <c r="C47" s="40" t="n">
        <v>46156.625</v>
      </c>
      <c r="D47" s="18" t="n">
        <v>436.5</v>
      </c>
      <c r="E47" s="31" t="n">
        <v>1.455</v>
      </c>
      <c r="F47" s="31" t="n">
        <v>1.6005</v>
      </c>
      <c r="G47" s="31" t="n">
        <v>1.3095</v>
      </c>
      <c r="H47" s="31" t="n">
        <v>1.52775</v>
      </c>
      <c r="I47" s="31" t="n">
        <v>1.38225</v>
      </c>
      <c r="J47" s="31" t="n">
        <v>1.455</v>
      </c>
    </row>
    <row r="48">
      <c r="A48" s="5" t="inlineStr">
        <is>
          <t>WB05-INV01</t>
        </is>
      </c>
      <c r="B48" s="5" t="n">
        <v>15</v>
      </c>
      <c r="C48" s="40" t="n">
        <v>46156.63194444445</v>
      </c>
      <c r="D48" s="18" t="n">
        <v>445.5</v>
      </c>
      <c r="E48" s="31" t="n">
        <v>1.485</v>
      </c>
      <c r="F48" s="31" t="n">
        <v>1.6335</v>
      </c>
      <c r="G48" s="31" t="n">
        <v>1.3365</v>
      </c>
      <c r="H48" s="31" t="n">
        <v>1.55925</v>
      </c>
      <c r="I48" s="31" t="n">
        <v>1.41075</v>
      </c>
      <c r="J48" s="31" t="n">
        <v>1.485</v>
      </c>
    </row>
    <row r="49">
      <c r="A49" s="5" t="inlineStr">
        <is>
          <t>WB05-INV01</t>
        </is>
      </c>
      <c r="B49" s="5" t="n">
        <v>15</v>
      </c>
      <c r="C49" s="40" t="n">
        <v>46156.63888888889</v>
      </c>
      <c r="D49" s="18" t="n">
        <v>450</v>
      </c>
      <c r="E49" s="31" t="n">
        <v>1.5</v>
      </c>
      <c r="F49" s="31" t="n">
        <v>1.65</v>
      </c>
      <c r="G49" s="31" t="n">
        <v>1.35</v>
      </c>
      <c r="H49" s="31" t="n">
        <v>1.575</v>
      </c>
      <c r="I49" s="31" t="n">
        <v>1.425</v>
      </c>
      <c r="J49" s="31" t="n">
        <v>1.5</v>
      </c>
    </row>
    <row r="50">
      <c r="A50" s="5" t="inlineStr">
        <is>
          <t>WB05-INV01</t>
        </is>
      </c>
      <c r="B50" s="5" t="n">
        <v>15</v>
      </c>
      <c r="C50" s="40" t="n">
        <v>46156.64583333334</v>
      </c>
      <c r="D50" s="18" t="n">
        <v>454.5</v>
      </c>
      <c r="E50" s="31" t="n">
        <v>1.515</v>
      </c>
      <c r="F50" s="31" t="n">
        <v>1.6665</v>
      </c>
      <c r="G50" s="31" t="n">
        <v>1.3635</v>
      </c>
      <c r="H50" s="31" t="n">
        <v>1.59075</v>
      </c>
      <c r="I50" s="31" t="n">
        <v>1.43925</v>
      </c>
      <c r="J50" s="31" t="n">
        <v>1.515</v>
      </c>
    </row>
    <row r="51">
      <c r="A51" s="5" t="inlineStr">
        <is>
          <t>WB05-INV01</t>
        </is>
      </c>
      <c r="B51" s="5" t="n">
        <v>15</v>
      </c>
      <c r="C51" s="40" t="n">
        <v>46156.65277777778</v>
      </c>
      <c r="D51" s="18" t="n">
        <v>450</v>
      </c>
      <c r="E51" s="31" t="n">
        <v>1.5</v>
      </c>
      <c r="F51" s="31" t="n">
        <v>1.65</v>
      </c>
      <c r="G51" s="31" t="n">
        <v>1.35</v>
      </c>
      <c r="H51" s="31" t="n">
        <v>1.575</v>
      </c>
      <c r="I51" s="31" t="n">
        <v>1.425</v>
      </c>
      <c r="J51" s="31" t="n">
        <v>1.5</v>
      </c>
    </row>
    <row r="52">
      <c r="A52" s="5" t="inlineStr">
        <is>
          <t>WB05-INV01</t>
        </is>
      </c>
      <c r="B52" s="5" t="n">
        <v>15</v>
      </c>
      <c r="C52" s="40" t="n">
        <v>46156.65972222222</v>
      </c>
      <c r="D52" s="18" t="n">
        <v>463.5</v>
      </c>
      <c r="E52" s="31" t="n">
        <v>1.545</v>
      </c>
      <c r="F52" s="31" t="n">
        <v>1.6995</v>
      </c>
      <c r="G52" s="31" t="n">
        <v>1.3905</v>
      </c>
      <c r="H52" s="31" t="n">
        <v>1.62225</v>
      </c>
      <c r="I52" s="31" t="n">
        <v>1.46775</v>
      </c>
      <c r="J52" s="31" t="n">
        <v>1.545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1" customWidth="1" min="2" max="2"/>
  </cols>
  <sheetData>
    <row r="1">
      <c r="A1" s="23" t="inlineStr">
        <is>
          <t>Helpers_SH — per timestamp: inv_total + CV antar PV</t>
        </is>
      </c>
    </row>
    <row r="2">
      <c r="A2" s="24" t="inlineStr">
        <is>
          <t>inv_total = Σ daya PV. CV_ts = STDEVP(daya PV)/AVERAGE(daya PV) — variasi antar string (uniform shading → CV kecil).</t>
        </is>
      </c>
    </row>
    <row r="3">
      <c r="A3" s="24" t="inlineStr">
        <is>
          <t>Production pakai hanya daya finite &amp; &gt;0 (di sini semua positif). cv_hour = MEDIAN(CV_ts) dihitung di SH_Hourly.</t>
        </is>
      </c>
    </row>
    <row r="4">
      <c r="A4" s="10" t="inlineStr">
        <is>
          <t>hour</t>
        </is>
      </c>
      <c r="B4" s="10" t="inlineStr">
        <is>
          <t>Start Time</t>
        </is>
      </c>
      <c r="C4" s="10" t="inlineStr">
        <is>
          <t>POA</t>
        </is>
      </c>
      <c r="D4" s="10" t="inlineStr">
        <is>
          <t>inv_total (kW)</t>
        </is>
      </c>
      <c r="E4" s="10" t="inlineStr">
        <is>
          <t>CV_ts</t>
        </is>
      </c>
    </row>
    <row r="5">
      <c r="A5" s="5">
        <f>Raw_Data_SH!B5</f>
        <v/>
      </c>
      <c r="B5" s="40">
        <f>Raw_Data_SH!C5</f>
        <v/>
      </c>
      <c r="C5" s="18">
        <f>Raw_Data_SH!D5</f>
        <v/>
      </c>
      <c r="D5" s="17">
        <f>SUM(Raw_Data_SH!E5:J5)</f>
        <v/>
      </c>
      <c r="E5" s="42">
        <f>STDEVP(Raw_Data_SH!E5:J5)/AVERAGE(Raw_Data_SH!E5:J5)</f>
        <v/>
      </c>
    </row>
    <row r="6">
      <c r="A6" s="5">
        <f>Raw_Data_SH!B6</f>
        <v/>
      </c>
      <c r="B6" s="40">
        <f>Raw_Data_SH!C6</f>
        <v/>
      </c>
      <c r="C6" s="18">
        <f>Raw_Data_SH!D6</f>
        <v/>
      </c>
      <c r="D6" s="17">
        <f>SUM(Raw_Data_SH!E6:J6)</f>
        <v/>
      </c>
      <c r="E6" s="42">
        <f>STDEVP(Raw_Data_SH!E6:J6)/AVERAGE(Raw_Data_SH!E6:J6)</f>
        <v/>
      </c>
    </row>
    <row r="7">
      <c r="A7" s="5">
        <f>Raw_Data_SH!B7</f>
        <v/>
      </c>
      <c r="B7" s="40">
        <f>Raw_Data_SH!C7</f>
        <v/>
      </c>
      <c r="C7" s="18">
        <f>Raw_Data_SH!D7</f>
        <v/>
      </c>
      <c r="D7" s="17">
        <f>SUM(Raw_Data_SH!E7:J7)</f>
        <v/>
      </c>
      <c r="E7" s="42">
        <f>STDEVP(Raw_Data_SH!E7:J7)/AVERAGE(Raw_Data_SH!E7:J7)</f>
        <v/>
      </c>
    </row>
    <row r="8">
      <c r="A8" s="5">
        <f>Raw_Data_SH!B8</f>
        <v/>
      </c>
      <c r="B8" s="40">
        <f>Raw_Data_SH!C8</f>
        <v/>
      </c>
      <c r="C8" s="18">
        <f>Raw_Data_SH!D8</f>
        <v/>
      </c>
      <c r="D8" s="17">
        <f>SUM(Raw_Data_SH!E8:J8)</f>
        <v/>
      </c>
      <c r="E8" s="42">
        <f>STDEVP(Raw_Data_SH!E8:J8)/AVERAGE(Raw_Data_SH!E8:J8)</f>
        <v/>
      </c>
    </row>
    <row r="9">
      <c r="A9" s="5">
        <f>Raw_Data_SH!B9</f>
        <v/>
      </c>
      <c r="B9" s="40">
        <f>Raw_Data_SH!C9</f>
        <v/>
      </c>
      <c r="C9" s="18">
        <f>Raw_Data_SH!D9</f>
        <v/>
      </c>
      <c r="D9" s="17">
        <f>SUM(Raw_Data_SH!E9:J9)</f>
        <v/>
      </c>
      <c r="E9" s="42">
        <f>STDEVP(Raw_Data_SH!E9:J9)/AVERAGE(Raw_Data_SH!E9:J9)</f>
        <v/>
      </c>
    </row>
    <row r="10">
      <c r="A10" s="5">
        <f>Raw_Data_SH!B10</f>
        <v/>
      </c>
      <c r="B10" s="40">
        <f>Raw_Data_SH!C10</f>
        <v/>
      </c>
      <c r="C10" s="18">
        <f>Raw_Data_SH!D10</f>
        <v/>
      </c>
      <c r="D10" s="17">
        <f>SUM(Raw_Data_SH!E10:J10)</f>
        <v/>
      </c>
      <c r="E10" s="42">
        <f>STDEVP(Raw_Data_SH!E10:J10)/AVERAGE(Raw_Data_SH!E10:J10)</f>
        <v/>
      </c>
    </row>
    <row r="11">
      <c r="A11" s="5">
        <f>Raw_Data_SH!B11</f>
        <v/>
      </c>
      <c r="B11" s="40">
        <f>Raw_Data_SH!C11</f>
        <v/>
      </c>
      <c r="C11" s="18">
        <f>Raw_Data_SH!D11</f>
        <v/>
      </c>
      <c r="D11" s="17">
        <f>SUM(Raw_Data_SH!E11:J11)</f>
        <v/>
      </c>
      <c r="E11" s="42">
        <f>STDEVP(Raw_Data_SH!E11:J11)/AVERAGE(Raw_Data_SH!E11:J11)</f>
        <v/>
      </c>
    </row>
    <row r="12">
      <c r="A12" s="5">
        <f>Raw_Data_SH!B12</f>
        <v/>
      </c>
      <c r="B12" s="40">
        <f>Raw_Data_SH!C12</f>
        <v/>
      </c>
      <c r="C12" s="18">
        <f>Raw_Data_SH!D12</f>
        <v/>
      </c>
      <c r="D12" s="17">
        <f>SUM(Raw_Data_SH!E12:J12)</f>
        <v/>
      </c>
      <c r="E12" s="42">
        <f>STDEVP(Raw_Data_SH!E12:J12)/AVERAGE(Raw_Data_SH!E12:J12)</f>
        <v/>
      </c>
    </row>
    <row r="13">
      <c r="A13" s="5">
        <f>Raw_Data_SH!B13</f>
        <v/>
      </c>
      <c r="B13" s="40">
        <f>Raw_Data_SH!C13</f>
        <v/>
      </c>
      <c r="C13" s="18">
        <f>Raw_Data_SH!D13</f>
        <v/>
      </c>
      <c r="D13" s="17">
        <f>SUM(Raw_Data_SH!E13:J13)</f>
        <v/>
      </c>
      <c r="E13" s="42">
        <f>STDEVP(Raw_Data_SH!E13:J13)/AVERAGE(Raw_Data_SH!E13:J13)</f>
        <v/>
      </c>
    </row>
    <row r="14">
      <c r="A14" s="5">
        <f>Raw_Data_SH!B14</f>
        <v/>
      </c>
      <c r="B14" s="40">
        <f>Raw_Data_SH!C14</f>
        <v/>
      </c>
      <c r="C14" s="18">
        <f>Raw_Data_SH!D14</f>
        <v/>
      </c>
      <c r="D14" s="17">
        <f>SUM(Raw_Data_SH!E14:J14)</f>
        <v/>
      </c>
      <c r="E14" s="42">
        <f>STDEVP(Raw_Data_SH!E14:J14)/AVERAGE(Raw_Data_SH!E14:J14)</f>
        <v/>
      </c>
    </row>
    <row r="15">
      <c r="A15" s="5">
        <f>Raw_Data_SH!B15</f>
        <v/>
      </c>
      <c r="B15" s="40">
        <f>Raw_Data_SH!C15</f>
        <v/>
      </c>
      <c r="C15" s="18">
        <f>Raw_Data_SH!D15</f>
        <v/>
      </c>
      <c r="D15" s="17">
        <f>SUM(Raw_Data_SH!E15:J15)</f>
        <v/>
      </c>
      <c r="E15" s="42">
        <f>STDEVP(Raw_Data_SH!E15:J15)/AVERAGE(Raw_Data_SH!E15:J15)</f>
        <v/>
      </c>
    </row>
    <row r="16">
      <c r="A16" s="5">
        <f>Raw_Data_SH!B16</f>
        <v/>
      </c>
      <c r="B16" s="40">
        <f>Raw_Data_SH!C16</f>
        <v/>
      </c>
      <c r="C16" s="18">
        <f>Raw_Data_SH!D16</f>
        <v/>
      </c>
      <c r="D16" s="17">
        <f>SUM(Raw_Data_SH!E16:J16)</f>
        <v/>
      </c>
      <c r="E16" s="42">
        <f>STDEVP(Raw_Data_SH!E16:J16)/AVERAGE(Raw_Data_SH!E16:J16)</f>
        <v/>
      </c>
    </row>
    <row r="17">
      <c r="A17" s="5">
        <f>Raw_Data_SH!B17</f>
        <v/>
      </c>
      <c r="B17" s="40">
        <f>Raw_Data_SH!C17</f>
        <v/>
      </c>
      <c r="C17" s="18">
        <f>Raw_Data_SH!D17</f>
        <v/>
      </c>
      <c r="D17" s="17">
        <f>SUM(Raw_Data_SH!E17:J17)</f>
        <v/>
      </c>
      <c r="E17" s="42">
        <f>STDEVP(Raw_Data_SH!E17:J17)/AVERAGE(Raw_Data_SH!E17:J17)</f>
        <v/>
      </c>
    </row>
    <row r="18">
      <c r="A18" s="5">
        <f>Raw_Data_SH!B18</f>
        <v/>
      </c>
      <c r="B18" s="40">
        <f>Raw_Data_SH!C18</f>
        <v/>
      </c>
      <c r="C18" s="18">
        <f>Raw_Data_SH!D18</f>
        <v/>
      </c>
      <c r="D18" s="17">
        <f>SUM(Raw_Data_SH!E18:J18)</f>
        <v/>
      </c>
      <c r="E18" s="42">
        <f>STDEVP(Raw_Data_SH!E18:J18)/AVERAGE(Raw_Data_SH!E18:J18)</f>
        <v/>
      </c>
    </row>
    <row r="19">
      <c r="A19" s="5">
        <f>Raw_Data_SH!B19</f>
        <v/>
      </c>
      <c r="B19" s="40">
        <f>Raw_Data_SH!C19</f>
        <v/>
      </c>
      <c r="C19" s="18">
        <f>Raw_Data_SH!D19</f>
        <v/>
      </c>
      <c r="D19" s="17">
        <f>SUM(Raw_Data_SH!E19:J19)</f>
        <v/>
      </c>
      <c r="E19" s="42">
        <f>STDEVP(Raw_Data_SH!E19:J19)/AVERAGE(Raw_Data_SH!E19:J19)</f>
        <v/>
      </c>
    </row>
    <row r="20">
      <c r="A20" s="5">
        <f>Raw_Data_SH!B20</f>
        <v/>
      </c>
      <c r="B20" s="40">
        <f>Raw_Data_SH!C20</f>
        <v/>
      </c>
      <c r="C20" s="18">
        <f>Raw_Data_SH!D20</f>
        <v/>
      </c>
      <c r="D20" s="17">
        <f>SUM(Raw_Data_SH!E20:J20)</f>
        <v/>
      </c>
      <c r="E20" s="42">
        <f>STDEVP(Raw_Data_SH!E20:J20)/AVERAGE(Raw_Data_SH!E20:J20)</f>
        <v/>
      </c>
    </row>
    <row r="21">
      <c r="A21" s="5">
        <f>Raw_Data_SH!B21</f>
        <v/>
      </c>
      <c r="B21" s="40">
        <f>Raw_Data_SH!C21</f>
        <v/>
      </c>
      <c r="C21" s="18">
        <f>Raw_Data_SH!D21</f>
        <v/>
      </c>
      <c r="D21" s="17">
        <f>SUM(Raw_Data_SH!E21:J21)</f>
        <v/>
      </c>
      <c r="E21" s="42">
        <f>STDEVP(Raw_Data_SH!E21:J21)/AVERAGE(Raw_Data_SH!E21:J21)</f>
        <v/>
      </c>
    </row>
    <row r="22">
      <c r="A22" s="5">
        <f>Raw_Data_SH!B22</f>
        <v/>
      </c>
      <c r="B22" s="40">
        <f>Raw_Data_SH!C22</f>
        <v/>
      </c>
      <c r="C22" s="18">
        <f>Raw_Data_SH!D22</f>
        <v/>
      </c>
      <c r="D22" s="17">
        <f>SUM(Raw_Data_SH!E22:J22)</f>
        <v/>
      </c>
      <c r="E22" s="42">
        <f>STDEVP(Raw_Data_SH!E22:J22)/AVERAGE(Raw_Data_SH!E22:J22)</f>
        <v/>
      </c>
    </row>
    <row r="23">
      <c r="A23" s="5">
        <f>Raw_Data_SH!B23</f>
        <v/>
      </c>
      <c r="B23" s="40">
        <f>Raw_Data_SH!C23</f>
        <v/>
      </c>
      <c r="C23" s="18">
        <f>Raw_Data_SH!D23</f>
        <v/>
      </c>
      <c r="D23" s="17">
        <f>SUM(Raw_Data_SH!E23:J23)</f>
        <v/>
      </c>
      <c r="E23" s="42">
        <f>STDEVP(Raw_Data_SH!E23:J23)/AVERAGE(Raw_Data_SH!E23:J23)</f>
        <v/>
      </c>
    </row>
    <row r="24">
      <c r="A24" s="5">
        <f>Raw_Data_SH!B24</f>
        <v/>
      </c>
      <c r="B24" s="40">
        <f>Raw_Data_SH!C24</f>
        <v/>
      </c>
      <c r="C24" s="18">
        <f>Raw_Data_SH!D24</f>
        <v/>
      </c>
      <c r="D24" s="17">
        <f>SUM(Raw_Data_SH!E24:J24)</f>
        <v/>
      </c>
      <c r="E24" s="42">
        <f>STDEVP(Raw_Data_SH!E24:J24)/AVERAGE(Raw_Data_SH!E24:J24)</f>
        <v/>
      </c>
    </row>
    <row r="25">
      <c r="A25" s="5">
        <f>Raw_Data_SH!B25</f>
        <v/>
      </c>
      <c r="B25" s="40">
        <f>Raw_Data_SH!C25</f>
        <v/>
      </c>
      <c r="C25" s="18">
        <f>Raw_Data_SH!D25</f>
        <v/>
      </c>
      <c r="D25" s="17">
        <f>SUM(Raw_Data_SH!E25:J25)</f>
        <v/>
      </c>
      <c r="E25" s="42">
        <f>STDEVP(Raw_Data_SH!E25:J25)/AVERAGE(Raw_Data_SH!E25:J25)</f>
        <v/>
      </c>
    </row>
    <row r="26">
      <c r="A26" s="5">
        <f>Raw_Data_SH!B26</f>
        <v/>
      </c>
      <c r="B26" s="40">
        <f>Raw_Data_SH!C26</f>
        <v/>
      </c>
      <c r="C26" s="18">
        <f>Raw_Data_SH!D26</f>
        <v/>
      </c>
      <c r="D26" s="17">
        <f>SUM(Raw_Data_SH!E26:J26)</f>
        <v/>
      </c>
      <c r="E26" s="42">
        <f>STDEVP(Raw_Data_SH!E26:J26)/AVERAGE(Raw_Data_SH!E26:J26)</f>
        <v/>
      </c>
    </row>
    <row r="27">
      <c r="A27" s="5">
        <f>Raw_Data_SH!B27</f>
        <v/>
      </c>
      <c r="B27" s="40">
        <f>Raw_Data_SH!C27</f>
        <v/>
      </c>
      <c r="C27" s="18">
        <f>Raw_Data_SH!D27</f>
        <v/>
      </c>
      <c r="D27" s="17">
        <f>SUM(Raw_Data_SH!E27:J27)</f>
        <v/>
      </c>
      <c r="E27" s="42">
        <f>STDEVP(Raw_Data_SH!E27:J27)/AVERAGE(Raw_Data_SH!E27:J27)</f>
        <v/>
      </c>
    </row>
    <row r="28">
      <c r="A28" s="5">
        <f>Raw_Data_SH!B28</f>
        <v/>
      </c>
      <c r="B28" s="40">
        <f>Raw_Data_SH!C28</f>
        <v/>
      </c>
      <c r="C28" s="18">
        <f>Raw_Data_SH!D28</f>
        <v/>
      </c>
      <c r="D28" s="17">
        <f>SUM(Raw_Data_SH!E28:J28)</f>
        <v/>
      </c>
      <c r="E28" s="42">
        <f>STDEVP(Raw_Data_SH!E28:J28)/AVERAGE(Raw_Data_SH!E28:J28)</f>
        <v/>
      </c>
    </row>
    <row r="29">
      <c r="A29" s="5">
        <f>Raw_Data_SH!B29</f>
        <v/>
      </c>
      <c r="B29" s="40">
        <f>Raw_Data_SH!C29</f>
        <v/>
      </c>
      <c r="C29" s="18">
        <f>Raw_Data_SH!D29</f>
        <v/>
      </c>
      <c r="D29" s="17">
        <f>SUM(Raw_Data_SH!E29:J29)</f>
        <v/>
      </c>
      <c r="E29" s="42">
        <f>STDEVP(Raw_Data_SH!E29:J29)/AVERAGE(Raw_Data_SH!E29:J29)</f>
        <v/>
      </c>
    </row>
    <row r="30">
      <c r="A30" s="5">
        <f>Raw_Data_SH!B30</f>
        <v/>
      </c>
      <c r="B30" s="40">
        <f>Raw_Data_SH!C30</f>
        <v/>
      </c>
      <c r="C30" s="18">
        <f>Raw_Data_SH!D30</f>
        <v/>
      </c>
      <c r="D30" s="17">
        <f>SUM(Raw_Data_SH!E30:J30)</f>
        <v/>
      </c>
      <c r="E30" s="42">
        <f>STDEVP(Raw_Data_SH!E30:J30)/AVERAGE(Raw_Data_SH!E30:J30)</f>
        <v/>
      </c>
    </row>
    <row r="31">
      <c r="A31" s="5">
        <f>Raw_Data_SH!B31</f>
        <v/>
      </c>
      <c r="B31" s="40">
        <f>Raw_Data_SH!C31</f>
        <v/>
      </c>
      <c r="C31" s="18">
        <f>Raw_Data_SH!D31</f>
        <v/>
      </c>
      <c r="D31" s="17">
        <f>SUM(Raw_Data_SH!E31:J31)</f>
        <v/>
      </c>
      <c r="E31" s="42">
        <f>STDEVP(Raw_Data_SH!E31:J31)/AVERAGE(Raw_Data_SH!E31:J31)</f>
        <v/>
      </c>
    </row>
    <row r="32">
      <c r="A32" s="5">
        <f>Raw_Data_SH!B32</f>
        <v/>
      </c>
      <c r="B32" s="40">
        <f>Raw_Data_SH!C32</f>
        <v/>
      </c>
      <c r="C32" s="18">
        <f>Raw_Data_SH!D32</f>
        <v/>
      </c>
      <c r="D32" s="17">
        <f>SUM(Raw_Data_SH!E32:J32)</f>
        <v/>
      </c>
      <c r="E32" s="42">
        <f>STDEVP(Raw_Data_SH!E32:J32)/AVERAGE(Raw_Data_SH!E32:J32)</f>
        <v/>
      </c>
    </row>
    <row r="33">
      <c r="A33" s="5">
        <f>Raw_Data_SH!B33</f>
        <v/>
      </c>
      <c r="B33" s="40">
        <f>Raw_Data_SH!C33</f>
        <v/>
      </c>
      <c r="C33" s="18">
        <f>Raw_Data_SH!D33</f>
        <v/>
      </c>
      <c r="D33" s="17">
        <f>SUM(Raw_Data_SH!E33:J33)</f>
        <v/>
      </c>
      <c r="E33" s="42">
        <f>STDEVP(Raw_Data_SH!E33:J33)/AVERAGE(Raw_Data_SH!E33:J33)</f>
        <v/>
      </c>
    </row>
    <row r="34">
      <c r="A34" s="5">
        <f>Raw_Data_SH!B34</f>
        <v/>
      </c>
      <c r="B34" s="40">
        <f>Raw_Data_SH!C34</f>
        <v/>
      </c>
      <c r="C34" s="18">
        <f>Raw_Data_SH!D34</f>
        <v/>
      </c>
      <c r="D34" s="17">
        <f>SUM(Raw_Data_SH!E34:J34)</f>
        <v/>
      </c>
      <c r="E34" s="42">
        <f>STDEVP(Raw_Data_SH!E34:J34)/AVERAGE(Raw_Data_SH!E34:J34)</f>
        <v/>
      </c>
    </row>
    <row r="35">
      <c r="A35" s="5">
        <f>Raw_Data_SH!B35</f>
        <v/>
      </c>
      <c r="B35" s="40">
        <f>Raw_Data_SH!C35</f>
        <v/>
      </c>
      <c r="C35" s="18">
        <f>Raw_Data_SH!D35</f>
        <v/>
      </c>
      <c r="D35" s="17">
        <f>SUM(Raw_Data_SH!E35:J35)</f>
        <v/>
      </c>
      <c r="E35" s="42">
        <f>STDEVP(Raw_Data_SH!E35:J35)/AVERAGE(Raw_Data_SH!E35:J35)</f>
        <v/>
      </c>
    </row>
    <row r="36">
      <c r="A36" s="5">
        <f>Raw_Data_SH!B36</f>
        <v/>
      </c>
      <c r="B36" s="40">
        <f>Raw_Data_SH!C36</f>
        <v/>
      </c>
      <c r="C36" s="18">
        <f>Raw_Data_SH!D36</f>
        <v/>
      </c>
      <c r="D36" s="17">
        <f>SUM(Raw_Data_SH!E36:J36)</f>
        <v/>
      </c>
      <c r="E36" s="42">
        <f>STDEVP(Raw_Data_SH!E36:J36)/AVERAGE(Raw_Data_SH!E36:J36)</f>
        <v/>
      </c>
    </row>
    <row r="37">
      <c r="A37" s="5">
        <f>Raw_Data_SH!B37</f>
        <v/>
      </c>
      <c r="B37" s="40">
        <f>Raw_Data_SH!C37</f>
        <v/>
      </c>
      <c r="C37" s="18">
        <f>Raw_Data_SH!D37</f>
        <v/>
      </c>
      <c r="D37" s="17">
        <f>SUM(Raw_Data_SH!E37:J37)</f>
        <v/>
      </c>
      <c r="E37" s="42">
        <f>STDEVP(Raw_Data_SH!E37:J37)/AVERAGE(Raw_Data_SH!E37:J37)</f>
        <v/>
      </c>
    </row>
    <row r="38">
      <c r="A38" s="5">
        <f>Raw_Data_SH!B38</f>
        <v/>
      </c>
      <c r="B38" s="40">
        <f>Raw_Data_SH!C38</f>
        <v/>
      </c>
      <c r="C38" s="18">
        <f>Raw_Data_SH!D38</f>
        <v/>
      </c>
      <c r="D38" s="17">
        <f>SUM(Raw_Data_SH!E38:J38)</f>
        <v/>
      </c>
      <c r="E38" s="42">
        <f>STDEVP(Raw_Data_SH!E38:J38)/AVERAGE(Raw_Data_SH!E38:J38)</f>
        <v/>
      </c>
    </row>
    <row r="39">
      <c r="A39" s="5">
        <f>Raw_Data_SH!B39</f>
        <v/>
      </c>
      <c r="B39" s="40">
        <f>Raw_Data_SH!C39</f>
        <v/>
      </c>
      <c r="C39" s="18">
        <f>Raw_Data_SH!D39</f>
        <v/>
      </c>
      <c r="D39" s="17">
        <f>SUM(Raw_Data_SH!E39:J39)</f>
        <v/>
      </c>
      <c r="E39" s="42">
        <f>STDEVP(Raw_Data_SH!E39:J39)/AVERAGE(Raw_Data_SH!E39:J39)</f>
        <v/>
      </c>
    </row>
    <row r="40">
      <c r="A40" s="5">
        <f>Raw_Data_SH!B40</f>
        <v/>
      </c>
      <c r="B40" s="40">
        <f>Raw_Data_SH!C40</f>
        <v/>
      </c>
      <c r="C40" s="18">
        <f>Raw_Data_SH!D40</f>
        <v/>
      </c>
      <c r="D40" s="17">
        <f>SUM(Raw_Data_SH!E40:J40)</f>
        <v/>
      </c>
      <c r="E40" s="42">
        <f>STDEVP(Raw_Data_SH!E40:J40)/AVERAGE(Raw_Data_SH!E40:J40)</f>
        <v/>
      </c>
    </row>
    <row r="41">
      <c r="A41" s="5">
        <f>Raw_Data_SH!B41</f>
        <v/>
      </c>
      <c r="B41" s="40">
        <f>Raw_Data_SH!C41</f>
        <v/>
      </c>
      <c r="C41" s="18">
        <f>Raw_Data_SH!D41</f>
        <v/>
      </c>
      <c r="D41" s="17">
        <f>SUM(Raw_Data_SH!E41:J41)</f>
        <v/>
      </c>
      <c r="E41" s="42">
        <f>STDEVP(Raw_Data_SH!E41:J41)/AVERAGE(Raw_Data_SH!E41:J41)</f>
        <v/>
      </c>
    </row>
    <row r="42">
      <c r="A42" s="5">
        <f>Raw_Data_SH!B42</f>
        <v/>
      </c>
      <c r="B42" s="40">
        <f>Raw_Data_SH!C42</f>
        <v/>
      </c>
      <c r="C42" s="18">
        <f>Raw_Data_SH!D42</f>
        <v/>
      </c>
      <c r="D42" s="17">
        <f>SUM(Raw_Data_SH!E42:J42)</f>
        <v/>
      </c>
      <c r="E42" s="42">
        <f>STDEVP(Raw_Data_SH!E42:J42)/AVERAGE(Raw_Data_SH!E42:J42)</f>
        <v/>
      </c>
    </row>
    <row r="43">
      <c r="A43" s="5">
        <f>Raw_Data_SH!B43</f>
        <v/>
      </c>
      <c r="B43" s="40">
        <f>Raw_Data_SH!C43</f>
        <v/>
      </c>
      <c r="C43" s="18">
        <f>Raw_Data_SH!D43</f>
        <v/>
      </c>
      <c r="D43" s="17">
        <f>SUM(Raw_Data_SH!E43:J43)</f>
        <v/>
      </c>
      <c r="E43" s="42">
        <f>STDEVP(Raw_Data_SH!E43:J43)/AVERAGE(Raw_Data_SH!E43:J43)</f>
        <v/>
      </c>
    </row>
    <row r="44">
      <c r="A44" s="5">
        <f>Raw_Data_SH!B44</f>
        <v/>
      </c>
      <c r="B44" s="40">
        <f>Raw_Data_SH!C44</f>
        <v/>
      </c>
      <c r="C44" s="18">
        <f>Raw_Data_SH!D44</f>
        <v/>
      </c>
      <c r="D44" s="17">
        <f>SUM(Raw_Data_SH!E44:J44)</f>
        <v/>
      </c>
      <c r="E44" s="42">
        <f>STDEVP(Raw_Data_SH!E44:J44)/AVERAGE(Raw_Data_SH!E44:J44)</f>
        <v/>
      </c>
    </row>
    <row r="45">
      <c r="A45" s="5">
        <f>Raw_Data_SH!B45</f>
        <v/>
      </c>
      <c r="B45" s="40">
        <f>Raw_Data_SH!C45</f>
        <v/>
      </c>
      <c r="C45" s="18">
        <f>Raw_Data_SH!D45</f>
        <v/>
      </c>
      <c r="D45" s="17">
        <f>SUM(Raw_Data_SH!E45:J45)</f>
        <v/>
      </c>
      <c r="E45" s="42">
        <f>STDEVP(Raw_Data_SH!E45:J45)/AVERAGE(Raw_Data_SH!E45:J45)</f>
        <v/>
      </c>
    </row>
    <row r="46">
      <c r="A46" s="5">
        <f>Raw_Data_SH!B46</f>
        <v/>
      </c>
      <c r="B46" s="40">
        <f>Raw_Data_SH!C46</f>
        <v/>
      </c>
      <c r="C46" s="18">
        <f>Raw_Data_SH!D46</f>
        <v/>
      </c>
      <c r="D46" s="17">
        <f>SUM(Raw_Data_SH!E46:J46)</f>
        <v/>
      </c>
      <c r="E46" s="42">
        <f>STDEVP(Raw_Data_SH!E46:J46)/AVERAGE(Raw_Data_SH!E46:J46)</f>
        <v/>
      </c>
    </row>
    <row r="47">
      <c r="A47" s="5">
        <f>Raw_Data_SH!B47</f>
        <v/>
      </c>
      <c r="B47" s="40">
        <f>Raw_Data_SH!C47</f>
        <v/>
      </c>
      <c r="C47" s="18">
        <f>Raw_Data_SH!D47</f>
        <v/>
      </c>
      <c r="D47" s="17">
        <f>SUM(Raw_Data_SH!E47:J47)</f>
        <v/>
      </c>
      <c r="E47" s="42">
        <f>STDEVP(Raw_Data_SH!E47:J47)/AVERAGE(Raw_Data_SH!E47:J47)</f>
        <v/>
      </c>
    </row>
    <row r="48">
      <c r="A48" s="5">
        <f>Raw_Data_SH!B48</f>
        <v/>
      </c>
      <c r="B48" s="40">
        <f>Raw_Data_SH!C48</f>
        <v/>
      </c>
      <c r="C48" s="18">
        <f>Raw_Data_SH!D48</f>
        <v/>
      </c>
      <c r="D48" s="17">
        <f>SUM(Raw_Data_SH!E48:J48)</f>
        <v/>
      </c>
      <c r="E48" s="42">
        <f>STDEVP(Raw_Data_SH!E48:J48)/AVERAGE(Raw_Data_SH!E48:J48)</f>
        <v/>
      </c>
    </row>
    <row r="49">
      <c r="A49" s="5">
        <f>Raw_Data_SH!B49</f>
        <v/>
      </c>
      <c r="B49" s="40">
        <f>Raw_Data_SH!C49</f>
        <v/>
      </c>
      <c r="C49" s="18">
        <f>Raw_Data_SH!D49</f>
        <v/>
      </c>
      <c r="D49" s="17">
        <f>SUM(Raw_Data_SH!E49:J49)</f>
        <v/>
      </c>
      <c r="E49" s="42">
        <f>STDEVP(Raw_Data_SH!E49:J49)/AVERAGE(Raw_Data_SH!E49:J49)</f>
        <v/>
      </c>
    </row>
    <row r="50">
      <c r="A50" s="5">
        <f>Raw_Data_SH!B50</f>
        <v/>
      </c>
      <c r="B50" s="40">
        <f>Raw_Data_SH!C50</f>
        <v/>
      </c>
      <c r="C50" s="18">
        <f>Raw_Data_SH!D50</f>
        <v/>
      </c>
      <c r="D50" s="17">
        <f>SUM(Raw_Data_SH!E50:J50)</f>
        <v/>
      </c>
      <c r="E50" s="42">
        <f>STDEVP(Raw_Data_SH!E50:J50)/AVERAGE(Raw_Data_SH!E50:J50)</f>
        <v/>
      </c>
    </row>
    <row r="51">
      <c r="A51" s="5">
        <f>Raw_Data_SH!B51</f>
        <v/>
      </c>
      <c r="B51" s="40">
        <f>Raw_Data_SH!C51</f>
        <v/>
      </c>
      <c r="C51" s="18">
        <f>Raw_Data_SH!D51</f>
        <v/>
      </c>
      <c r="D51" s="17">
        <f>SUM(Raw_Data_SH!E51:J51)</f>
        <v/>
      </c>
      <c r="E51" s="42">
        <f>STDEVP(Raw_Data_SH!E51:J51)/AVERAGE(Raw_Data_SH!E51:J51)</f>
        <v/>
      </c>
    </row>
    <row r="52">
      <c r="A52" s="5">
        <f>Raw_Data_SH!B52</f>
        <v/>
      </c>
      <c r="B52" s="40">
        <f>Raw_Data_SH!C52</f>
        <v/>
      </c>
      <c r="C52" s="18">
        <f>Raw_Data_SH!D52</f>
        <v/>
      </c>
      <c r="D52" s="17">
        <f>SUM(Raw_Data_SH!E52:J52)</f>
        <v/>
      </c>
      <c r="E52" s="42">
        <f>STDEVP(Raw_Data_SH!E52:J52)/AVERAGE(Raw_Data_SH!E52:J52)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SH_Hourly — agregat per jam: cv_hour, pr_proxy, suspicious</t>
        </is>
      </c>
    </row>
    <row r="2">
      <c r="A2" s="24" t="inlineStr">
        <is>
          <t>cv_hour = MEDIAN(CV_ts dlm jam). pr_proxy = AVERAGE(inv_total)/AVERAGE(POA) dlm jam. suspicious = cv_hour &lt; cv_threshold DAN pr_proxy &lt; pr_threshold (threshold di M2a_Shading).</t>
        </is>
      </c>
    </row>
    <row r="4">
      <c r="A4" s="10" t="inlineStr">
        <is>
          <t>hour</t>
        </is>
      </c>
      <c r="B4" s="10" t="inlineStr">
        <is>
          <t>AM/PM</t>
        </is>
      </c>
      <c r="C4" s="10" t="inlineStr">
        <is>
          <t>cv_hour</t>
        </is>
      </c>
      <c r="D4" s="10" t="inlineStr">
        <is>
          <t>pr_proxy</t>
        </is>
      </c>
      <c r="E4" s="10" t="inlineStr">
        <is>
          <t>mean_POA</t>
        </is>
      </c>
      <c r="F4" s="10" t="inlineStr">
        <is>
          <t>mean_inv</t>
        </is>
      </c>
      <c r="G4" s="10" t="inlineStr">
        <is>
          <t>n_samples</t>
        </is>
      </c>
      <c r="H4" s="10" t="inlineStr">
        <is>
          <t>suspicious</t>
        </is>
      </c>
    </row>
    <row r="5">
      <c r="A5" s="44" t="n">
        <v>8</v>
      </c>
      <c r="B5" s="5">
        <f>IF(A5&lt;cfg_sh_am_pm_split,"AM","PM")</f>
        <v/>
      </c>
      <c r="C5" s="42">
        <f>MEDIAN(Helpers_SH!E5:E10)</f>
        <v/>
      </c>
      <c r="D5" s="42">
        <f>AVERAGE(Helpers_SH!D5:D10)/MAX(AVERAGE(Helpers_SH!C5:C10),0.000001)</f>
        <v/>
      </c>
      <c r="E5" s="18">
        <f>AVERAGE(Helpers_SH!C5:C10)</f>
        <v/>
      </c>
      <c r="F5" s="17">
        <f>AVERAGE(Helpers_SH!D5:D10)</f>
        <v/>
      </c>
      <c r="G5" s="5">
        <f>COUNT(Helpers_SH!E5:E10)*6</f>
        <v/>
      </c>
      <c r="H5" s="5">
        <f>IF(AND(C5&lt;M2a_Shading!$B$7,D5&lt;M2a_Shading!$B$8),1,0)</f>
        <v/>
      </c>
    </row>
    <row r="6">
      <c r="A6" s="44" t="n">
        <v>9</v>
      </c>
      <c r="B6" s="5">
        <f>IF(A6&lt;cfg_sh_am_pm_split,"AM","PM")</f>
        <v/>
      </c>
      <c r="C6" s="42">
        <f>MEDIAN(Helpers_SH!E11:E16)</f>
        <v/>
      </c>
      <c r="D6" s="42">
        <f>AVERAGE(Helpers_SH!D11:D16)/MAX(AVERAGE(Helpers_SH!C11:C16),0.000001)</f>
        <v/>
      </c>
      <c r="E6" s="18">
        <f>AVERAGE(Helpers_SH!C11:C16)</f>
        <v/>
      </c>
      <c r="F6" s="17">
        <f>AVERAGE(Helpers_SH!D11:D16)</f>
        <v/>
      </c>
      <c r="G6" s="5">
        <f>COUNT(Helpers_SH!E11:E16)*6</f>
        <v/>
      </c>
      <c r="H6" s="5">
        <f>IF(AND(C6&lt;M2a_Shading!$B$7,D6&lt;M2a_Shading!$B$8),1,0)</f>
        <v/>
      </c>
    </row>
    <row r="7">
      <c r="A7" s="44" t="n">
        <v>10</v>
      </c>
      <c r="B7" s="5">
        <f>IF(A7&lt;cfg_sh_am_pm_split,"AM","PM")</f>
        <v/>
      </c>
      <c r="C7" s="42">
        <f>MEDIAN(Helpers_SH!E17:E22)</f>
        <v/>
      </c>
      <c r="D7" s="42">
        <f>AVERAGE(Helpers_SH!D17:D22)/MAX(AVERAGE(Helpers_SH!C17:C22),0.000001)</f>
        <v/>
      </c>
      <c r="E7" s="18">
        <f>AVERAGE(Helpers_SH!C17:C22)</f>
        <v/>
      </c>
      <c r="F7" s="17">
        <f>AVERAGE(Helpers_SH!D17:D22)</f>
        <v/>
      </c>
      <c r="G7" s="5">
        <f>COUNT(Helpers_SH!E17:E22)*6</f>
        <v/>
      </c>
      <c r="H7" s="5">
        <f>IF(AND(C7&lt;M2a_Shading!$B$7,D7&lt;M2a_Shading!$B$8),1,0)</f>
        <v/>
      </c>
    </row>
    <row r="8">
      <c r="A8" s="5" t="n">
        <v>11</v>
      </c>
      <c r="B8" s="5">
        <f>IF(A8&lt;cfg_sh_am_pm_split,"AM","PM")</f>
        <v/>
      </c>
      <c r="C8" s="42">
        <f>MEDIAN(Helpers_SH!E23:E28)</f>
        <v/>
      </c>
      <c r="D8" s="42">
        <f>AVERAGE(Helpers_SH!D23:D28)/MAX(AVERAGE(Helpers_SH!C23:C28),0.000001)</f>
        <v/>
      </c>
      <c r="E8" s="18">
        <f>AVERAGE(Helpers_SH!C23:C28)</f>
        <v/>
      </c>
      <c r="F8" s="17">
        <f>AVERAGE(Helpers_SH!D23:D28)</f>
        <v/>
      </c>
      <c r="G8" s="5">
        <f>COUNT(Helpers_SH!E23:E28)*6</f>
        <v/>
      </c>
      <c r="H8" s="5">
        <f>IF(AND(C8&lt;M2a_Shading!$B$7,D8&lt;M2a_Shading!$B$8),1,0)</f>
        <v/>
      </c>
    </row>
    <row r="9">
      <c r="A9" s="5" t="n">
        <v>12</v>
      </c>
      <c r="B9" s="5">
        <f>IF(A9&lt;cfg_sh_am_pm_split,"AM","PM")</f>
        <v/>
      </c>
      <c r="C9" s="42">
        <f>MEDIAN(Helpers_SH!E29:E34)</f>
        <v/>
      </c>
      <c r="D9" s="42">
        <f>AVERAGE(Helpers_SH!D29:D34)/MAX(AVERAGE(Helpers_SH!C29:C34),0.000001)</f>
        <v/>
      </c>
      <c r="E9" s="18">
        <f>AVERAGE(Helpers_SH!C29:C34)</f>
        <v/>
      </c>
      <c r="F9" s="17">
        <f>AVERAGE(Helpers_SH!D29:D34)</f>
        <v/>
      </c>
      <c r="G9" s="5">
        <f>COUNT(Helpers_SH!E29:E34)*6</f>
        <v/>
      </c>
      <c r="H9" s="5">
        <f>IF(AND(C9&lt;M2a_Shading!$B$7,D9&lt;M2a_Shading!$B$8),1,0)</f>
        <v/>
      </c>
    </row>
    <row r="10">
      <c r="A10" s="5" t="n">
        <v>13</v>
      </c>
      <c r="B10" s="5">
        <f>IF(A10&lt;cfg_sh_am_pm_split,"AM","PM")</f>
        <v/>
      </c>
      <c r="C10" s="42">
        <f>MEDIAN(Helpers_SH!E35:E40)</f>
        <v/>
      </c>
      <c r="D10" s="42">
        <f>AVERAGE(Helpers_SH!D35:D40)/MAX(AVERAGE(Helpers_SH!C35:C40),0.000001)</f>
        <v/>
      </c>
      <c r="E10" s="18">
        <f>AVERAGE(Helpers_SH!C35:C40)</f>
        <v/>
      </c>
      <c r="F10" s="17">
        <f>AVERAGE(Helpers_SH!D35:D40)</f>
        <v/>
      </c>
      <c r="G10" s="5">
        <f>COUNT(Helpers_SH!E35:E40)*6</f>
        <v/>
      </c>
      <c r="H10" s="5">
        <f>IF(AND(C10&lt;M2a_Shading!$B$7,D10&lt;M2a_Shading!$B$8),1,0)</f>
        <v/>
      </c>
    </row>
    <row r="11">
      <c r="A11" s="5" t="n">
        <v>14</v>
      </c>
      <c r="B11" s="5">
        <f>IF(A11&lt;cfg_sh_am_pm_split,"AM","PM")</f>
        <v/>
      </c>
      <c r="C11" s="42">
        <f>MEDIAN(Helpers_SH!E41:E46)</f>
        <v/>
      </c>
      <c r="D11" s="42">
        <f>AVERAGE(Helpers_SH!D41:D46)/MAX(AVERAGE(Helpers_SH!C41:C46),0.000001)</f>
        <v/>
      </c>
      <c r="E11" s="18">
        <f>AVERAGE(Helpers_SH!C41:C46)</f>
        <v/>
      </c>
      <c r="F11" s="17">
        <f>AVERAGE(Helpers_SH!D41:D46)</f>
        <v/>
      </c>
      <c r="G11" s="5">
        <f>COUNT(Helpers_SH!E41:E46)*6</f>
        <v/>
      </c>
      <c r="H11" s="5">
        <f>IF(AND(C11&lt;M2a_Shading!$B$7,D11&lt;M2a_Shading!$B$8),1,0)</f>
        <v/>
      </c>
    </row>
    <row r="12">
      <c r="A12" s="5" t="n">
        <v>15</v>
      </c>
      <c r="B12" s="5">
        <f>IF(A12&lt;cfg_sh_am_pm_split,"AM","PM")</f>
        <v/>
      </c>
      <c r="C12" s="42">
        <f>MEDIAN(Helpers_SH!E47:E52)</f>
        <v/>
      </c>
      <c r="D12" s="42">
        <f>AVERAGE(Helpers_SH!D47:D52)/MAX(AVERAGE(Helpers_SH!C47:C52),0.000001)</f>
        <v/>
      </c>
      <c r="E12" s="18">
        <f>AVERAGE(Helpers_SH!C47:C52)</f>
        <v/>
      </c>
      <c r="F12" s="17">
        <f>AVERAGE(Helpers_SH!D47:D52)</f>
        <v/>
      </c>
      <c r="G12" s="5">
        <f>COUNT(Helpers_SH!E47:E52)*6</f>
        <v/>
      </c>
      <c r="H12" s="5">
        <f>IF(AND(C12&lt;M2a_Shading!$B$7,D12&lt;M2a_Shading!$B$8),1,0)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</cols>
  <sheetData>
    <row r="1">
      <c r="A1" s="23" t="inlineStr">
        <is>
          <t>M2a_Shading — keputusan per inverter (median ref + asimetri diurnal)</t>
        </is>
      </c>
    </row>
    <row r="2">
      <c r="A2" s="24" t="inlineStr">
        <is>
          <t>cv_median/pr_median = MEDIAN cv_hour/pr_proxy lintas jam. threshold = mult·median. asimetri AM/PM membedakan terrain shadow (asimetris) vs soiling/awan (uniform). severity = frac·0.7 + asim·0.3.</t>
        </is>
      </c>
    </row>
    <row r="3">
      <c r="A3" s="24" t="inlineStr">
        <is>
          <t>IKN: lat −0.99, panel hadap utara → performa AM≈PM saat normal; suspicious terkonsentrasi AM/PM = sinyal shading terrain.</t>
        </is>
      </c>
    </row>
    <row r="4">
      <c r="A4" s="10" t="inlineStr">
        <is>
          <t>metric</t>
        </is>
      </c>
      <c r="B4" s="10" t="inlineStr">
        <is>
          <t>value</t>
        </is>
      </c>
    </row>
    <row r="5">
      <c r="A5" s="5" t="inlineStr">
        <is>
          <t>cv_median</t>
        </is>
      </c>
      <c r="B5" s="42">
        <f>MEDIAN(SH_Hourly!C5:C12)</f>
        <v/>
      </c>
    </row>
    <row r="6">
      <c r="A6" s="5" t="inlineStr">
        <is>
          <t>pr_median</t>
        </is>
      </c>
      <c r="B6" s="42">
        <f>MEDIAN(SH_Hourly!D5:D12)</f>
        <v/>
      </c>
    </row>
    <row r="7">
      <c r="A7" s="5" t="inlineStr">
        <is>
          <t>cv_threshold</t>
        </is>
      </c>
      <c r="B7" s="42">
        <f>cfg_sh_cv_mult*B5</f>
        <v/>
      </c>
    </row>
    <row r="8">
      <c r="A8" s="5" t="inlineStr">
        <is>
          <t>pr_threshold</t>
        </is>
      </c>
      <c r="B8" s="42">
        <f>cfg_sh_pr_mult*B6</f>
        <v/>
      </c>
    </row>
    <row r="9">
      <c r="A9" s="5" t="inlineStr">
        <is>
          <t>total_hours</t>
        </is>
      </c>
      <c r="B9" s="5">
        <f>COUNT(SH_Hourly!C5:C12)</f>
        <v/>
      </c>
    </row>
    <row r="10">
      <c r="A10" s="5" t="inlineStr">
        <is>
          <t>n_suspicious</t>
        </is>
      </c>
      <c r="B10" s="5">
        <f>SUM(SH_Hourly!H5:H12)</f>
        <v/>
      </c>
    </row>
    <row r="11">
      <c r="A11" s="5" t="inlineStr">
        <is>
          <t>n_am</t>
        </is>
      </c>
      <c r="B11" s="5">
        <f>SUMPRODUCT(SH_Hourly!H5:H12*(SH_Hourly!A5:A12&lt;cfg_sh_am_pm_split))</f>
        <v/>
      </c>
    </row>
    <row r="12">
      <c r="A12" s="5" t="inlineStr">
        <is>
          <t>n_pm</t>
        </is>
      </c>
      <c r="B12" s="5">
        <f>B10-B11</f>
        <v/>
      </c>
    </row>
    <row r="13">
      <c r="A13" s="5" t="inlineStr">
        <is>
          <t>asymmetry</t>
        </is>
      </c>
      <c r="B13" s="17">
        <f>ABS(B11-B12)/MAX(B11+B12,1)</f>
        <v/>
      </c>
    </row>
    <row r="14">
      <c r="A14" s="5" t="inlineStr">
        <is>
          <t>fault_type</t>
        </is>
      </c>
      <c r="B14" s="5">
        <f>IF(B10=0,"no_shading",IF(B13&lt;cfg_sh_asymmetry_thr,"shading_uniform",IF(B11&gt;B12,"shading_morning","shading_afternoon")))</f>
        <v/>
      </c>
    </row>
    <row r="15">
      <c r="A15" s="5" t="inlineStr">
        <is>
          <t>frac_suspicious</t>
        </is>
      </c>
      <c r="B15" s="17">
        <f>B10/B9</f>
        <v/>
      </c>
    </row>
    <row r="16">
      <c r="A16" s="5" t="inlineStr">
        <is>
          <t>score</t>
        </is>
      </c>
      <c r="B16" s="31">
        <f>B15*0.7+B13*0.3</f>
        <v/>
      </c>
    </row>
    <row r="17">
      <c r="A17" s="5" t="inlineStr">
        <is>
          <t>severity</t>
        </is>
      </c>
      <c r="B17" s="5">
        <f>IF(B10=0,"NORMAL",IF(B16&gt;=0.6,"CRITICAL",IF(B16&gt;=0.4,"HIGH",IF(B16&gt;=0.2,"MEDIUM","INFO"))))</f>
        <v/>
      </c>
    </row>
    <row r="18">
      <c r="A18" s="5" t="inlineStr">
        <is>
          <t>confidence</t>
        </is>
      </c>
      <c r="B18" s="18">
        <f>50+B13*50</f>
        <v/>
      </c>
    </row>
  </sheetData>
  <conditionalFormatting sqref="B17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7">
      <formula>"MEDIUM"</formula>
    </cfRule>
    <cfRule type="cellIs" priority="4" operator="equal" dxfId="8">
      <formula>"INFO"</formula>
    </cfRule>
    <cfRule type="cellIs" priority="5" operator="equal" dxfId="4">
      <formula>"NORMAL"</formula>
    </cfRule>
  </conditionalFormatting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</cols>
  <sheetData>
    <row r="1">
      <c r="A1" s="23" t="inlineStr">
        <is>
          <t>Raw_Data_SO — energi &amp; insolasi harian site (12 hari demo)</t>
        </is>
      </c>
    </row>
    <row r="2">
      <c r="A2" s="24" t="inlineStr">
        <is>
          <t>energy_daily (kWh) = Σ daya inverter × Δt (Riemann). insolation_daily (kWh/m²) = Σ POA/1000 × Δt. Production butuh ≥90 hari (SRR); 12 hari di sini hanya ilustrasi metrik PR harian.</t>
        </is>
      </c>
    </row>
    <row r="3">
      <c r="A3" s="24" t="inlineStr">
        <is>
          <t>Bangun dari pv_pipeline.baseline.BaselineAccumulator (simpan data NORMAL harian). Ganti dengan data aktual.</t>
        </is>
      </c>
    </row>
    <row r="4">
      <c r="A4" s="10" t="inlineStr">
        <is>
          <t>date</t>
        </is>
      </c>
      <c r="B4" s="10" t="inlineStr">
        <is>
          <t>energy_daily (kWh)</t>
        </is>
      </c>
      <c r="C4" s="10" t="inlineStr">
        <is>
          <t>insolation_daily (kWh/m²)</t>
        </is>
      </c>
    </row>
    <row r="5">
      <c r="A5" s="58" t="n">
        <v>46054</v>
      </c>
      <c r="B5" s="46" t="n">
        <v>310000</v>
      </c>
      <c r="C5" s="15" t="n">
        <v>5.4</v>
      </c>
    </row>
    <row r="6">
      <c r="A6" s="58" t="n">
        <v>46055</v>
      </c>
      <c r="B6" s="46" t="n">
        <v>318000</v>
      </c>
      <c r="C6" s="15" t="n">
        <v>5.5</v>
      </c>
    </row>
    <row r="7">
      <c r="A7" s="58" t="n">
        <v>46056</v>
      </c>
      <c r="B7" s="46" t="n">
        <v>305000</v>
      </c>
      <c r="C7" s="15" t="n">
        <v>5.3</v>
      </c>
    </row>
    <row r="8">
      <c r="A8" s="58" t="n">
        <v>46057</v>
      </c>
      <c r="B8" s="46" t="n">
        <v>322000</v>
      </c>
      <c r="C8" s="15" t="n">
        <v>5.6</v>
      </c>
    </row>
    <row r="9">
      <c r="A9" s="58" t="n">
        <v>46058</v>
      </c>
      <c r="B9" s="46" t="n">
        <v>315000</v>
      </c>
      <c r="C9" s="15" t="n">
        <v>5.5</v>
      </c>
    </row>
    <row r="10">
      <c r="A10" s="58" t="n">
        <v>46059</v>
      </c>
      <c r="B10" s="46" t="n">
        <v>308000</v>
      </c>
      <c r="C10" s="15" t="n">
        <v>5.35</v>
      </c>
    </row>
    <row r="11">
      <c r="A11" s="58" t="n">
        <v>46060</v>
      </c>
      <c r="B11" s="46" t="n">
        <v>320000</v>
      </c>
      <c r="C11" s="15" t="n">
        <v>5.55</v>
      </c>
    </row>
    <row r="12">
      <c r="A12" s="58" t="n">
        <v>46061</v>
      </c>
      <c r="B12" s="46" t="n">
        <v>312000</v>
      </c>
      <c r="C12" s="15" t="n">
        <v>5.45</v>
      </c>
    </row>
    <row r="13">
      <c r="A13" s="58" t="n">
        <v>46062</v>
      </c>
      <c r="B13" s="46" t="n">
        <v>317000</v>
      </c>
      <c r="C13" s="15" t="n">
        <v>5.5</v>
      </c>
    </row>
    <row r="14">
      <c r="A14" s="58" t="n">
        <v>46063</v>
      </c>
      <c r="B14" s="46" t="n">
        <v>309000</v>
      </c>
      <c r="C14" s="15" t="n">
        <v>5.4</v>
      </c>
    </row>
    <row r="15">
      <c r="A15" s="58" t="n">
        <v>46064</v>
      </c>
      <c r="B15" s="46" t="n">
        <v>314000</v>
      </c>
      <c r="C15" s="15" t="n">
        <v>5.45</v>
      </c>
    </row>
    <row r="16">
      <c r="A16" s="58" t="n">
        <v>46065</v>
      </c>
      <c r="B16" s="46" t="n">
        <v>321000</v>
      </c>
      <c r="C16" s="15" t="n">
        <v>5.6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23" t="inlineStr">
        <is>
          <t>Helpers_SO — PR harian (IEC 61724-1) + avg_daily_kwh</t>
        </is>
      </c>
    </row>
    <row r="2">
      <c r="A2" s="24" t="inlineStr">
        <is>
          <t>PR_daily = energy_daily / (insolation_daily × capacity_kwp). avg_daily_kwh = AVERAGE(energy) (proxy tail-30 hari).</t>
        </is>
      </c>
    </row>
    <row r="4">
      <c r="A4" s="10" t="inlineStr">
        <is>
          <t>date</t>
        </is>
      </c>
      <c r="B4" s="10" t="inlineStr">
        <is>
          <t>energy_daily</t>
        </is>
      </c>
      <c r="C4" s="10" t="inlineStr">
        <is>
          <t>insolation_daily</t>
        </is>
      </c>
      <c r="D4" s="10" t="inlineStr">
        <is>
          <t>PR_daily</t>
        </is>
      </c>
    </row>
    <row r="5">
      <c r="A5" s="58">
        <f>Raw_Data_SO!A5</f>
        <v/>
      </c>
      <c r="B5" s="46">
        <f>Raw_Data_SO!B5</f>
        <v/>
      </c>
      <c r="C5" s="15">
        <f>Raw_Data_SO!C5</f>
        <v/>
      </c>
      <c r="D5" s="31">
        <f>Raw_Data_SO!B5/(Raw_Data_SO!C5*cfg_so_capacity_kwp)</f>
        <v/>
      </c>
    </row>
    <row r="6">
      <c r="A6" s="58">
        <f>Raw_Data_SO!A6</f>
        <v/>
      </c>
      <c r="B6" s="46">
        <f>Raw_Data_SO!B6</f>
        <v/>
      </c>
      <c r="C6" s="15">
        <f>Raw_Data_SO!C6</f>
        <v/>
      </c>
      <c r="D6" s="31">
        <f>Raw_Data_SO!B6/(Raw_Data_SO!C6*cfg_so_capacity_kwp)</f>
        <v/>
      </c>
    </row>
    <row r="7">
      <c r="A7" s="58">
        <f>Raw_Data_SO!A7</f>
        <v/>
      </c>
      <c r="B7" s="46">
        <f>Raw_Data_SO!B7</f>
        <v/>
      </c>
      <c r="C7" s="15">
        <f>Raw_Data_SO!C7</f>
        <v/>
      </c>
      <c r="D7" s="31">
        <f>Raw_Data_SO!B7/(Raw_Data_SO!C7*cfg_so_capacity_kwp)</f>
        <v/>
      </c>
    </row>
    <row r="8">
      <c r="A8" s="58">
        <f>Raw_Data_SO!A8</f>
        <v/>
      </c>
      <c r="B8" s="46">
        <f>Raw_Data_SO!B8</f>
        <v/>
      </c>
      <c r="C8" s="15">
        <f>Raw_Data_SO!C8</f>
        <v/>
      </c>
      <c r="D8" s="31">
        <f>Raw_Data_SO!B8/(Raw_Data_SO!C8*cfg_so_capacity_kwp)</f>
        <v/>
      </c>
    </row>
    <row r="9">
      <c r="A9" s="58">
        <f>Raw_Data_SO!A9</f>
        <v/>
      </c>
      <c r="B9" s="46">
        <f>Raw_Data_SO!B9</f>
        <v/>
      </c>
      <c r="C9" s="15">
        <f>Raw_Data_SO!C9</f>
        <v/>
      </c>
      <c r="D9" s="31">
        <f>Raw_Data_SO!B9/(Raw_Data_SO!C9*cfg_so_capacity_kwp)</f>
        <v/>
      </c>
    </row>
    <row r="10">
      <c r="A10" s="58">
        <f>Raw_Data_SO!A10</f>
        <v/>
      </c>
      <c r="B10" s="46">
        <f>Raw_Data_SO!B10</f>
        <v/>
      </c>
      <c r="C10" s="15">
        <f>Raw_Data_SO!C10</f>
        <v/>
      </c>
      <c r="D10" s="31">
        <f>Raw_Data_SO!B10/(Raw_Data_SO!C10*cfg_so_capacity_kwp)</f>
        <v/>
      </c>
    </row>
    <row r="11">
      <c r="A11" s="58">
        <f>Raw_Data_SO!A11</f>
        <v/>
      </c>
      <c r="B11" s="46">
        <f>Raw_Data_SO!B11</f>
        <v/>
      </c>
      <c r="C11" s="15">
        <f>Raw_Data_SO!C11</f>
        <v/>
      </c>
      <c r="D11" s="31">
        <f>Raw_Data_SO!B11/(Raw_Data_SO!C11*cfg_so_capacity_kwp)</f>
        <v/>
      </c>
    </row>
    <row r="12">
      <c r="A12" s="58">
        <f>Raw_Data_SO!A12</f>
        <v/>
      </c>
      <c r="B12" s="46">
        <f>Raw_Data_SO!B12</f>
        <v/>
      </c>
      <c r="C12" s="15">
        <f>Raw_Data_SO!C12</f>
        <v/>
      </c>
      <c r="D12" s="31">
        <f>Raw_Data_SO!B12/(Raw_Data_SO!C12*cfg_so_capacity_kwp)</f>
        <v/>
      </c>
    </row>
    <row r="13">
      <c r="A13" s="58">
        <f>Raw_Data_SO!A13</f>
        <v/>
      </c>
      <c r="B13" s="46">
        <f>Raw_Data_SO!B13</f>
        <v/>
      </c>
      <c r="C13" s="15">
        <f>Raw_Data_SO!C13</f>
        <v/>
      </c>
      <c r="D13" s="31">
        <f>Raw_Data_SO!B13/(Raw_Data_SO!C13*cfg_so_capacity_kwp)</f>
        <v/>
      </c>
    </row>
    <row r="14">
      <c r="A14" s="58">
        <f>Raw_Data_SO!A14</f>
        <v/>
      </c>
      <c r="B14" s="46">
        <f>Raw_Data_SO!B14</f>
        <v/>
      </c>
      <c r="C14" s="15">
        <f>Raw_Data_SO!C14</f>
        <v/>
      </c>
      <c r="D14" s="31">
        <f>Raw_Data_SO!B14/(Raw_Data_SO!C14*cfg_so_capacity_kwp)</f>
        <v/>
      </c>
    </row>
    <row r="15">
      <c r="A15" s="58">
        <f>Raw_Data_SO!A15</f>
        <v/>
      </c>
      <c r="B15" s="46">
        <f>Raw_Data_SO!B15</f>
        <v/>
      </c>
      <c r="C15" s="15">
        <f>Raw_Data_SO!C15</f>
        <v/>
      </c>
      <c r="D15" s="31">
        <f>Raw_Data_SO!B15/(Raw_Data_SO!C15*cfg_so_capacity_kwp)</f>
        <v/>
      </c>
    </row>
    <row r="16">
      <c r="A16" s="58">
        <f>Raw_Data_SO!A16</f>
        <v/>
      </c>
      <c r="B16" s="46">
        <f>Raw_Data_SO!B16</f>
        <v/>
      </c>
      <c r="C16" s="15">
        <f>Raw_Data_SO!C16</f>
        <v/>
      </c>
      <c r="D16" s="31">
        <f>Raw_Data_SO!B16/(Raw_Data_SO!C16*cfg_so_capacity_kwp)</f>
        <v/>
      </c>
    </row>
    <row r="18">
      <c r="A18" s="5" t="inlineStr">
        <is>
          <t>avg_daily_kwh</t>
        </is>
      </c>
      <c r="B18" s="46">
        <f>AVERAGE(B5:B16)</f>
        <v/>
      </c>
    </row>
    <row r="19">
      <c r="A19" s="5" t="inlineStr">
        <is>
          <t>PR_mean</t>
        </is>
      </c>
      <c r="B19" s="31">
        <f>AVERAGE(D5:D16)</f>
        <v/>
      </c>
    </row>
    <row r="20">
      <c r="A20" s="5" t="inlineStr">
        <is>
          <t>n_days_sample</t>
        </is>
      </c>
      <c r="B20" s="5">
        <f>COUNT(B5:B16)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3" max="3"/>
    <col width="22" customWidth="1" min="6" max="6"/>
  </cols>
  <sheetData>
    <row r="1">
      <c r="A1" s="23" t="inlineStr">
        <is>
          <t>SO_Economics — kalkulator cleaning ROI (hilir SRR; LIVE)</t>
        </is>
      </c>
    </row>
    <row r="2">
      <c r="A2" s="24" t="inlineStr">
        <is>
          <t>soiling_ratio (sr) = OUTPUT rdtools.soiling_srr() Monte-Carlo — INPUT di sini (di-highlight), TIDAK dihitung Excel.</t>
        </is>
      </c>
    </row>
    <row r="3">
      <c r="A3" s="24" t="inlineStr">
        <is>
          <t>Hilir sr SEMUA live: p_loss=1−sr; daily_loss=avg_daily_kwh·tarif·p_loss; payback=biaya/daily_loss; severity &amp; recommend.</t>
        </is>
      </c>
    </row>
    <row r="4">
      <c r="A4" s="5" t="inlineStr">
        <is>
          <t>avg_daily_kwh (dari Helpers)</t>
        </is>
      </c>
      <c r="B4" s="46">
        <f>Helpers_SO!$B$18</f>
        <v/>
      </c>
    </row>
    <row r="5">
      <c r="A5" s="5" t="inlineStr">
        <is>
          <t>n_days_assumed</t>
        </is>
      </c>
      <c r="B5" s="5" t="n">
        <v>120</v>
      </c>
    </row>
    <row r="6">
      <c r="A6" s="5" t="inlineStr">
        <is>
          <t>data_status (gate)</t>
        </is>
      </c>
      <c r="B6" s="5">
        <f>IF(B5&lt;cfg_so_min_days,"insufficient_data","ok")</f>
        <v/>
      </c>
    </row>
    <row r="7">
      <c r="A7" s="5" t="inlineStr">
        <is>
          <t>cleaning_cost_idr / tariff / payback_thr</t>
        </is>
      </c>
      <c r="B7" s="5">
        <f>cfg_so_cleaning_cost&amp;" / "&amp;cfg_so_tariff&amp;" / "&amp;cfg_so_payback_thr</f>
        <v/>
      </c>
    </row>
    <row r="9">
      <c r="A9" s="10" t="inlineStr">
        <is>
          <t>soiling_ratio (sr) [INPUT]</t>
        </is>
      </c>
      <c r="B9" s="10" t="inlineStr">
        <is>
          <t>p_loss</t>
        </is>
      </c>
      <c r="C9" s="10" t="inlineStr">
        <is>
          <t>daily_loss_idr</t>
        </is>
      </c>
      <c r="D9" s="10" t="inlineStr">
        <is>
          <t>payback_days</t>
        </is>
      </c>
      <c r="E9" s="10" t="inlineStr">
        <is>
          <t>recommend</t>
        </is>
      </c>
      <c r="F9" s="10" t="inlineStr">
        <is>
          <t>fault_type</t>
        </is>
      </c>
      <c r="G9" s="10" t="inlineStr">
        <is>
          <t>severity</t>
        </is>
      </c>
      <c r="H9" s="10" t="inlineStr">
        <is>
          <t>confidence</t>
        </is>
      </c>
    </row>
    <row r="10">
      <c r="A10" s="26" t="n">
        <v>0.85</v>
      </c>
      <c r="B10" s="31">
        <f>1-A10</f>
        <v/>
      </c>
      <c r="C10" s="46">
        <f>$B$4*cfg_so_tariff*B10</f>
        <v/>
      </c>
      <c r="D10" s="17">
        <f>IF(AND(C10&gt;0,cfg_so_cleaning_cost&gt;0),cfg_so_cleaning_cost/C10,1E+99)</f>
        <v/>
      </c>
      <c r="E10" s="5">
        <f>IF(D10&lt;cfg_so_payback_thr,"YES","no")</f>
        <v/>
      </c>
      <c r="F10" s="5">
        <f>IF(E10="YES","cleaning_recommended","soiling_detected")</f>
        <v/>
      </c>
      <c r="G10" s="5">
        <f>IF(AND(B10&gt;=0.1,D10&lt;cfg_so_payback_thr/3),"CRITICAL",IF(AND(B10&gt;=0.05,D10&lt;cfg_so_payback_thr),"HIGH",IF(AND(B10&gt;=0.02,D10&lt;2*cfg_so_payback_thr),"MEDIUM","INFO")))</f>
        <v/>
      </c>
      <c r="H10" s="18">
        <f>50+A10*50</f>
        <v/>
      </c>
    </row>
    <row r="11">
      <c r="A11" s="26" t="n">
        <v>0.92</v>
      </c>
      <c r="B11" s="31">
        <f>1-A11</f>
        <v/>
      </c>
      <c r="C11" s="46">
        <f>$B$4*cfg_so_tariff*B11</f>
        <v/>
      </c>
      <c r="D11" s="17">
        <f>IF(AND(C11&gt;0,cfg_so_cleaning_cost&gt;0),cfg_so_cleaning_cost/C11,1E+99)</f>
        <v/>
      </c>
      <c r="E11" s="5">
        <f>IF(D11&lt;cfg_so_payback_thr,"YES","no")</f>
        <v/>
      </c>
      <c r="F11" s="5">
        <f>IF(E11="YES","cleaning_recommended","soiling_detected")</f>
        <v/>
      </c>
      <c r="G11" s="5">
        <f>IF(AND(B11&gt;=0.1,D11&lt;cfg_so_payback_thr/3),"CRITICAL",IF(AND(B11&gt;=0.05,D11&lt;cfg_so_payback_thr),"HIGH",IF(AND(B11&gt;=0.02,D11&lt;2*cfg_so_payback_thr),"MEDIUM","INFO")))</f>
        <v/>
      </c>
      <c r="H11" s="18">
        <f>50+A11*50</f>
        <v/>
      </c>
    </row>
    <row r="12">
      <c r="A12" s="26" t="n">
        <v>0.97</v>
      </c>
      <c r="B12" s="31">
        <f>1-A12</f>
        <v/>
      </c>
      <c r="C12" s="46">
        <f>$B$4*cfg_so_tariff*B12</f>
        <v/>
      </c>
      <c r="D12" s="17">
        <f>IF(AND(C12&gt;0,cfg_so_cleaning_cost&gt;0),cfg_so_cleaning_cost/C12,1E+99)</f>
        <v/>
      </c>
      <c r="E12" s="5">
        <f>IF(D12&lt;cfg_so_payback_thr,"YES","no")</f>
        <v/>
      </c>
      <c r="F12" s="5">
        <f>IF(E12="YES","cleaning_recommended","soiling_detected")</f>
        <v/>
      </c>
      <c r="G12" s="5">
        <f>IF(AND(B12&gt;=0.1,D12&lt;cfg_so_payback_thr/3),"CRITICAL",IF(AND(B12&gt;=0.05,D12&lt;cfg_so_payback_thr),"HIGH",IF(AND(B12&gt;=0.02,D12&lt;2*cfg_so_payback_thr),"MEDIUM","INFO")))</f>
        <v/>
      </c>
      <c r="H12" s="18">
        <f>50+A12*50</f>
        <v/>
      </c>
    </row>
    <row r="13">
      <c r="A13" s="26" t="n">
        <v>0.995</v>
      </c>
      <c r="B13" s="31">
        <f>1-A13</f>
        <v/>
      </c>
      <c r="C13" s="46">
        <f>$B$4*cfg_so_tariff*B13</f>
        <v/>
      </c>
      <c r="D13" s="17">
        <f>IF(AND(C13&gt;0,cfg_so_cleaning_cost&gt;0),cfg_so_cleaning_cost/C13,1E+99)</f>
        <v/>
      </c>
      <c r="E13" s="5">
        <f>IF(D13&lt;cfg_so_payback_thr,"YES","no")</f>
        <v/>
      </c>
      <c r="F13" s="5">
        <f>IF(E13="YES","cleaning_recommended","soiling_detected")</f>
        <v/>
      </c>
      <c r="G13" s="5">
        <f>IF(AND(B13&gt;=0.1,D13&lt;cfg_so_payback_thr/3),"CRITICAL",IF(AND(B13&gt;=0.05,D13&lt;cfg_so_payback_thr),"HIGH",IF(AND(B13&gt;=0.02,D13&lt;2*cfg_so_payback_thr),"MEDIUM","INFO")))</f>
        <v/>
      </c>
      <c r="H13" s="18">
        <f>50+A13*50</f>
        <v/>
      </c>
    </row>
  </sheetData>
  <conditionalFormatting sqref="G10:G13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7">
      <formula>"MEDIUM"</formula>
    </cfRule>
    <cfRule type="cellIs" priority="4" operator="equal" dxfId="8">
      <formula>"INFO"</formula>
    </cfRule>
  </conditionalFormatting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23" t="inlineStr">
        <is>
          <t>SO_Summary — status &amp; caveat (mirror EconomicAnalysis)</t>
        </is>
      </c>
    </row>
    <row r="2">
      <c r="A2" s="24" t="inlineStr">
        <is>
          <t>Skeleton: dengan data &lt; min_days, run() emit 'insufficient_data' (INFO) dan SKIP SRR. Vocab fault: insufficient_data, insufficient_dependency, rdtools_error, soiling_detected, cleaning_recommended.</t>
        </is>
      </c>
    </row>
    <row r="4">
      <c r="A4" s="10" t="inlineStr">
        <is>
          <t>item</t>
        </is>
      </c>
      <c r="B4" s="10" t="inlineStr">
        <is>
          <t>value</t>
        </is>
      </c>
    </row>
    <row r="5">
      <c r="A5" s="5" t="inlineStr">
        <is>
          <t>n_days_assumed</t>
        </is>
      </c>
      <c r="B5" s="5">
        <f>SO_Economics!B5</f>
        <v/>
      </c>
    </row>
    <row r="6">
      <c r="A6" s="5" t="inlineStr">
        <is>
          <t>min_days_required</t>
        </is>
      </c>
      <c r="B6" s="5">
        <f>cfg_so_min_days</f>
        <v/>
      </c>
    </row>
    <row r="7">
      <c r="A7" s="5" t="inlineStr">
        <is>
          <t>status</t>
        </is>
      </c>
      <c r="B7" s="5">
        <f>SO_Economics!B6</f>
        <v/>
      </c>
    </row>
    <row r="8">
      <c r="A8" s="5" t="inlineStr">
        <is>
          <t>avg_daily_kwh</t>
        </is>
      </c>
      <c r="B8" s="46">
        <f>Helpers_SO!$B$18</f>
        <v/>
      </c>
    </row>
    <row r="9">
      <c r="A9" s="5" t="inlineStr">
        <is>
          <t>n_cleaning_recommended</t>
        </is>
      </c>
      <c r="B9" s="5">
        <f>COUNTIF(SO_Economics!E10:E13,"YES")</f>
        <v/>
      </c>
    </row>
    <row r="10">
      <c r="A10" s="5" t="inlineStr">
        <is>
          <t>SRR engine</t>
        </is>
      </c>
      <c r="B10" s="5">
        <f>"rdtools.soiling_srr (Monte-Carlo 1000 reps) — NOT Excel-reproducible"</f>
        <v/>
      </c>
    </row>
    <row r="11">
      <c r="A11" s="5" t="inlineStr">
        <is>
          <t>note</t>
        </is>
      </c>
      <c r="B11" s="5">
        <f>"soiling_ratio adalah INPUT (output SRR); semua ekonomi hilir = live &amp; verified"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23" t="inlineStr">
        <is>
          <t>Raw_Data_MR — arus per-string 1 inverter (2 MPPT group) + POA</t>
        </is>
      </c>
    </row>
    <row r="2">
      <c r="A2" s="24" t="inlineStr">
        <is>
          <t>Model SUN2000-330KTL-H1 (WB03-10): MPPT1=[PV1-4], MPPT2=[PV5-9] — persis config/strings.yaml.</t>
        </is>
      </c>
    </row>
    <row r="3">
      <c r="A3" s="24" t="inlineStr">
        <is>
          <t>Arus konstan per string (sun di-faktorkan keluar; ratio invarian POA). PV9 glitch 3 langkah (baris 9-11).</t>
        </is>
      </c>
    </row>
    <row r="4">
      <c r="A4" s="10" t="inlineStr">
        <is>
          <t>timestamp</t>
        </is>
      </c>
      <c r="B4" s="10" t="inlineStr">
        <is>
          <t>POA (W/m^2)</t>
        </is>
      </c>
      <c r="C4" s="10" t="inlineStr">
        <is>
          <t>PV1 input current(A)</t>
        </is>
      </c>
      <c r="D4" s="10" t="inlineStr">
        <is>
          <t>PV2 input current(A)</t>
        </is>
      </c>
      <c r="E4" s="10" t="inlineStr">
        <is>
          <t>PV3 input current(A)</t>
        </is>
      </c>
      <c r="F4" s="10" t="inlineStr">
        <is>
          <t>PV4 input current(A)</t>
        </is>
      </c>
      <c r="G4" s="10" t="inlineStr">
        <is>
          <t>PV5 input current(A)</t>
        </is>
      </c>
      <c r="H4" s="10" t="inlineStr">
        <is>
          <t>PV6 input current(A)</t>
        </is>
      </c>
      <c r="I4" s="10" t="inlineStr">
        <is>
          <t>PV7 input current(A)</t>
        </is>
      </c>
      <c r="J4" s="10" t="inlineStr">
        <is>
          <t>PV8 input current(A)</t>
        </is>
      </c>
      <c r="K4" s="10" t="inlineStr">
        <is>
          <t>PV9 input current(A)</t>
        </is>
      </c>
    </row>
    <row r="5">
      <c r="A5" s="40" t="n">
        <v>46156.5</v>
      </c>
      <c r="B5" s="5" t="n">
        <v>900</v>
      </c>
      <c r="C5" s="15" t="n">
        <v>13</v>
      </c>
      <c r="D5" s="15" t="n">
        <v>12.8</v>
      </c>
      <c r="E5" s="15" t="n">
        <v>10.3</v>
      </c>
      <c r="F5" s="15" t="n">
        <v>5.6</v>
      </c>
      <c r="G5" s="15" t="n">
        <v>13</v>
      </c>
      <c r="H5" s="15" t="n">
        <v>12.8</v>
      </c>
      <c r="I5" s="15" t="n">
        <v>12.9</v>
      </c>
      <c r="J5" s="15" t="n">
        <v>0</v>
      </c>
      <c r="K5" s="15" t="n">
        <v>12.85</v>
      </c>
    </row>
    <row r="6">
      <c r="A6" s="40" t="n">
        <v>46156.50347222222</v>
      </c>
      <c r="B6" s="5" t="n">
        <v>900</v>
      </c>
      <c r="C6" s="15" t="n">
        <v>13</v>
      </c>
      <c r="D6" s="15" t="n">
        <v>12.8</v>
      </c>
      <c r="E6" s="15" t="n">
        <v>10.3</v>
      </c>
      <c r="F6" s="15" t="n">
        <v>5.6</v>
      </c>
      <c r="G6" s="15" t="n">
        <v>13</v>
      </c>
      <c r="H6" s="15" t="n">
        <v>12.8</v>
      </c>
      <c r="I6" s="15" t="n">
        <v>12.9</v>
      </c>
      <c r="J6" s="15" t="n">
        <v>0</v>
      </c>
      <c r="K6" s="15" t="n">
        <v>12.85</v>
      </c>
    </row>
    <row r="7">
      <c r="A7" s="40" t="n">
        <v>46156.50694444445</v>
      </c>
      <c r="B7" s="5" t="n">
        <v>900</v>
      </c>
      <c r="C7" s="15" t="n">
        <v>13</v>
      </c>
      <c r="D7" s="15" t="n">
        <v>12.8</v>
      </c>
      <c r="E7" s="15" t="n">
        <v>10.3</v>
      </c>
      <c r="F7" s="15" t="n">
        <v>5.6</v>
      </c>
      <c r="G7" s="15" t="n">
        <v>13</v>
      </c>
      <c r="H7" s="15" t="n">
        <v>12.8</v>
      </c>
      <c r="I7" s="15" t="n">
        <v>12.9</v>
      </c>
      <c r="J7" s="15" t="n">
        <v>0</v>
      </c>
      <c r="K7" s="15" t="n">
        <v>12.85</v>
      </c>
    </row>
    <row r="8">
      <c r="A8" s="40" t="n">
        <v>46156.51041666666</v>
      </c>
      <c r="B8" s="5" t="n">
        <v>900</v>
      </c>
      <c r="C8" s="15" t="n">
        <v>13</v>
      </c>
      <c r="D8" s="15" t="n">
        <v>12.8</v>
      </c>
      <c r="E8" s="15" t="n">
        <v>10.3</v>
      </c>
      <c r="F8" s="15" t="n">
        <v>5.6</v>
      </c>
      <c r="G8" s="15" t="n">
        <v>13</v>
      </c>
      <c r="H8" s="15" t="n">
        <v>12.8</v>
      </c>
      <c r="I8" s="15" t="n">
        <v>12.9</v>
      </c>
      <c r="J8" s="15" t="n">
        <v>0</v>
      </c>
      <c r="K8" s="15" t="n">
        <v>12.85</v>
      </c>
    </row>
    <row r="9">
      <c r="A9" s="40" t="n">
        <v>46156.51388888889</v>
      </c>
      <c r="B9" s="5" t="n">
        <v>900</v>
      </c>
      <c r="C9" s="15" t="n">
        <v>13</v>
      </c>
      <c r="D9" s="15" t="n">
        <v>12.8</v>
      </c>
      <c r="E9" s="15" t="n">
        <v>10.3</v>
      </c>
      <c r="F9" s="15" t="n">
        <v>5.6</v>
      </c>
      <c r="G9" s="15" t="n">
        <v>13</v>
      </c>
      <c r="H9" s="15" t="n">
        <v>12.8</v>
      </c>
      <c r="I9" s="15" t="n">
        <v>12.9</v>
      </c>
      <c r="J9" s="15" t="n">
        <v>0</v>
      </c>
      <c r="K9" s="15" t="n">
        <v>3</v>
      </c>
    </row>
    <row r="10">
      <c r="A10" s="40" t="n">
        <v>46156.51736111111</v>
      </c>
      <c r="B10" s="5" t="n">
        <v>900</v>
      </c>
      <c r="C10" s="15" t="n">
        <v>13</v>
      </c>
      <c r="D10" s="15" t="n">
        <v>12.8</v>
      </c>
      <c r="E10" s="15" t="n">
        <v>10.3</v>
      </c>
      <c r="F10" s="15" t="n">
        <v>5.6</v>
      </c>
      <c r="G10" s="15" t="n">
        <v>13</v>
      </c>
      <c r="H10" s="15" t="n">
        <v>12.8</v>
      </c>
      <c r="I10" s="15" t="n">
        <v>12.9</v>
      </c>
      <c r="J10" s="15" t="n">
        <v>0</v>
      </c>
      <c r="K10" s="15" t="n">
        <v>3</v>
      </c>
    </row>
    <row r="11">
      <c r="A11" s="40" t="n">
        <v>46156.52083333334</v>
      </c>
      <c r="B11" s="5" t="n">
        <v>900</v>
      </c>
      <c r="C11" s="15" t="n">
        <v>13</v>
      </c>
      <c r="D11" s="15" t="n">
        <v>12.8</v>
      </c>
      <c r="E11" s="15" t="n">
        <v>10.3</v>
      </c>
      <c r="F11" s="15" t="n">
        <v>5.6</v>
      </c>
      <c r="G11" s="15" t="n">
        <v>13</v>
      </c>
      <c r="H11" s="15" t="n">
        <v>12.8</v>
      </c>
      <c r="I11" s="15" t="n">
        <v>12.9</v>
      </c>
      <c r="J11" s="15" t="n">
        <v>0</v>
      </c>
      <c r="K11" s="15" t="n">
        <v>3</v>
      </c>
    </row>
    <row r="12">
      <c r="A12" s="40" t="n">
        <v>46156.52430555555</v>
      </c>
      <c r="B12" s="5" t="n">
        <v>900</v>
      </c>
      <c r="C12" s="15" t="n">
        <v>13</v>
      </c>
      <c r="D12" s="15" t="n">
        <v>12.8</v>
      </c>
      <c r="E12" s="15" t="n">
        <v>10.3</v>
      </c>
      <c r="F12" s="15" t="n">
        <v>5.6</v>
      </c>
      <c r="G12" s="15" t="n">
        <v>13</v>
      </c>
      <c r="H12" s="15" t="n">
        <v>12.8</v>
      </c>
      <c r="I12" s="15" t="n">
        <v>12.9</v>
      </c>
      <c r="J12" s="15" t="n">
        <v>0</v>
      </c>
      <c r="K12" s="15" t="n">
        <v>12.85</v>
      </c>
    </row>
    <row r="13">
      <c r="A13" s="40" t="n">
        <v>46156.52777777778</v>
      </c>
      <c r="B13" s="5" t="n">
        <v>900</v>
      </c>
      <c r="C13" s="15" t="n">
        <v>13</v>
      </c>
      <c r="D13" s="15" t="n">
        <v>12.8</v>
      </c>
      <c r="E13" s="15" t="n">
        <v>10.3</v>
      </c>
      <c r="F13" s="15" t="n">
        <v>5.6</v>
      </c>
      <c r="G13" s="15" t="n">
        <v>13</v>
      </c>
      <c r="H13" s="15" t="n">
        <v>12.8</v>
      </c>
      <c r="I13" s="15" t="n">
        <v>12.9</v>
      </c>
      <c r="J13" s="15" t="n">
        <v>0</v>
      </c>
      <c r="K13" s="15" t="n">
        <v>12.85</v>
      </c>
    </row>
    <row r="14">
      <c r="A14" s="40" t="n">
        <v>46156.53125</v>
      </c>
      <c r="B14" s="5" t="n">
        <v>900</v>
      </c>
      <c r="C14" s="15" t="n">
        <v>13</v>
      </c>
      <c r="D14" s="15" t="n">
        <v>12.8</v>
      </c>
      <c r="E14" s="15" t="n">
        <v>10.3</v>
      </c>
      <c r="F14" s="15" t="n">
        <v>5.6</v>
      </c>
      <c r="G14" s="15" t="n">
        <v>13</v>
      </c>
      <c r="H14" s="15" t="n">
        <v>12.8</v>
      </c>
      <c r="I14" s="15" t="n">
        <v>12.9</v>
      </c>
      <c r="J14" s="15" t="n">
        <v>0</v>
      </c>
      <c r="K14" s="15" t="n">
        <v>12.85</v>
      </c>
    </row>
    <row r="15">
      <c r="A15" s="40" t="n">
        <v>46156.53472222222</v>
      </c>
      <c r="B15" s="5" t="n">
        <v>900</v>
      </c>
      <c r="C15" s="15" t="n">
        <v>13</v>
      </c>
      <c r="D15" s="15" t="n">
        <v>12.8</v>
      </c>
      <c r="E15" s="15" t="n">
        <v>10.3</v>
      </c>
      <c r="F15" s="15" t="n">
        <v>5.6</v>
      </c>
      <c r="G15" s="15" t="n">
        <v>13</v>
      </c>
      <c r="H15" s="15" t="n">
        <v>12.8</v>
      </c>
      <c r="I15" s="15" t="n">
        <v>12.9</v>
      </c>
      <c r="J15" s="15" t="n">
        <v>0</v>
      </c>
      <c r="K15" s="15" t="n">
        <v>12.85</v>
      </c>
    </row>
    <row r="16">
      <c r="A16" s="40" t="n">
        <v>46156.53819444445</v>
      </c>
      <c r="B16" s="5" t="n">
        <v>900</v>
      </c>
      <c r="C16" s="15" t="n">
        <v>13</v>
      </c>
      <c r="D16" s="15" t="n">
        <v>12.8</v>
      </c>
      <c r="E16" s="15" t="n">
        <v>10.3</v>
      </c>
      <c r="F16" s="15" t="n">
        <v>5.6</v>
      </c>
      <c r="G16" s="15" t="n">
        <v>13</v>
      </c>
      <c r="H16" s="15" t="n">
        <v>12.8</v>
      </c>
      <c r="I16" s="15" t="n">
        <v>12.9</v>
      </c>
      <c r="J16" s="15" t="n">
        <v>0</v>
      </c>
      <c r="K16" s="15" t="n">
        <v>12.85</v>
      </c>
    </row>
    <row r="17">
      <c r="A17" s="40" t="n">
        <v>46156.54166666666</v>
      </c>
      <c r="B17" s="5" t="n">
        <v>900</v>
      </c>
      <c r="C17" s="15" t="n">
        <v>13</v>
      </c>
      <c r="D17" s="15" t="n">
        <v>12.8</v>
      </c>
      <c r="E17" s="15" t="n">
        <v>10.3</v>
      </c>
      <c r="F17" s="15" t="n">
        <v>5.6</v>
      </c>
      <c r="G17" s="15" t="n">
        <v>13</v>
      </c>
      <c r="H17" s="15" t="n">
        <v>12.8</v>
      </c>
      <c r="I17" s="15" t="n">
        <v>12.9</v>
      </c>
      <c r="J17" s="15" t="n">
        <v>0</v>
      </c>
      <c r="K17" s="15" t="n">
        <v>12.85</v>
      </c>
    </row>
    <row r="18">
      <c r="A18" s="40" t="n">
        <v>46156.54513888889</v>
      </c>
      <c r="B18" s="5" t="n">
        <v>900</v>
      </c>
      <c r="C18" s="15" t="n">
        <v>13</v>
      </c>
      <c r="D18" s="15" t="n">
        <v>12.8</v>
      </c>
      <c r="E18" s="15" t="n">
        <v>10.3</v>
      </c>
      <c r="F18" s="15" t="n">
        <v>5.6</v>
      </c>
      <c r="G18" s="15" t="n">
        <v>13</v>
      </c>
      <c r="H18" s="15" t="n">
        <v>12.8</v>
      </c>
      <c r="I18" s="15" t="n">
        <v>12.9</v>
      </c>
      <c r="J18" s="15" t="n">
        <v>0</v>
      </c>
      <c r="K18" s="15" t="n">
        <v>12.85</v>
      </c>
    </row>
    <row r="19">
      <c r="A19" s="40" t="n">
        <v>46156.54861111111</v>
      </c>
      <c r="B19" s="5" t="n">
        <v>900</v>
      </c>
      <c r="C19" s="15" t="n">
        <v>13</v>
      </c>
      <c r="D19" s="15" t="n">
        <v>12.8</v>
      </c>
      <c r="E19" s="15" t="n">
        <v>10.3</v>
      </c>
      <c r="F19" s="15" t="n">
        <v>5.6</v>
      </c>
      <c r="G19" s="15" t="n">
        <v>13</v>
      </c>
      <c r="H19" s="15" t="n">
        <v>12.8</v>
      </c>
      <c r="I19" s="15" t="n">
        <v>12.9</v>
      </c>
      <c r="J19" s="15" t="n">
        <v>0</v>
      </c>
      <c r="K19" s="15" t="n">
        <v>12.85</v>
      </c>
    </row>
    <row r="20">
      <c r="A20" s="40" t="n">
        <v>46156.55208333334</v>
      </c>
      <c r="B20" s="5" t="n">
        <v>900</v>
      </c>
      <c r="C20" s="15" t="n">
        <v>13</v>
      </c>
      <c r="D20" s="15" t="n">
        <v>12.8</v>
      </c>
      <c r="E20" s="15" t="n">
        <v>10.3</v>
      </c>
      <c r="F20" s="15" t="n">
        <v>5.6</v>
      </c>
      <c r="G20" s="15" t="n">
        <v>13</v>
      </c>
      <c r="H20" s="15" t="n">
        <v>12.8</v>
      </c>
      <c r="I20" s="15" t="n">
        <v>12.9</v>
      </c>
      <c r="J20" s="15" t="n">
        <v>0</v>
      </c>
      <c r="K20" s="15" t="n">
        <v>12.85</v>
      </c>
    </row>
    <row r="21">
      <c r="A21" s="40" t="n">
        <v>46156.55555555555</v>
      </c>
      <c r="B21" s="5" t="n">
        <v>900</v>
      </c>
      <c r="C21" s="15" t="n">
        <v>13</v>
      </c>
      <c r="D21" s="15" t="n">
        <v>12.8</v>
      </c>
      <c r="E21" s="15" t="n">
        <v>10.3</v>
      </c>
      <c r="F21" s="15" t="n">
        <v>5.6</v>
      </c>
      <c r="G21" s="15" t="n">
        <v>13</v>
      </c>
      <c r="H21" s="15" t="n">
        <v>12.8</v>
      </c>
      <c r="I21" s="15" t="n">
        <v>12.9</v>
      </c>
      <c r="J21" s="15" t="n">
        <v>0</v>
      </c>
      <c r="K21" s="15" t="n">
        <v>12.85</v>
      </c>
    </row>
    <row r="22">
      <c r="A22" s="40" t="n">
        <v>46156.55902777778</v>
      </c>
      <c r="B22" s="5" t="n">
        <v>900</v>
      </c>
      <c r="C22" s="15" t="n">
        <v>13</v>
      </c>
      <c r="D22" s="15" t="n">
        <v>12.8</v>
      </c>
      <c r="E22" s="15" t="n">
        <v>10.3</v>
      </c>
      <c r="F22" s="15" t="n">
        <v>5.6</v>
      </c>
      <c r="G22" s="15" t="n">
        <v>13</v>
      </c>
      <c r="H22" s="15" t="n">
        <v>12.8</v>
      </c>
      <c r="I22" s="15" t="n">
        <v>12.9</v>
      </c>
      <c r="J22" s="15" t="n">
        <v>0</v>
      </c>
      <c r="K22" s="15" t="n">
        <v>12.85</v>
      </c>
    </row>
    <row r="23">
      <c r="A23" s="40" t="n">
        <v>46156.5625</v>
      </c>
      <c r="B23" s="5" t="n">
        <v>900</v>
      </c>
      <c r="C23" s="15" t="n">
        <v>13</v>
      </c>
      <c r="D23" s="15" t="n">
        <v>12.8</v>
      </c>
      <c r="E23" s="15" t="n">
        <v>10.3</v>
      </c>
      <c r="F23" s="15" t="n">
        <v>5.6</v>
      </c>
      <c r="G23" s="15" t="n">
        <v>13</v>
      </c>
      <c r="H23" s="15" t="n">
        <v>12.8</v>
      </c>
      <c r="I23" s="15" t="n">
        <v>12.9</v>
      </c>
      <c r="J23" s="15" t="n">
        <v>0</v>
      </c>
      <c r="K23" s="15" t="n">
        <v>12.85</v>
      </c>
    </row>
    <row r="24">
      <c r="A24" s="40" t="n">
        <v>46156.56597222222</v>
      </c>
      <c r="B24" s="5" t="n">
        <v>900</v>
      </c>
      <c r="C24" s="15" t="n">
        <v>13</v>
      </c>
      <c r="D24" s="15" t="n">
        <v>12.8</v>
      </c>
      <c r="E24" s="15" t="n">
        <v>10.3</v>
      </c>
      <c r="F24" s="15" t="n">
        <v>5.6</v>
      </c>
      <c r="G24" s="15" t="n">
        <v>13</v>
      </c>
      <c r="H24" s="15" t="n">
        <v>12.8</v>
      </c>
      <c r="I24" s="15" t="n">
        <v>12.9</v>
      </c>
      <c r="J24" s="15" t="n">
        <v>0</v>
      </c>
      <c r="K24" s="15" t="n">
        <v>12.85</v>
      </c>
    </row>
    <row r="25">
      <c r="A25" s="40" t="n">
        <v>46156.56944444445</v>
      </c>
      <c r="B25" s="5" t="n">
        <v>900</v>
      </c>
      <c r="C25" s="15" t="n">
        <v>13</v>
      </c>
      <c r="D25" s="15" t="n">
        <v>12.8</v>
      </c>
      <c r="E25" s="15" t="n">
        <v>10.3</v>
      </c>
      <c r="F25" s="15" t="n">
        <v>5.6</v>
      </c>
      <c r="G25" s="15" t="n">
        <v>13</v>
      </c>
      <c r="H25" s="15" t="n">
        <v>12.8</v>
      </c>
      <c r="I25" s="15" t="n">
        <v>12.9</v>
      </c>
      <c r="J25" s="15" t="n">
        <v>0</v>
      </c>
      <c r="K25" s="15" t="n">
        <v>12.85</v>
      </c>
    </row>
    <row r="26">
      <c r="A26" s="40" t="n">
        <v>46156.57291666666</v>
      </c>
      <c r="B26" s="5" t="n">
        <v>900</v>
      </c>
      <c r="C26" s="15" t="n">
        <v>13</v>
      </c>
      <c r="D26" s="15" t="n">
        <v>12.8</v>
      </c>
      <c r="E26" s="15" t="n">
        <v>10.3</v>
      </c>
      <c r="F26" s="15" t="n">
        <v>5.6</v>
      </c>
      <c r="G26" s="15" t="n">
        <v>13</v>
      </c>
      <c r="H26" s="15" t="n">
        <v>12.8</v>
      </c>
      <c r="I26" s="15" t="n">
        <v>12.9</v>
      </c>
      <c r="J26" s="15" t="n">
        <v>0</v>
      </c>
      <c r="K26" s="15" t="n">
        <v>12.85</v>
      </c>
    </row>
    <row r="27">
      <c r="A27" s="40" t="n">
        <v>46156.57638888889</v>
      </c>
      <c r="B27" s="5" t="n">
        <v>900</v>
      </c>
      <c r="C27" s="15" t="n">
        <v>13</v>
      </c>
      <c r="D27" s="15" t="n">
        <v>12.8</v>
      </c>
      <c r="E27" s="15" t="n">
        <v>10.3</v>
      </c>
      <c r="F27" s="15" t="n">
        <v>5.6</v>
      </c>
      <c r="G27" s="15" t="n">
        <v>13</v>
      </c>
      <c r="H27" s="15" t="n">
        <v>12.8</v>
      </c>
      <c r="I27" s="15" t="n">
        <v>12.9</v>
      </c>
      <c r="J27" s="15" t="n">
        <v>0</v>
      </c>
      <c r="K27" s="15" t="n">
        <v>12.85</v>
      </c>
    </row>
    <row r="28">
      <c r="A28" s="40" t="n">
        <v>46156.57986111111</v>
      </c>
      <c r="B28" s="5" t="n">
        <v>900</v>
      </c>
      <c r="C28" s="15" t="n">
        <v>13</v>
      </c>
      <c r="D28" s="15" t="n">
        <v>12.8</v>
      </c>
      <c r="E28" s="15" t="n">
        <v>10.3</v>
      </c>
      <c r="F28" s="15" t="n">
        <v>5.6</v>
      </c>
      <c r="G28" s="15" t="n">
        <v>13</v>
      </c>
      <c r="H28" s="15" t="n">
        <v>12.8</v>
      </c>
      <c r="I28" s="15" t="n">
        <v>12.9</v>
      </c>
      <c r="J28" s="15" t="n">
        <v>0</v>
      </c>
      <c r="K28" s="15" t="n">
        <v>12.85</v>
      </c>
    </row>
    <row r="29">
      <c r="A29" s="40" t="n">
        <v>46156.75694444445</v>
      </c>
      <c r="B29" s="5" t="n">
        <v>120</v>
      </c>
      <c r="C29" s="15" t="n">
        <v>13</v>
      </c>
      <c r="D29" s="15" t="n">
        <v>12.8</v>
      </c>
      <c r="E29" s="15" t="n">
        <v>10.3</v>
      </c>
      <c r="F29" s="15" t="n">
        <v>5.6</v>
      </c>
      <c r="G29" s="15" t="n">
        <v>13</v>
      </c>
      <c r="H29" s="15" t="n">
        <v>12.8</v>
      </c>
      <c r="I29" s="15" t="n">
        <v>12.9</v>
      </c>
      <c r="J29" s="15" t="n">
        <v>0</v>
      </c>
      <c r="K29" s="15" t="n">
        <v>12.85</v>
      </c>
    </row>
    <row r="30">
      <c r="A30" s="40" t="n">
        <v>46156.76388888889</v>
      </c>
      <c r="B30" s="5" t="n">
        <v>120</v>
      </c>
      <c r="C30" s="15" t="n">
        <v>13</v>
      </c>
      <c r="D30" s="15" t="n">
        <v>12.8</v>
      </c>
      <c r="E30" s="15" t="n">
        <v>10.3</v>
      </c>
      <c r="F30" s="15" t="n">
        <v>5.6</v>
      </c>
      <c r="G30" s="15" t="n">
        <v>13</v>
      </c>
      <c r="H30" s="15" t="n">
        <v>12.8</v>
      </c>
      <c r="I30" s="15" t="n">
        <v>12.9</v>
      </c>
      <c r="J30" s="15" t="n">
        <v>0</v>
      </c>
      <c r="K30" s="15" t="n">
        <v>12.85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M30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</cols>
  <sheetData>
    <row r="1">
      <c r="A1" s="23" t="inlineStr">
        <is>
          <t>Helpers_MR — daylight + median partner se-MPPT + ratio + qualifying + running-consec</t>
        </is>
      </c>
    </row>
    <row r="2">
      <c r="A2" s="24" t="inlineStr">
        <is>
          <t>daylight = (POA&gt;cfg_mr_poa_threshold) &amp; (POA&gt;cfg_mr_poa_floor)  [sub-gate POA saja; ephemeris di luar sheet].</t>
        </is>
      </c>
    </row>
    <row r="3">
      <c r="A3" s="24" t="inlineStr">
        <is>
          <t>median partner = MEDIAN(cell partner se-MPPT)  -&gt; meniru median(axis=1) atas sibling (mppt_ratio.py baris 274-276).</t>
        </is>
      </c>
    </row>
    <row r="4">
      <c r="A4" s="10" t="inlineStr">
        <is>
          <t>timestamp</t>
        </is>
      </c>
      <c r="B4" s="10" t="inlineStr">
        <is>
          <t>POA</t>
        </is>
      </c>
      <c r="C4" s="10" t="inlineStr">
        <is>
          <t>daylight</t>
        </is>
      </c>
      <c r="D4" s="10" t="inlineStr">
        <is>
          <t>med_partner_PV1</t>
        </is>
      </c>
      <c r="E4" s="10" t="inlineStr">
        <is>
          <t>med_partner_PV2</t>
        </is>
      </c>
      <c r="F4" s="10" t="inlineStr">
        <is>
          <t>med_partner_PV3</t>
        </is>
      </c>
      <c r="G4" s="10" t="inlineStr">
        <is>
          <t>med_partner_PV4</t>
        </is>
      </c>
      <c r="H4" s="10" t="inlineStr">
        <is>
          <t>med_partner_PV5</t>
        </is>
      </c>
      <c r="I4" s="10" t="inlineStr">
        <is>
          <t>med_partner_PV6</t>
        </is>
      </c>
      <c r="J4" s="10" t="inlineStr">
        <is>
          <t>med_partner_PV7</t>
        </is>
      </c>
      <c r="K4" s="10" t="inlineStr">
        <is>
          <t>med_partner_PV8</t>
        </is>
      </c>
      <c r="L4" s="10" t="inlineStr">
        <is>
          <t>med_partner_PV9</t>
        </is>
      </c>
      <c r="M4" s="10" t="inlineStr">
        <is>
          <t>ratio_PV1</t>
        </is>
      </c>
      <c r="N4" s="10" t="inlineStr">
        <is>
          <t>ratio_PV2</t>
        </is>
      </c>
      <c r="O4" s="10" t="inlineStr">
        <is>
          <t>ratio_PV3</t>
        </is>
      </c>
      <c r="P4" s="10" t="inlineStr">
        <is>
          <t>ratio_PV4</t>
        </is>
      </c>
      <c r="Q4" s="10" t="inlineStr">
        <is>
          <t>ratio_PV5</t>
        </is>
      </c>
      <c r="R4" s="10" t="inlineStr">
        <is>
          <t>ratio_PV6</t>
        </is>
      </c>
      <c r="S4" s="10" t="inlineStr">
        <is>
          <t>ratio_PV7</t>
        </is>
      </c>
      <c r="T4" s="10" t="inlineStr">
        <is>
          <t>ratio_PV8</t>
        </is>
      </c>
      <c r="U4" s="10" t="inlineStr">
        <is>
          <t>ratio_PV9</t>
        </is>
      </c>
      <c r="V4" s="10" t="inlineStr">
        <is>
          <t>qual_PV1</t>
        </is>
      </c>
      <c r="W4" s="10" t="inlineStr">
        <is>
          <t>qual_PV2</t>
        </is>
      </c>
      <c r="X4" s="10" t="inlineStr">
        <is>
          <t>qual_PV3</t>
        </is>
      </c>
      <c r="Y4" s="10" t="inlineStr">
        <is>
          <t>qual_PV4</t>
        </is>
      </c>
      <c r="Z4" s="10" t="inlineStr">
        <is>
          <t>qual_PV5</t>
        </is>
      </c>
      <c r="AA4" s="10" t="inlineStr">
        <is>
          <t>qual_PV6</t>
        </is>
      </c>
      <c r="AB4" s="10" t="inlineStr">
        <is>
          <t>qual_PV7</t>
        </is>
      </c>
      <c r="AC4" s="10" t="inlineStr">
        <is>
          <t>qual_PV8</t>
        </is>
      </c>
      <c r="AD4" s="10" t="inlineStr">
        <is>
          <t>qual_PV9</t>
        </is>
      </c>
      <c r="AE4" s="10" t="inlineStr">
        <is>
          <t>consec_PV1</t>
        </is>
      </c>
      <c r="AF4" s="10" t="inlineStr">
        <is>
          <t>consec_PV2</t>
        </is>
      </c>
      <c r="AG4" s="10" t="inlineStr">
        <is>
          <t>consec_PV3</t>
        </is>
      </c>
      <c r="AH4" s="10" t="inlineStr">
        <is>
          <t>consec_PV4</t>
        </is>
      </c>
      <c r="AI4" s="10" t="inlineStr">
        <is>
          <t>consec_PV5</t>
        </is>
      </c>
      <c r="AJ4" s="10" t="inlineStr">
        <is>
          <t>consec_PV6</t>
        </is>
      </c>
      <c r="AK4" s="10" t="inlineStr">
        <is>
          <t>consec_PV7</t>
        </is>
      </c>
      <c r="AL4" s="10" t="inlineStr">
        <is>
          <t>consec_PV8</t>
        </is>
      </c>
      <c r="AM4" s="10" t="inlineStr">
        <is>
          <t>consec_PV9</t>
        </is>
      </c>
    </row>
    <row r="5">
      <c r="A5" s="40">
        <f>Raw_Data_MR!A5</f>
        <v/>
      </c>
      <c r="B5" s="5">
        <f>Raw_Data_MR!B5</f>
        <v/>
      </c>
      <c r="C5" s="5">
        <f>IF(AND(B5&gt;cfg_mr_poa_threshold_wm2,B5&gt;cfg_mr_poa_floor_wm2),1,0)</f>
        <v/>
      </c>
      <c r="D5" s="17">
        <f>MEDIAN(Raw_Data_MR!D5,Raw_Data_MR!E5,Raw_Data_MR!F5)</f>
        <v/>
      </c>
      <c r="E5" s="17">
        <f>MEDIAN(Raw_Data_MR!C5,Raw_Data_MR!E5,Raw_Data_MR!F5)</f>
        <v/>
      </c>
      <c r="F5" s="17">
        <f>MEDIAN(Raw_Data_MR!C5,Raw_Data_MR!D5,Raw_Data_MR!F5)</f>
        <v/>
      </c>
      <c r="G5" s="17">
        <f>MEDIAN(Raw_Data_MR!C5,Raw_Data_MR!D5,Raw_Data_MR!E5)</f>
        <v/>
      </c>
      <c r="H5" s="17">
        <f>MEDIAN(Raw_Data_MR!H5,Raw_Data_MR!I5,Raw_Data_MR!J5,Raw_Data_MR!K5)</f>
        <v/>
      </c>
      <c r="I5" s="17">
        <f>MEDIAN(Raw_Data_MR!G5,Raw_Data_MR!I5,Raw_Data_MR!J5,Raw_Data_MR!K5)</f>
        <v/>
      </c>
      <c r="J5" s="17">
        <f>MEDIAN(Raw_Data_MR!G5,Raw_Data_MR!H5,Raw_Data_MR!J5,Raw_Data_MR!K5)</f>
        <v/>
      </c>
      <c r="K5" s="17">
        <f>MEDIAN(Raw_Data_MR!G5,Raw_Data_MR!H5,Raw_Data_MR!I5,Raw_Data_MR!K5)</f>
        <v/>
      </c>
      <c r="L5" s="17">
        <f>MEDIAN(Raw_Data_MR!G5,Raw_Data_MR!H5,Raw_Data_MR!I5,Raw_Data_MR!J5)</f>
        <v/>
      </c>
      <c r="M5" s="31">
        <f>Raw_Data_MR!C5/MAX(D5,cfg_mr_partner_clip)</f>
        <v/>
      </c>
      <c r="N5" s="31">
        <f>Raw_Data_MR!D5/MAX(E5,cfg_mr_partner_clip)</f>
        <v/>
      </c>
      <c r="O5" s="31">
        <f>Raw_Data_MR!E5/MAX(F5,cfg_mr_partner_clip)</f>
        <v/>
      </c>
      <c r="P5" s="31">
        <f>Raw_Data_MR!F5/MAX(G5,cfg_mr_partner_clip)</f>
        <v/>
      </c>
      <c r="Q5" s="31">
        <f>Raw_Data_MR!G5/MAX(H5,cfg_mr_partner_clip)</f>
        <v/>
      </c>
      <c r="R5" s="31">
        <f>Raw_Data_MR!H5/MAX(I5,cfg_mr_partner_clip)</f>
        <v/>
      </c>
      <c r="S5" s="31">
        <f>Raw_Data_MR!I5/MAX(J5,cfg_mr_partner_clip)</f>
        <v/>
      </c>
      <c r="T5" s="31">
        <f>Raw_Data_MR!J5/MAX(K5,cfg_mr_partner_clip)</f>
        <v/>
      </c>
      <c r="U5" s="31">
        <f>Raw_Data_MR!K5/MAX(L5,cfg_mr_partner_clip)</f>
        <v/>
      </c>
      <c r="V5" s="5">
        <f>IF(AND(M5&lt;cfg_mr_ratio_threshold,$C5=1),1,0)</f>
        <v/>
      </c>
      <c r="W5" s="5">
        <f>IF(AND(N5&lt;cfg_mr_ratio_threshold,$C5=1),1,0)</f>
        <v/>
      </c>
      <c r="X5" s="5">
        <f>IF(AND(O5&lt;cfg_mr_ratio_threshold,$C5=1),1,0)</f>
        <v/>
      </c>
      <c r="Y5" s="5">
        <f>IF(AND(P5&lt;cfg_mr_ratio_threshold,$C5=1),1,0)</f>
        <v/>
      </c>
      <c r="Z5" s="5">
        <f>IF(AND(Q5&lt;cfg_mr_ratio_threshold,$C5=1),1,0)</f>
        <v/>
      </c>
      <c r="AA5" s="5">
        <f>IF(AND(R5&lt;cfg_mr_ratio_threshold,$C5=1),1,0)</f>
        <v/>
      </c>
      <c r="AB5" s="5">
        <f>IF(AND(S5&lt;cfg_mr_ratio_threshold,$C5=1),1,0)</f>
        <v/>
      </c>
      <c r="AC5" s="5">
        <f>IF(AND(T5&lt;cfg_mr_ratio_threshold,$C5=1),1,0)</f>
        <v/>
      </c>
      <c r="AD5" s="5">
        <f>IF(AND(U5&lt;cfg_mr_ratio_threshold,$C5=1),1,0)</f>
        <v/>
      </c>
      <c r="AE5" s="5">
        <f>V5</f>
        <v/>
      </c>
      <c r="AF5" s="5">
        <f>W5</f>
        <v/>
      </c>
      <c r="AG5" s="5">
        <f>X5</f>
        <v/>
      </c>
      <c r="AH5" s="5">
        <f>Y5</f>
        <v/>
      </c>
      <c r="AI5" s="5">
        <f>Z5</f>
        <v/>
      </c>
      <c r="AJ5" s="5">
        <f>AA5</f>
        <v/>
      </c>
      <c r="AK5" s="5">
        <f>AB5</f>
        <v/>
      </c>
      <c r="AL5" s="5">
        <f>AC5</f>
        <v/>
      </c>
      <c r="AM5" s="5">
        <f>AD5</f>
        <v/>
      </c>
    </row>
    <row r="6">
      <c r="A6" s="40">
        <f>Raw_Data_MR!A6</f>
        <v/>
      </c>
      <c r="B6" s="5">
        <f>Raw_Data_MR!B6</f>
        <v/>
      </c>
      <c r="C6" s="5">
        <f>IF(AND(B6&gt;cfg_mr_poa_threshold_wm2,B6&gt;cfg_mr_poa_floor_wm2),1,0)</f>
        <v/>
      </c>
      <c r="D6" s="17">
        <f>MEDIAN(Raw_Data_MR!D6,Raw_Data_MR!E6,Raw_Data_MR!F6)</f>
        <v/>
      </c>
      <c r="E6" s="17">
        <f>MEDIAN(Raw_Data_MR!C6,Raw_Data_MR!E6,Raw_Data_MR!F6)</f>
        <v/>
      </c>
      <c r="F6" s="17">
        <f>MEDIAN(Raw_Data_MR!C6,Raw_Data_MR!D6,Raw_Data_MR!F6)</f>
        <v/>
      </c>
      <c r="G6" s="17">
        <f>MEDIAN(Raw_Data_MR!C6,Raw_Data_MR!D6,Raw_Data_MR!E6)</f>
        <v/>
      </c>
      <c r="H6" s="17">
        <f>MEDIAN(Raw_Data_MR!H6,Raw_Data_MR!I6,Raw_Data_MR!J6,Raw_Data_MR!K6)</f>
        <v/>
      </c>
      <c r="I6" s="17">
        <f>MEDIAN(Raw_Data_MR!G6,Raw_Data_MR!I6,Raw_Data_MR!J6,Raw_Data_MR!K6)</f>
        <v/>
      </c>
      <c r="J6" s="17">
        <f>MEDIAN(Raw_Data_MR!G6,Raw_Data_MR!H6,Raw_Data_MR!J6,Raw_Data_MR!K6)</f>
        <v/>
      </c>
      <c r="K6" s="17">
        <f>MEDIAN(Raw_Data_MR!G6,Raw_Data_MR!H6,Raw_Data_MR!I6,Raw_Data_MR!K6)</f>
        <v/>
      </c>
      <c r="L6" s="17">
        <f>MEDIAN(Raw_Data_MR!G6,Raw_Data_MR!H6,Raw_Data_MR!I6,Raw_Data_MR!J6)</f>
        <v/>
      </c>
      <c r="M6" s="31">
        <f>Raw_Data_MR!C6/MAX(D6,cfg_mr_partner_clip)</f>
        <v/>
      </c>
      <c r="N6" s="31">
        <f>Raw_Data_MR!D6/MAX(E6,cfg_mr_partner_clip)</f>
        <v/>
      </c>
      <c r="O6" s="31">
        <f>Raw_Data_MR!E6/MAX(F6,cfg_mr_partner_clip)</f>
        <v/>
      </c>
      <c r="P6" s="31">
        <f>Raw_Data_MR!F6/MAX(G6,cfg_mr_partner_clip)</f>
        <v/>
      </c>
      <c r="Q6" s="31">
        <f>Raw_Data_MR!G6/MAX(H6,cfg_mr_partner_clip)</f>
        <v/>
      </c>
      <c r="R6" s="31">
        <f>Raw_Data_MR!H6/MAX(I6,cfg_mr_partner_clip)</f>
        <v/>
      </c>
      <c r="S6" s="31">
        <f>Raw_Data_MR!I6/MAX(J6,cfg_mr_partner_clip)</f>
        <v/>
      </c>
      <c r="T6" s="31">
        <f>Raw_Data_MR!J6/MAX(K6,cfg_mr_partner_clip)</f>
        <v/>
      </c>
      <c r="U6" s="31">
        <f>Raw_Data_MR!K6/MAX(L6,cfg_mr_partner_clip)</f>
        <v/>
      </c>
      <c r="V6" s="5">
        <f>IF(AND(M6&lt;cfg_mr_ratio_threshold,$C6=1),1,0)</f>
        <v/>
      </c>
      <c r="W6" s="5">
        <f>IF(AND(N6&lt;cfg_mr_ratio_threshold,$C6=1),1,0)</f>
        <v/>
      </c>
      <c r="X6" s="5">
        <f>IF(AND(O6&lt;cfg_mr_ratio_threshold,$C6=1),1,0)</f>
        <v/>
      </c>
      <c r="Y6" s="5">
        <f>IF(AND(P6&lt;cfg_mr_ratio_threshold,$C6=1),1,0)</f>
        <v/>
      </c>
      <c r="Z6" s="5">
        <f>IF(AND(Q6&lt;cfg_mr_ratio_threshold,$C6=1),1,0)</f>
        <v/>
      </c>
      <c r="AA6" s="5">
        <f>IF(AND(R6&lt;cfg_mr_ratio_threshold,$C6=1),1,0)</f>
        <v/>
      </c>
      <c r="AB6" s="5">
        <f>IF(AND(S6&lt;cfg_mr_ratio_threshold,$C6=1),1,0)</f>
        <v/>
      </c>
      <c r="AC6" s="5">
        <f>IF(AND(T6&lt;cfg_mr_ratio_threshold,$C6=1),1,0)</f>
        <v/>
      </c>
      <c r="AD6" s="5">
        <f>IF(AND(U6&lt;cfg_mr_ratio_threshold,$C6=1),1,0)</f>
        <v/>
      </c>
      <c r="AE6" s="5">
        <f>IF(V6=1,AE5+1,0)</f>
        <v/>
      </c>
      <c r="AF6" s="5">
        <f>IF(W6=1,AF5+1,0)</f>
        <v/>
      </c>
      <c r="AG6" s="5">
        <f>IF(X6=1,AG5+1,0)</f>
        <v/>
      </c>
      <c r="AH6" s="5">
        <f>IF(Y6=1,AH5+1,0)</f>
        <v/>
      </c>
      <c r="AI6" s="5">
        <f>IF(Z6=1,AI5+1,0)</f>
        <v/>
      </c>
      <c r="AJ6" s="5">
        <f>IF(AA6=1,AJ5+1,0)</f>
        <v/>
      </c>
      <c r="AK6" s="5">
        <f>IF(AB6=1,AK5+1,0)</f>
        <v/>
      </c>
      <c r="AL6" s="5">
        <f>IF(AC6=1,AL5+1,0)</f>
        <v/>
      </c>
      <c r="AM6" s="5">
        <f>IF(AD6=1,AM5+1,0)</f>
        <v/>
      </c>
    </row>
    <row r="7">
      <c r="A7" s="40">
        <f>Raw_Data_MR!A7</f>
        <v/>
      </c>
      <c r="B7" s="5">
        <f>Raw_Data_MR!B7</f>
        <v/>
      </c>
      <c r="C7" s="5">
        <f>IF(AND(B7&gt;cfg_mr_poa_threshold_wm2,B7&gt;cfg_mr_poa_floor_wm2),1,0)</f>
        <v/>
      </c>
      <c r="D7" s="17">
        <f>MEDIAN(Raw_Data_MR!D7,Raw_Data_MR!E7,Raw_Data_MR!F7)</f>
        <v/>
      </c>
      <c r="E7" s="17">
        <f>MEDIAN(Raw_Data_MR!C7,Raw_Data_MR!E7,Raw_Data_MR!F7)</f>
        <v/>
      </c>
      <c r="F7" s="17">
        <f>MEDIAN(Raw_Data_MR!C7,Raw_Data_MR!D7,Raw_Data_MR!F7)</f>
        <v/>
      </c>
      <c r="G7" s="17">
        <f>MEDIAN(Raw_Data_MR!C7,Raw_Data_MR!D7,Raw_Data_MR!E7)</f>
        <v/>
      </c>
      <c r="H7" s="17">
        <f>MEDIAN(Raw_Data_MR!H7,Raw_Data_MR!I7,Raw_Data_MR!J7,Raw_Data_MR!K7)</f>
        <v/>
      </c>
      <c r="I7" s="17">
        <f>MEDIAN(Raw_Data_MR!G7,Raw_Data_MR!I7,Raw_Data_MR!J7,Raw_Data_MR!K7)</f>
        <v/>
      </c>
      <c r="J7" s="17">
        <f>MEDIAN(Raw_Data_MR!G7,Raw_Data_MR!H7,Raw_Data_MR!J7,Raw_Data_MR!K7)</f>
        <v/>
      </c>
      <c r="K7" s="17">
        <f>MEDIAN(Raw_Data_MR!G7,Raw_Data_MR!H7,Raw_Data_MR!I7,Raw_Data_MR!K7)</f>
        <v/>
      </c>
      <c r="L7" s="17">
        <f>MEDIAN(Raw_Data_MR!G7,Raw_Data_MR!H7,Raw_Data_MR!I7,Raw_Data_MR!J7)</f>
        <v/>
      </c>
      <c r="M7" s="31">
        <f>Raw_Data_MR!C7/MAX(D7,cfg_mr_partner_clip)</f>
        <v/>
      </c>
      <c r="N7" s="31">
        <f>Raw_Data_MR!D7/MAX(E7,cfg_mr_partner_clip)</f>
        <v/>
      </c>
      <c r="O7" s="31">
        <f>Raw_Data_MR!E7/MAX(F7,cfg_mr_partner_clip)</f>
        <v/>
      </c>
      <c r="P7" s="31">
        <f>Raw_Data_MR!F7/MAX(G7,cfg_mr_partner_clip)</f>
        <v/>
      </c>
      <c r="Q7" s="31">
        <f>Raw_Data_MR!G7/MAX(H7,cfg_mr_partner_clip)</f>
        <v/>
      </c>
      <c r="R7" s="31">
        <f>Raw_Data_MR!H7/MAX(I7,cfg_mr_partner_clip)</f>
        <v/>
      </c>
      <c r="S7" s="31">
        <f>Raw_Data_MR!I7/MAX(J7,cfg_mr_partner_clip)</f>
        <v/>
      </c>
      <c r="T7" s="31">
        <f>Raw_Data_MR!J7/MAX(K7,cfg_mr_partner_clip)</f>
        <v/>
      </c>
      <c r="U7" s="31">
        <f>Raw_Data_MR!K7/MAX(L7,cfg_mr_partner_clip)</f>
        <v/>
      </c>
      <c r="V7" s="5">
        <f>IF(AND(M7&lt;cfg_mr_ratio_threshold,$C7=1),1,0)</f>
        <v/>
      </c>
      <c r="W7" s="5">
        <f>IF(AND(N7&lt;cfg_mr_ratio_threshold,$C7=1),1,0)</f>
        <v/>
      </c>
      <c r="X7" s="5">
        <f>IF(AND(O7&lt;cfg_mr_ratio_threshold,$C7=1),1,0)</f>
        <v/>
      </c>
      <c r="Y7" s="5">
        <f>IF(AND(P7&lt;cfg_mr_ratio_threshold,$C7=1),1,0)</f>
        <v/>
      </c>
      <c r="Z7" s="5">
        <f>IF(AND(Q7&lt;cfg_mr_ratio_threshold,$C7=1),1,0)</f>
        <v/>
      </c>
      <c r="AA7" s="5">
        <f>IF(AND(R7&lt;cfg_mr_ratio_threshold,$C7=1),1,0)</f>
        <v/>
      </c>
      <c r="AB7" s="5">
        <f>IF(AND(S7&lt;cfg_mr_ratio_threshold,$C7=1),1,0)</f>
        <v/>
      </c>
      <c r="AC7" s="5">
        <f>IF(AND(T7&lt;cfg_mr_ratio_threshold,$C7=1),1,0)</f>
        <v/>
      </c>
      <c r="AD7" s="5">
        <f>IF(AND(U7&lt;cfg_mr_ratio_threshold,$C7=1),1,0)</f>
        <v/>
      </c>
      <c r="AE7" s="5">
        <f>IF(V7=1,AE6+1,0)</f>
        <v/>
      </c>
      <c r="AF7" s="5">
        <f>IF(W7=1,AF6+1,0)</f>
        <v/>
      </c>
      <c r="AG7" s="5">
        <f>IF(X7=1,AG6+1,0)</f>
        <v/>
      </c>
      <c r="AH7" s="5">
        <f>IF(Y7=1,AH6+1,0)</f>
        <v/>
      </c>
      <c r="AI7" s="5">
        <f>IF(Z7=1,AI6+1,0)</f>
        <v/>
      </c>
      <c r="AJ7" s="5">
        <f>IF(AA7=1,AJ6+1,0)</f>
        <v/>
      </c>
      <c r="AK7" s="5">
        <f>IF(AB7=1,AK6+1,0)</f>
        <v/>
      </c>
      <c r="AL7" s="5">
        <f>IF(AC7=1,AL6+1,0)</f>
        <v/>
      </c>
      <c r="AM7" s="5">
        <f>IF(AD7=1,AM6+1,0)</f>
        <v/>
      </c>
    </row>
    <row r="8">
      <c r="A8" s="40">
        <f>Raw_Data_MR!A8</f>
        <v/>
      </c>
      <c r="B8" s="5">
        <f>Raw_Data_MR!B8</f>
        <v/>
      </c>
      <c r="C8" s="5">
        <f>IF(AND(B8&gt;cfg_mr_poa_threshold_wm2,B8&gt;cfg_mr_poa_floor_wm2),1,0)</f>
        <v/>
      </c>
      <c r="D8" s="17">
        <f>MEDIAN(Raw_Data_MR!D8,Raw_Data_MR!E8,Raw_Data_MR!F8)</f>
        <v/>
      </c>
      <c r="E8" s="17">
        <f>MEDIAN(Raw_Data_MR!C8,Raw_Data_MR!E8,Raw_Data_MR!F8)</f>
        <v/>
      </c>
      <c r="F8" s="17">
        <f>MEDIAN(Raw_Data_MR!C8,Raw_Data_MR!D8,Raw_Data_MR!F8)</f>
        <v/>
      </c>
      <c r="G8" s="17">
        <f>MEDIAN(Raw_Data_MR!C8,Raw_Data_MR!D8,Raw_Data_MR!E8)</f>
        <v/>
      </c>
      <c r="H8" s="17">
        <f>MEDIAN(Raw_Data_MR!H8,Raw_Data_MR!I8,Raw_Data_MR!J8,Raw_Data_MR!K8)</f>
        <v/>
      </c>
      <c r="I8" s="17">
        <f>MEDIAN(Raw_Data_MR!G8,Raw_Data_MR!I8,Raw_Data_MR!J8,Raw_Data_MR!K8)</f>
        <v/>
      </c>
      <c r="J8" s="17">
        <f>MEDIAN(Raw_Data_MR!G8,Raw_Data_MR!H8,Raw_Data_MR!J8,Raw_Data_MR!K8)</f>
        <v/>
      </c>
      <c r="K8" s="17">
        <f>MEDIAN(Raw_Data_MR!G8,Raw_Data_MR!H8,Raw_Data_MR!I8,Raw_Data_MR!K8)</f>
        <v/>
      </c>
      <c r="L8" s="17">
        <f>MEDIAN(Raw_Data_MR!G8,Raw_Data_MR!H8,Raw_Data_MR!I8,Raw_Data_MR!J8)</f>
        <v/>
      </c>
      <c r="M8" s="31">
        <f>Raw_Data_MR!C8/MAX(D8,cfg_mr_partner_clip)</f>
        <v/>
      </c>
      <c r="N8" s="31">
        <f>Raw_Data_MR!D8/MAX(E8,cfg_mr_partner_clip)</f>
        <v/>
      </c>
      <c r="O8" s="31">
        <f>Raw_Data_MR!E8/MAX(F8,cfg_mr_partner_clip)</f>
        <v/>
      </c>
      <c r="P8" s="31">
        <f>Raw_Data_MR!F8/MAX(G8,cfg_mr_partner_clip)</f>
        <v/>
      </c>
      <c r="Q8" s="31">
        <f>Raw_Data_MR!G8/MAX(H8,cfg_mr_partner_clip)</f>
        <v/>
      </c>
      <c r="R8" s="31">
        <f>Raw_Data_MR!H8/MAX(I8,cfg_mr_partner_clip)</f>
        <v/>
      </c>
      <c r="S8" s="31">
        <f>Raw_Data_MR!I8/MAX(J8,cfg_mr_partner_clip)</f>
        <v/>
      </c>
      <c r="T8" s="31">
        <f>Raw_Data_MR!J8/MAX(K8,cfg_mr_partner_clip)</f>
        <v/>
      </c>
      <c r="U8" s="31">
        <f>Raw_Data_MR!K8/MAX(L8,cfg_mr_partner_clip)</f>
        <v/>
      </c>
      <c r="V8" s="5">
        <f>IF(AND(M8&lt;cfg_mr_ratio_threshold,$C8=1),1,0)</f>
        <v/>
      </c>
      <c r="W8" s="5">
        <f>IF(AND(N8&lt;cfg_mr_ratio_threshold,$C8=1),1,0)</f>
        <v/>
      </c>
      <c r="X8" s="5">
        <f>IF(AND(O8&lt;cfg_mr_ratio_threshold,$C8=1),1,0)</f>
        <v/>
      </c>
      <c r="Y8" s="5">
        <f>IF(AND(P8&lt;cfg_mr_ratio_threshold,$C8=1),1,0)</f>
        <v/>
      </c>
      <c r="Z8" s="5">
        <f>IF(AND(Q8&lt;cfg_mr_ratio_threshold,$C8=1),1,0)</f>
        <v/>
      </c>
      <c r="AA8" s="5">
        <f>IF(AND(R8&lt;cfg_mr_ratio_threshold,$C8=1),1,0)</f>
        <v/>
      </c>
      <c r="AB8" s="5">
        <f>IF(AND(S8&lt;cfg_mr_ratio_threshold,$C8=1),1,0)</f>
        <v/>
      </c>
      <c r="AC8" s="5">
        <f>IF(AND(T8&lt;cfg_mr_ratio_threshold,$C8=1),1,0)</f>
        <v/>
      </c>
      <c r="AD8" s="5">
        <f>IF(AND(U8&lt;cfg_mr_ratio_threshold,$C8=1),1,0)</f>
        <v/>
      </c>
      <c r="AE8" s="5">
        <f>IF(V8=1,AE7+1,0)</f>
        <v/>
      </c>
      <c r="AF8" s="5">
        <f>IF(W8=1,AF7+1,0)</f>
        <v/>
      </c>
      <c r="AG8" s="5">
        <f>IF(X8=1,AG7+1,0)</f>
        <v/>
      </c>
      <c r="AH8" s="5">
        <f>IF(Y8=1,AH7+1,0)</f>
        <v/>
      </c>
      <c r="AI8" s="5">
        <f>IF(Z8=1,AI7+1,0)</f>
        <v/>
      </c>
      <c r="AJ8" s="5">
        <f>IF(AA8=1,AJ7+1,0)</f>
        <v/>
      </c>
      <c r="AK8" s="5">
        <f>IF(AB8=1,AK7+1,0)</f>
        <v/>
      </c>
      <c r="AL8" s="5">
        <f>IF(AC8=1,AL7+1,0)</f>
        <v/>
      </c>
      <c r="AM8" s="5">
        <f>IF(AD8=1,AM7+1,0)</f>
        <v/>
      </c>
    </row>
    <row r="9">
      <c r="A9" s="40">
        <f>Raw_Data_MR!A9</f>
        <v/>
      </c>
      <c r="B9" s="5">
        <f>Raw_Data_MR!B9</f>
        <v/>
      </c>
      <c r="C9" s="5">
        <f>IF(AND(B9&gt;cfg_mr_poa_threshold_wm2,B9&gt;cfg_mr_poa_floor_wm2),1,0)</f>
        <v/>
      </c>
      <c r="D9" s="17">
        <f>MEDIAN(Raw_Data_MR!D9,Raw_Data_MR!E9,Raw_Data_MR!F9)</f>
        <v/>
      </c>
      <c r="E9" s="17">
        <f>MEDIAN(Raw_Data_MR!C9,Raw_Data_MR!E9,Raw_Data_MR!F9)</f>
        <v/>
      </c>
      <c r="F9" s="17">
        <f>MEDIAN(Raw_Data_MR!C9,Raw_Data_MR!D9,Raw_Data_MR!F9)</f>
        <v/>
      </c>
      <c r="G9" s="17">
        <f>MEDIAN(Raw_Data_MR!C9,Raw_Data_MR!D9,Raw_Data_MR!E9)</f>
        <v/>
      </c>
      <c r="H9" s="17">
        <f>MEDIAN(Raw_Data_MR!H9,Raw_Data_MR!I9,Raw_Data_MR!J9,Raw_Data_MR!K9)</f>
        <v/>
      </c>
      <c r="I9" s="17">
        <f>MEDIAN(Raw_Data_MR!G9,Raw_Data_MR!I9,Raw_Data_MR!J9,Raw_Data_MR!K9)</f>
        <v/>
      </c>
      <c r="J9" s="17">
        <f>MEDIAN(Raw_Data_MR!G9,Raw_Data_MR!H9,Raw_Data_MR!J9,Raw_Data_MR!K9)</f>
        <v/>
      </c>
      <c r="K9" s="17">
        <f>MEDIAN(Raw_Data_MR!G9,Raw_Data_MR!H9,Raw_Data_MR!I9,Raw_Data_MR!K9)</f>
        <v/>
      </c>
      <c r="L9" s="17">
        <f>MEDIAN(Raw_Data_MR!G9,Raw_Data_MR!H9,Raw_Data_MR!I9,Raw_Data_MR!J9)</f>
        <v/>
      </c>
      <c r="M9" s="31">
        <f>Raw_Data_MR!C9/MAX(D9,cfg_mr_partner_clip)</f>
        <v/>
      </c>
      <c r="N9" s="31">
        <f>Raw_Data_MR!D9/MAX(E9,cfg_mr_partner_clip)</f>
        <v/>
      </c>
      <c r="O9" s="31">
        <f>Raw_Data_MR!E9/MAX(F9,cfg_mr_partner_clip)</f>
        <v/>
      </c>
      <c r="P9" s="31">
        <f>Raw_Data_MR!F9/MAX(G9,cfg_mr_partner_clip)</f>
        <v/>
      </c>
      <c r="Q9" s="31">
        <f>Raw_Data_MR!G9/MAX(H9,cfg_mr_partner_clip)</f>
        <v/>
      </c>
      <c r="R9" s="31">
        <f>Raw_Data_MR!H9/MAX(I9,cfg_mr_partner_clip)</f>
        <v/>
      </c>
      <c r="S9" s="31">
        <f>Raw_Data_MR!I9/MAX(J9,cfg_mr_partner_clip)</f>
        <v/>
      </c>
      <c r="T9" s="31">
        <f>Raw_Data_MR!J9/MAX(K9,cfg_mr_partner_clip)</f>
        <v/>
      </c>
      <c r="U9" s="31">
        <f>Raw_Data_MR!K9/MAX(L9,cfg_mr_partner_clip)</f>
        <v/>
      </c>
      <c r="V9" s="5">
        <f>IF(AND(M9&lt;cfg_mr_ratio_threshold,$C9=1),1,0)</f>
        <v/>
      </c>
      <c r="W9" s="5">
        <f>IF(AND(N9&lt;cfg_mr_ratio_threshold,$C9=1),1,0)</f>
        <v/>
      </c>
      <c r="X9" s="5">
        <f>IF(AND(O9&lt;cfg_mr_ratio_threshold,$C9=1),1,0)</f>
        <v/>
      </c>
      <c r="Y9" s="5">
        <f>IF(AND(P9&lt;cfg_mr_ratio_threshold,$C9=1),1,0)</f>
        <v/>
      </c>
      <c r="Z9" s="5">
        <f>IF(AND(Q9&lt;cfg_mr_ratio_threshold,$C9=1),1,0)</f>
        <v/>
      </c>
      <c r="AA9" s="5">
        <f>IF(AND(R9&lt;cfg_mr_ratio_threshold,$C9=1),1,0)</f>
        <v/>
      </c>
      <c r="AB9" s="5">
        <f>IF(AND(S9&lt;cfg_mr_ratio_threshold,$C9=1),1,0)</f>
        <v/>
      </c>
      <c r="AC9" s="5">
        <f>IF(AND(T9&lt;cfg_mr_ratio_threshold,$C9=1),1,0)</f>
        <v/>
      </c>
      <c r="AD9" s="5">
        <f>IF(AND(U9&lt;cfg_mr_ratio_threshold,$C9=1),1,0)</f>
        <v/>
      </c>
      <c r="AE9" s="5">
        <f>IF(V9=1,AE8+1,0)</f>
        <v/>
      </c>
      <c r="AF9" s="5">
        <f>IF(W9=1,AF8+1,0)</f>
        <v/>
      </c>
      <c r="AG9" s="5">
        <f>IF(X9=1,AG8+1,0)</f>
        <v/>
      </c>
      <c r="AH9" s="5">
        <f>IF(Y9=1,AH8+1,0)</f>
        <v/>
      </c>
      <c r="AI9" s="5">
        <f>IF(Z9=1,AI8+1,0)</f>
        <v/>
      </c>
      <c r="AJ9" s="5">
        <f>IF(AA9=1,AJ8+1,0)</f>
        <v/>
      </c>
      <c r="AK9" s="5">
        <f>IF(AB9=1,AK8+1,0)</f>
        <v/>
      </c>
      <c r="AL9" s="5">
        <f>IF(AC9=1,AL8+1,0)</f>
        <v/>
      </c>
      <c r="AM9" s="5">
        <f>IF(AD9=1,AM8+1,0)</f>
        <v/>
      </c>
    </row>
    <row r="10">
      <c r="A10" s="40">
        <f>Raw_Data_MR!A10</f>
        <v/>
      </c>
      <c r="B10" s="5">
        <f>Raw_Data_MR!B10</f>
        <v/>
      </c>
      <c r="C10" s="5">
        <f>IF(AND(B10&gt;cfg_mr_poa_threshold_wm2,B10&gt;cfg_mr_poa_floor_wm2),1,0)</f>
        <v/>
      </c>
      <c r="D10" s="17">
        <f>MEDIAN(Raw_Data_MR!D10,Raw_Data_MR!E10,Raw_Data_MR!F10)</f>
        <v/>
      </c>
      <c r="E10" s="17">
        <f>MEDIAN(Raw_Data_MR!C10,Raw_Data_MR!E10,Raw_Data_MR!F10)</f>
        <v/>
      </c>
      <c r="F10" s="17">
        <f>MEDIAN(Raw_Data_MR!C10,Raw_Data_MR!D10,Raw_Data_MR!F10)</f>
        <v/>
      </c>
      <c r="G10" s="17">
        <f>MEDIAN(Raw_Data_MR!C10,Raw_Data_MR!D10,Raw_Data_MR!E10)</f>
        <v/>
      </c>
      <c r="H10" s="17">
        <f>MEDIAN(Raw_Data_MR!H10,Raw_Data_MR!I10,Raw_Data_MR!J10,Raw_Data_MR!K10)</f>
        <v/>
      </c>
      <c r="I10" s="17">
        <f>MEDIAN(Raw_Data_MR!G10,Raw_Data_MR!I10,Raw_Data_MR!J10,Raw_Data_MR!K10)</f>
        <v/>
      </c>
      <c r="J10" s="17">
        <f>MEDIAN(Raw_Data_MR!G10,Raw_Data_MR!H10,Raw_Data_MR!J10,Raw_Data_MR!K10)</f>
        <v/>
      </c>
      <c r="K10" s="17">
        <f>MEDIAN(Raw_Data_MR!G10,Raw_Data_MR!H10,Raw_Data_MR!I10,Raw_Data_MR!K10)</f>
        <v/>
      </c>
      <c r="L10" s="17">
        <f>MEDIAN(Raw_Data_MR!G10,Raw_Data_MR!H10,Raw_Data_MR!I10,Raw_Data_MR!J10)</f>
        <v/>
      </c>
      <c r="M10" s="31">
        <f>Raw_Data_MR!C10/MAX(D10,cfg_mr_partner_clip)</f>
        <v/>
      </c>
      <c r="N10" s="31">
        <f>Raw_Data_MR!D10/MAX(E10,cfg_mr_partner_clip)</f>
        <v/>
      </c>
      <c r="O10" s="31">
        <f>Raw_Data_MR!E10/MAX(F10,cfg_mr_partner_clip)</f>
        <v/>
      </c>
      <c r="P10" s="31">
        <f>Raw_Data_MR!F10/MAX(G10,cfg_mr_partner_clip)</f>
        <v/>
      </c>
      <c r="Q10" s="31">
        <f>Raw_Data_MR!G10/MAX(H10,cfg_mr_partner_clip)</f>
        <v/>
      </c>
      <c r="R10" s="31">
        <f>Raw_Data_MR!H10/MAX(I10,cfg_mr_partner_clip)</f>
        <v/>
      </c>
      <c r="S10" s="31">
        <f>Raw_Data_MR!I10/MAX(J10,cfg_mr_partner_clip)</f>
        <v/>
      </c>
      <c r="T10" s="31">
        <f>Raw_Data_MR!J10/MAX(K10,cfg_mr_partner_clip)</f>
        <v/>
      </c>
      <c r="U10" s="31">
        <f>Raw_Data_MR!K10/MAX(L10,cfg_mr_partner_clip)</f>
        <v/>
      </c>
      <c r="V10" s="5">
        <f>IF(AND(M10&lt;cfg_mr_ratio_threshold,$C10=1),1,0)</f>
        <v/>
      </c>
      <c r="W10" s="5">
        <f>IF(AND(N10&lt;cfg_mr_ratio_threshold,$C10=1),1,0)</f>
        <v/>
      </c>
      <c r="X10" s="5">
        <f>IF(AND(O10&lt;cfg_mr_ratio_threshold,$C10=1),1,0)</f>
        <v/>
      </c>
      <c r="Y10" s="5">
        <f>IF(AND(P10&lt;cfg_mr_ratio_threshold,$C10=1),1,0)</f>
        <v/>
      </c>
      <c r="Z10" s="5">
        <f>IF(AND(Q10&lt;cfg_mr_ratio_threshold,$C10=1),1,0)</f>
        <v/>
      </c>
      <c r="AA10" s="5">
        <f>IF(AND(R10&lt;cfg_mr_ratio_threshold,$C10=1),1,0)</f>
        <v/>
      </c>
      <c r="AB10" s="5">
        <f>IF(AND(S10&lt;cfg_mr_ratio_threshold,$C10=1),1,0)</f>
        <v/>
      </c>
      <c r="AC10" s="5">
        <f>IF(AND(T10&lt;cfg_mr_ratio_threshold,$C10=1),1,0)</f>
        <v/>
      </c>
      <c r="AD10" s="5">
        <f>IF(AND(U10&lt;cfg_mr_ratio_threshold,$C10=1),1,0)</f>
        <v/>
      </c>
      <c r="AE10" s="5">
        <f>IF(V10=1,AE9+1,0)</f>
        <v/>
      </c>
      <c r="AF10" s="5">
        <f>IF(W10=1,AF9+1,0)</f>
        <v/>
      </c>
      <c r="AG10" s="5">
        <f>IF(X10=1,AG9+1,0)</f>
        <v/>
      </c>
      <c r="AH10" s="5">
        <f>IF(Y10=1,AH9+1,0)</f>
        <v/>
      </c>
      <c r="AI10" s="5">
        <f>IF(Z10=1,AI9+1,0)</f>
        <v/>
      </c>
      <c r="AJ10" s="5">
        <f>IF(AA10=1,AJ9+1,0)</f>
        <v/>
      </c>
      <c r="AK10" s="5">
        <f>IF(AB10=1,AK9+1,0)</f>
        <v/>
      </c>
      <c r="AL10" s="5">
        <f>IF(AC10=1,AL9+1,0)</f>
        <v/>
      </c>
      <c r="AM10" s="5">
        <f>IF(AD10=1,AM9+1,0)</f>
        <v/>
      </c>
    </row>
    <row r="11">
      <c r="A11" s="40">
        <f>Raw_Data_MR!A11</f>
        <v/>
      </c>
      <c r="B11" s="5">
        <f>Raw_Data_MR!B11</f>
        <v/>
      </c>
      <c r="C11" s="5">
        <f>IF(AND(B11&gt;cfg_mr_poa_threshold_wm2,B11&gt;cfg_mr_poa_floor_wm2),1,0)</f>
        <v/>
      </c>
      <c r="D11" s="17">
        <f>MEDIAN(Raw_Data_MR!D11,Raw_Data_MR!E11,Raw_Data_MR!F11)</f>
        <v/>
      </c>
      <c r="E11" s="17">
        <f>MEDIAN(Raw_Data_MR!C11,Raw_Data_MR!E11,Raw_Data_MR!F11)</f>
        <v/>
      </c>
      <c r="F11" s="17">
        <f>MEDIAN(Raw_Data_MR!C11,Raw_Data_MR!D11,Raw_Data_MR!F11)</f>
        <v/>
      </c>
      <c r="G11" s="17">
        <f>MEDIAN(Raw_Data_MR!C11,Raw_Data_MR!D11,Raw_Data_MR!E11)</f>
        <v/>
      </c>
      <c r="H11" s="17">
        <f>MEDIAN(Raw_Data_MR!H11,Raw_Data_MR!I11,Raw_Data_MR!J11,Raw_Data_MR!K11)</f>
        <v/>
      </c>
      <c r="I11" s="17">
        <f>MEDIAN(Raw_Data_MR!G11,Raw_Data_MR!I11,Raw_Data_MR!J11,Raw_Data_MR!K11)</f>
        <v/>
      </c>
      <c r="J11" s="17">
        <f>MEDIAN(Raw_Data_MR!G11,Raw_Data_MR!H11,Raw_Data_MR!J11,Raw_Data_MR!K11)</f>
        <v/>
      </c>
      <c r="K11" s="17">
        <f>MEDIAN(Raw_Data_MR!G11,Raw_Data_MR!H11,Raw_Data_MR!I11,Raw_Data_MR!K11)</f>
        <v/>
      </c>
      <c r="L11" s="17">
        <f>MEDIAN(Raw_Data_MR!G11,Raw_Data_MR!H11,Raw_Data_MR!I11,Raw_Data_MR!J11)</f>
        <v/>
      </c>
      <c r="M11" s="31">
        <f>Raw_Data_MR!C11/MAX(D11,cfg_mr_partner_clip)</f>
        <v/>
      </c>
      <c r="N11" s="31">
        <f>Raw_Data_MR!D11/MAX(E11,cfg_mr_partner_clip)</f>
        <v/>
      </c>
      <c r="O11" s="31">
        <f>Raw_Data_MR!E11/MAX(F11,cfg_mr_partner_clip)</f>
        <v/>
      </c>
      <c r="P11" s="31">
        <f>Raw_Data_MR!F11/MAX(G11,cfg_mr_partner_clip)</f>
        <v/>
      </c>
      <c r="Q11" s="31">
        <f>Raw_Data_MR!G11/MAX(H11,cfg_mr_partner_clip)</f>
        <v/>
      </c>
      <c r="R11" s="31">
        <f>Raw_Data_MR!H11/MAX(I11,cfg_mr_partner_clip)</f>
        <v/>
      </c>
      <c r="S11" s="31">
        <f>Raw_Data_MR!I11/MAX(J11,cfg_mr_partner_clip)</f>
        <v/>
      </c>
      <c r="T11" s="31">
        <f>Raw_Data_MR!J11/MAX(K11,cfg_mr_partner_clip)</f>
        <v/>
      </c>
      <c r="U11" s="31">
        <f>Raw_Data_MR!K11/MAX(L11,cfg_mr_partner_clip)</f>
        <v/>
      </c>
      <c r="V11" s="5">
        <f>IF(AND(M11&lt;cfg_mr_ratio_threshold,$C11=1),1,0)</f>
        <v/>
      </c>
      <c r="W11" s="5">
        <f>IF(AND(N11&lt;cfg_mr_ratio_threshold,$C11=1),1,0)</f>
        <v/>
      </c>
      <c r="X11" s="5">
        <f>IF(AND(O11&lt;cfg_mr_ratio_threshold,$C11=1),1,0)</f>
        <v/>
      </c>
      <c r="Y11" s="5">
        <f>IF(AND(P11&lt;cfg_mr_ratio_threshold,$C11=1),1,0)</f>
        <v/>
      </c>
      <c r="Z11" s="5">
        <f>IF(AND(Q11&lt;cfg_mr_ratio_threshold,$C11=1),1,0)</f>
        <v/>
      </c>
      <c r="AA11" s="5">
        <f>IF(AND(R11&lt;cfg_mr_ratio_threshold,$C11=1),1,0)</f>
        <v/>
      </c>
      <c r="AB11" s="5">
        <f>IF(AND(S11&lt;cfg_mr_ratio_threshold,$C11=1),1,0)</f>
        <v/>
      </c>
      <c r="AC11" s="5">
        <f>IF(AND(T11&lt;cfg_mr_ratio_threshold,$C11=1),1,0)</f>
        <v/>
      </c>
      <c r="AD11" s="5">
        <f>IF(AND(U11&lt;cfg_mr_ratio_threshold,$C11=1),1,0)</f>
        <v/>
      </c>
      <c r="AE11" s="5">
        <f>IF(V11=1,AE10+1,0)</f>
        <v/>
      </c>
      <c r="AF11" s="5">
        <f>IF(W11=1,AF10+1,0)</f>
        <v/>
      </c>
      <c r="AG11" s="5">
        <f>IF(X11=1,AG10+1,0)</f>
        <v/>
      </c>
      <c r="AH11" s="5">
        <f>IF(Y11=1,AH10+1,0)</f>
        <v/>
      </c>
      <c r="AI11" s="5">
        <f>IF(Z11=1,AI10+1,0)</f>
        <v/>
      </c>
      <c r="AJ11" s="5">
        <f>IF(AA11=1,AJ10+1,0)</f>
        <v/>
      </c>
      <c r="AK11" s="5">
        <f>IF(AB11=1,AK10+1,0)</f>
        <v/>
      </c>
      <c r="AL11" s="5">
        <f>IF(AC11=1,AL10+1,0)</f>
        <v/>
      </c>
      <c r="AM11" s="5">
        <f>IF(AD11=1,AM10+1,0)</f>
        <v/>
      </c>
    </row>
    <row r="12">
      <c r="A12" s="40">
        <f>Raw_Data_MR!A12</f>
        <v/>
      </c>
      <c r="B12" s="5">
        <f>Raw_Data_MR!B12</f>
        <v/>
      </c>
      <c r="C12" s="5">
        <f>IF(AND(B12&gt;cfg_mr_poa_threshold_wm2,B12&gt;cfg_mr_poa_floor_wm2),1,0)</f>
        <v/>
      </c>
      <c r="D12" s="17">
        <f>MEDIAN(Raw_Data_MR!D12,Raw_Data_MR!E12,Raw_Data_MR!F12)</f>
        <v/>
      </c>
      <c r="E12" s="17">
        <f>MEDIAN(Raw_Data_MR!C12,Raw_Data_MR!E12,Raw_Data_MR!F12)</f>
        <v/>
      </c>
      <c r="F12" s="17">
        <f>MEDIAN(Raw_Data_MR!C12,Raw_Data_MR!D12,Raw_Data_MR!F12)</f>
        <v/>
      </c>
      <c r="G12" s="17">
        <f>MEDIAN(Raw_Data_MR!C12,Raw_Data_MR!D12,Raw_Data_MR!E12)</f>
        <v/>
      </c>
      <c r="H12" s="17">
        <f>MEDIAN(Raw_Data_MR!H12,Raw_Data_MR!I12,Raw_Data_MR!J12,Raw_Data_MR!K12)</f>
        <v/>
      </c>
      <c r="I12" s="17">
        <f>MEDIAN(Raw_Data_MR!G12,Raw_Data_MR!I12,Raw_Data_MR!J12,Raw_Data_MR!K12)</f>
        <v/>
      </c>
      <c r="J12" s="17">
        <f>MEDIAN(Raw_Data_MR!G12,Raw_Data_MR!H12,Raw_Data_MR!J12,Raw_Data_MR!K12)</f>
        <v/>
      </c>
      <c r="K12" s="17">
        <f>MEDIAN(Raw_Data_MR!G12,Raw_Data_MR!H12,Raw_Data_MR!I12,Raw_Data_MR!K12)</f>
        <v/>
      </c>
      <c r="L12" s="17">
        <f>MEDIAN(Raw_Data_MR!G12,Raw_Data_MR!H12,Raw_Data_MR!I12,Raw_Data_MR!J12)</f>
        <v/>
      </c>
      <c r="M12" s="31">
        <f>Raw_Data_MR!C12/MAX(D12,cfg_mr_partner_clip)</f>
        <v/>
      </c>
      <c r="N12" s="31">
        <f>Raw_Data_MR!D12/MAX(E12,cfg_mr_partner_clip)</f>
        <v/>
      </c>
      <c r="O12" s="31">
        <f>Raw_Data_MR!E12/MAX(F12,cfg_mr_partner_clip)</f>
        <v/>
      </c>
      <c r="P12" s="31">
        <f>Raw_Data_MR!F12/MAX(G12,cfg_mr_partner_clip)</f>
        <v/>
      </c>
      <c r="Q12" s="31">
        <f>Raw_Data_MR!G12/MAX(H12,cfg_mr_partner_clip)</f>
        <v/>
      </c>
      <c r="R12" s="31">
        <f>Raw_Data_MR!H12/MAX(I12,cfg_mr_partner_clip)</f>
        <v/>
      </c>
      <c r="S12" s="31">
        <f>Raw_Data_MR!I12/MAX(J12,cfg_mr_partner_clip)</f>
        <v/>
      </c>
      <c r="T12" s="31">
        <f>Raw_Data_MR!J12/MAX(K12,cfg_mr_partner_clip)</f>
        <v/>
      </c>
      <c r="U12" s="31">
        <f>Raw_Data_MR!K12/MAX(L12,cfg_mr_partner_clip)</f>
        <v/>
      </c>
      <c r="V12" s="5">
        <f>IF(AND(M12&lt;cfg_mr_ratio_threshold,$C12=1),1,0)</f>
        <v/>
      </c>
      <c r="W12" s="5">
        <f>IF(AND(N12&lt;cfg_mr_ratio_threshold,$C12=1),1,0)</f>
        <v/>
      </c>
      <c r="X12" s="5">
        <f>IF(AND(O12&lt;cfg_mr_ratio_threshold,$C12=1),1,0)</f>
        <v/>
      </c>
      <c r="Y12" s="5">
        <f>IF(AND(P12&lt;cfg_mr_ratio_threshold,$C12=1),1,0)</f>
        <v/>
      </c>
      <c r="Z12" s="5">
        <f>IF(AND(Q12&lt;cfg_mr_ratio_threshold,$C12=1),1,0)</f>
        <v/>
      </c>
      <c r="AA12" s="5">
        <f>IF(AND(R12&lt;cfg_mr_ratio_threshold,$C12=1),1,0)</f>
        <v/>
      </c>
      <c r="AB12" s="5">
        <f>IF(AND(S12&lt;cfg_mr_ratio_threshold,$C12=1),1,0)</f>
        <v/>
      </c>
      <c r="AC12" s="5">
        <f>IF(AND(T12&lt;cfg_mr_ratio_threshold,$C12=1),1,0)</f>
        <v/>
      </c>
      <c r="AD12" s="5">
        <f>IF(AND(U12&lt;cfg_mr_ratio_threshold,$C12=1),1,0)</f>
        <v/>
      </c>
      <c r="AE12" s="5">
        <f>IF(V12=1,AE11+1,0)</f>
        <v/>
      </c>
      <c r="AF12" s="5">
        <f>IF(W12=1,AF11+1,0)</f>
        <v/>
      </c>
      <c r="AG12" s="5">
        <f>IF(X12=1,AG11+1,0)</f>
        <v/>
      </c>
      <c r="AH12" s="5">
        <f>IF(Y12=1,AH11+1,0)</f>
        <v/>
      </c>
      <c r="AI12" s="5">
        <f>IF(Z12=1,AI11+1,0)</f>
        <v/>
      </c>
      <c r="AJ12" s="5">
        <f>IF(AA12=1,AJ11+1,0)</f>
        <v/>
      </c>
      <c r="AK12" s="5">
        <f>IF(AB12=1,AK11+1,0)</f>
        <v/>
      </c>
      <c r="AL12" s="5">
        <f>IF(AC12=1,AL11+1,0)</f>
        <v/>
      </c>
      <c r="AM12" s="5">
        <f>IF(AD12=1,AM11+1,0)</f>
        <v/>
      </c>
    </row>
    <row r="13">
      <c r="A13" s="40">
        <f>Raw_Data_MR!A13</f>
        <v/>
      </c>
      <c r="B13" s="5">
        <f>Raw_Data_MR!B13</f>
        <v/>
      </c>
      <c r="C13" s="5">
        <f>IF(AND(B13&gt;cfg_mr_poa_threshold_wm2,B13&gt;cfg_mr_poa_floor_wm2),1,0)</f>
        <v/>
      </c>
      <c r="D13" s="17">
        <f>MEDIAN(Raw_Data_MR!D13,Raw_Data_MR!E13,Raw_Data_MR!F13)</f>
        <v/>
      </c>
      <c r="E13" s="17">
        <f>MEDIAN(Raw_Data_MR!C13,Raw_Data_MR!E13,Raw_Data_MR!F13)</f>
        <v/>
      </c>
      <c r="F13" s="17">
        <f>MEDIAN(Raw_Data_MR!C13,Raw_Data_MR!D13,Raw_Data_MR!F13)</f>
        <v/>
      </c>
      <c r="G13" s="17">
        <f>MEDIAN(Raw_Data_MR!C13,Raw_Data_MR!D13,Raw_Data_MR!E13)</f>
        <v/>
      </c>
      <c r="H13" s="17">
        <f>MEDIAN(Raw_Data_MR!H13,Raw_Data_MR!I13,Raw_Data_MR!J13,Raw_Data_MR!K13)</f>
        <v/>
      </c>
      <c r="I13" s="17">
        <f>MEDIAN(Raw_Data_MR!G13,Raw_Data_MR!I13,Raw_Data_MR!J13,Raw_Data_MR!K13)</f>
        <v/>
      </c>
      <c r="J13" s="17">
        <f>MEDIAN(Raw_Data_MR!G13,Raw_Data_MR!H13,Raw_Data_MR!J13,Raw_Data_MR!K13)</f>
        <v/>
      </c>
      <c r="K13" s="17">
        <f>MEDIAN(Raw_Data_MR!G13,Raw_Data_MR!H13,Raw_Data_MR!I13,Raw_Data_MR!K13)</f>
        <v/>
      </c>
      <c r="L13" s="17">
        <f>MEDIAN(Raw_Data_MR!G13,Raw_Data_MR!H13,Raw_Data_MR!I13,Raw_Data_MR!J13)</f>
        <v/>
      </c>
      <c r="M13" s="31">
        <f>Raw_Data_MR!C13/MAX(D13,cfg_mr_partner_clip)</f>
        <v/>
      </c>
      <c r="N13" s="31">
        <f>Raw_Data_MR!D13/MAX(E13,cfg_mr_partner_clip)</f>
        <v/>
      </c>
      <c r="O13" s="31">
        <f>Raw_Data_MR!E13/MAX(F13,cfg_mr_partner_clip)</f>
        <v/>
      </c>
      <c r="P13" s="31">
        <f>Raw_Data_MR!F13/MAX(G13,cfg_mr_partner_clip)</f>
        <v/>
      </c>
      <c r="Q13" s="31">
        <f>Raw_Data_MR!G13/MAX(H13,cfg_mr_partner_clip)</f>
        <v/>
      </c>
      <c r="R13" s="31">
        <f>Raw_Data_MR!H13/MAX(I13,cfg_mr_partner_clip)</f>
        <v/>
      </c>
      <c r="S13" s="31">
        <f>Raw_Data_MR!I13/MAX(J13,cfg_mr_partner_clip)</f>
        <v/>
      </c>
      <c r="T13" s="31">
        <f>Raw_Data_MR!J13/MAX(K13,cfg_mr_partner_clip)</f>
        <v/>
      </c>
      <c r="U13" s="31">
        <f>Raw_Data_MR!K13/MAX(L13,cfg_mr_partner_clip)</f>
        <v/>
      </c>
      <c r="V13" s="5">
        <f>IF(AND(M13&lt;cfg_mr_ratio_threshold,$C13=1),1,0)</f>
        <v/>
      </c>
      <c r="W13" s="5">
        <f>IF(AND(N13&lt;cfg_mr_ratio_threshold,$C13=1),1,0)</f>
        <v/>
      </c>
      <c r="X13" s="5">
        <f>IF(AND(O13&lt;cfg_mr_ratio_threshold,$C13=1),1,0)</f>
        <v/>
      </c>
      <c r="Y13" s="5">
        <f>IF(AND(P13&lt;cfg_mr_ratio_threshold,$C13=1),1,0)</f>
        <v/>
      </c>
      <c r="Z13" s="5">
        <f>IF(AND(Q13&lt;cfg_mr_ratio_threshold,$C13=1),1,0)</f>
        <v/>
      </c>
      <c r="AA13" s="5">
        <f>IF(AND(R13&lt;cfg_mr_ratio_threshold,$C13=1),1,0)</f>
        <v/>
      </c>
      <c r="AB13" s="5">
        <f>IF(AND(S13&lt;cfg_mr_ratio_threshold,$C13=1),1,0)</f>
        <v/>
      </c>
      <c r="AC13" s="5">
        <f>IF(AND(T13&lt;cfg_mr_ratio_threshold,$C13=1),1,0)</f>
        <v/>
      </c>
      <c r="AD13" s="5">
        <f>IF(AND(U13&lt;cfg_mr_ratio_threshold,$C13=1),1,0)</f>
        <v/>
      </c>
      <c r="AE13" s="5">
        <f>IF(V13=1,AE12+1,0)</f>
        <v/>
      </c>
      <c r="AF13" s="5">
        <f>IF(W13=1,AF12+1,0)</f>
        <v/>
      </c>
      <c r="AG13" s="5">
        <f>IF(X13=1,AG12+1,0)</f>
        <v/>
      </c>
      <c r="AH13" s="5">
        <f>IF(Y13=1,AH12+1,0)</f>
        <v/>
      </c>
      <c r="AI13" s="5">
        <f>IF(Z13=1,AI12+1,0)</f>
        <v/>
      </c>
      <c r="AJ13" s="5">
        <f>IF(AA13=1,AJ12+1,0)</f>
        <v/>
      </c>
      <c r="AK13" s="5">
        <f>IF(AB13=1,AK12+1,0)</f>
        <v/>
      </c>
      <c r="AL13" s="5">
        <f>IF(AC13=1,AL12+1,0)</f>
        <v/>
      </c>
      <c r="AM13" s="5">
        <f>IF(AD13=1,AM12+1,0)</f>
        <v/>
      </c>
    </row>
    <row r="14">
      <c r="A14" s="40">
        <f>Raw_Data_MR!A14</f>
        <v/>
      </c>
      <c r="B14" s="5">
        <f>Raw_Data_MR!B14</f>
        <v/>
      </c>
      <c r="C14" s="5">
        <f>IF(AND(B14&gt;cfg_mr_poa_threshold_wm2,B14&gt;cfg_mr_poa_floor_wm2),1,0)</f>
        <v/>
      </c>
      <c r="D14" s="17">
        <f>MEDIAN(Raw_Data_MR!D14,Raw_Data_MR!E14,Raw_Data_MR!F14)</f>
        <v/>
      </c>
      <c r="E14" s="17">
        <f>MEDIAN(Raw_Data_MR!C14,Raw_Data_MR!E14,Raw_Data_MR!F14)</f>
        <v/>
      </c>
      <c r="F14" s="17">
        <f>MEDIAN(Raw_Data_MR!C14,Raw_Data_MR!D14,Raw_Data_MR!F14)</f>
        <v/>
      </c>
      <c r="G14" s="17">
        <f>MEDIAN(Raw_Data_MR!C14,Raw_Data_MR!D14,Raw_Data_MR!E14)</f>
        <v/>
      </c>
      <c r="H14" s="17">
        <f>MEDIAN(Raw_Data_MR!H14,Raw_Data_MR!I14,Raw_Data_MR!J14,Raw_Data_MR!K14)</f>
        <v/>
      </c>
      <c r="I14" s="17">
        <f>MEDIAN(Raw_Data_MR!G14,Raw_Data_MR!I14,Raw_Data_MR!J14,Raw_Data_MR!K14)</f>
        <v/>
      </c>
      <c r="J14" s="17">
        <f>MEDIAN(Raw_Data_MR!G14,Raw_Data_MR!H14,Raw_Data_MR!J14,Raw_Data_MR!K14)</f>
        <v/>
      </c>
      <c r="K14" s="17">
        <f>MEDIAN(Raw_Data_MR!G14,Raw_Data_MR!H14,Raw_Data_MR!I14,Raw_Data_MR!K14)</f>
        <v/>
      </c>
      <c r="L14" s="17">
        <f>MEDIAN(Raw_Data_MR!G14,Raw_Data_MR!H14,Raw_Data_MR!I14,Raw_Data_MR!J14)</f>
        <v/>
      </c>
      <c r="M14" s="31">
        <f>Raw_Data_MR!C14/MAX(D14,cfg_mr_partner_clip)</f>
        <v/>
      </c>
      <c r="N14" s="31">
        <f>Raw_Data_MR!D14/MAX(E14,cfg_mr_partner_clip)</f>
        <v/>
      </c>
      <c r="O14" s="31">
        <f>Raw_Data_MR!E14/MAX(F14,cfg_mr_partner_clip)</f>
        <v/>
      </c>
      <c r="P14" s="31">
        <f>Raw_Data_MR!F14/MAX(G14,cfg_mr_partner_clip)</f>
        <v/>
      </c>
      <c r="Q14" s="31">
        <f>Raw_Data_MR!G14/MAX(H14,cfg_mr_partner_clip)</f>
        <v/>
      </c>
      <c r="R14" s="31">
        <f>Raw_Data_MR!H14/MAX(I14,cfg_mr_partner_clip)</f>
        <v/>
      </c>
      <c r="S14" s="31">
        <f>Raw_Data_MR!I14/MAX(J14,cfg_mr_partner_clip)</f>
        <v/>
      </c>
      <c r="T14" s="31">
        <f>Raw_Data_MR!J14/MAX(K14,cfg_mr_partner_clip)</f>
        <v/>
      </c>
      <c r="U14" s="31">
        <f>Raw_Data_MR!K14/MAX(L14,cfg_mr_partner_clip)</f>
        <v/>
      </c>
      <c r="V14" s="5">
        <f>IF(AND(M14&lt;cfg_mr_ratio_threshold,$C14=1),1,0)</f>
        <v/>
      </c>
      <c r="W14" s="5">
        <f>IF(AND(N14&lt;cfg_mr_ratio_threshold,$C14=1),1,0)</f>
        <v/>
      </c>
      <c r="X14" s="5">
        <f>IF(AND(O14&lt;cfg_mr_ratio_threshold,$C14=1),1,0)</f>
        <v/>
      </c>
      <c r="Y14" s="5">
        <f>IF(AND(P14&lt;cfg_mr_ratio_threshold,$C14=1),1,0)</f>
        <v/>
      </c>
      <c r="Z14" s="5">
        <f>IF(AND(Q14&lt;cfg_mr_ratio_threshold,$C14=1),1,0)</f>
        <v/>
      </c>
      <c r="AA14" s="5">
        <f>IF(AND(R14&lt;cfg_mr_ratio_threshold,$C14=1),1,0)</f>
        <v/>
      </c>
      <c r="AB14" s="5">
        <f>IF(AND(S14&lt;cfg_mr_ratio_threshold,$C14=1),1,0)</f>
        <v/>
      </c>
      <c r="AC14" s="5">
        <f>IF(AND(T14&lt;cfg_mr_ratio_threshold,$C14=1),1,0)</f>
        <v/>
      </c>
      <c r="AD14" s="5">
        <f>IF(AND(U14&lt;cfg_mr_ratio_threshold,$C14=1),1,0)</f>
        <v/>
      </c>
      <c r="AE14" s="5">
        <f>IF(V14=1,AE13+1,0)</f>
        <v/>
      </c>
      <c r="AF14" s="5">
        <f>IF(W14=1,AF13+1,0)</f>
        <v/>
      </c>
      <c r="AG14" s="5">
        <f>IF(X14=1,AG13+1,0)</f>
        <v/>
      </c>
      <c r="AH14" s="5">
        <f>IF(Y14=1,AH13+1,0)</f>
        <v/>
      </c>
      <c r="AI14" s="5">
        <f>IF(Z14=1,AI13+1,0)</f>
        <v/>
      </c>
      <c r="AJ14" s="5">
        <f>IF(AA14=1,AJ13+1,0)</f>
        <v/>
      </c>
      <c r="AK14" s="5">
        <f>IF(AB14=1,AK13+1,0)</f>
        <v/>
      </c>
      <c r="AL14" s="5">
        <f>IF(AC14=1,AL13+1,0)</f>
        <v/>
      </c>
      <c r="AM14" s="5">
        <f>IF(AD14=1,AM13+1,0)</f>
        <v/>
      </c>
    </row>
    <row r="15">
      <c r="A15" s="40">
        <f>Raw_Data_MR!A15</f>
        <v/>
      </c>
      <c r="B15" s="5">
        <f>Raw_Data_MR!B15</f>
        <v/>
      </c>
      <c r="C15" s="5">
        <f>IF(AND(B15&gt;cfg_mr_poa_threshold_wm2,B15&gt;cfg_mr_poa_floor_wm2),1,0)</f>
        <v/>
      </c>
      <c r="D15" s="17">
        <f>MEDIAN(Raw_Data_MR!D15,Raw_Data_MR!E15,Raw_Data_MR!F15)</f>
        <v/>
      </c>
      <c r="E15" s="17">
        <f>MEDIAN(Raw_Data_MR!C15,Raw_Data_MR!E15,Raw_Data_MR!F15)</f>
        <v/>
      </c>
      <c r="F15" s="17">
        <f>MEDIAN(Raw_Data_MR!C15,Raw_Data_MR!D15,Raw_Data_MR!F15)</f>
        <v/>
      </c>
      <c r="G15" s="17">
        <f>MEDIAN(Raw_Data_MR!C15,Raw_Data_MR!D15,Raw_Data_MR!E15)</f>
        <v/>
      </c>
      <c r="H15" s="17">
        <f>MEDIAN(Raw_Data_MR!H15,Raw_Data_MR!I15,Raw_Data_MR!J15,Raw_Data_MR!K15)</f>
        <v/>
      </c>
      <c r="I15" s="17">
        <f>MEDIAN(Raw_Data_MR!G15,Raw_Data_MR!I15,Raw_Data_MR!J15,Raw_Data_MR!K15)</f>
        <v/>
      </c>
      <c r="J15" s="17">
        <f>MEDIAN(Raw_Data_MR!G15,Raw_Data_MR!H15,Raw_Data_MR!J15,Raw_Data_MR!K15)</f>
        <v/>
      </c>
      <c r="K15" s="17">
        <f>MEDIAN(Raw_Data_MR!G15,Raw_Data_MR!H15,Raw_Data_MR!I15,Raw_Data_MR!K15)</f>
        <v/>
      </c>
      <c r="L15" s="17">
        <f>MEDIAN(Raw_Data_MR!G15,Raw_Data_MR!H15,Raw_Data_MR!I15,Raw_Data_MR!J15)</f>
        <v/>
      </c>
      <c r="M15" s="31">
        <f>Raw_Data_MR!C15/MAX(D15,cfg_mr_partner_clip)</f>
        <v/>
      </c>
      <c r="N15" s="31">
        <f>Raw_Data_MR!D15/MAX(E15,cfg_mr_partner_clip)</f>
        <v/>
      </c>
      <c r="O15" s="31">
        <f>Raw_Data_MR!E15/MAX(F15,cfg_mr_partner_clip)</f>
        <v/>
      </c>
      <c r="P15" s="31">
        <f>Raw_Data_MR!F15/MAX(G15,cfg_mr_partner_clip)</f>
        <v/>
      </c>
      <c r="Q15" s="31">
        <f>Raw_Data_MR!G15/MAX(H15,cfg_mr_partner_clip)</f>
        <v/>
      </c>
      <c r="R15" s="31">
        <f>Raw_Data_MR!H15/MAX(I15,cfg_mr_partner_clip)</f>
        <v/>
      </c>
      <c r="S15" s="31">
        <f>Raw_Data_MR!I15/MAX(J15,cfg_mr_partner_clip)</f>
        <v/>
      </c>
      <c r="T15" s="31">
        <f>Raw_Data_MR!J15/MAX(K15,cfg_mr_partner_clip)</f>
        <v/>
      </c>
      <c r="U15" s="31">
        <f>Raw_Data_MR!K15/MAX(L15,cfg_mr_partner_clip)</f>
        <v/>
      </c>
      <c r="V15" s="5">
        <f>IF(AND(M15&lt;cfg_mr_ratio_threshold,$C15=1),1,0)</f>
        <v/>
      </c>
      <c r="W15" s="5">
        <f>IF(AND(N15&lt;cfg_mr_ratio_threshold,$C15=1),1,0)</f>
        <v/>
      </c>
      <c r="X15" s="5">
        <f>IF(AND(O15&lt;cfg_mr_ratio_threshold,$C15=1),1,0)</f>
        <v/>
      </c>
      <c r="Y15" s="5">
        <f>IF(AND(P15&lt;cfg_mr_ratio_threshold,$C15=1),1,0)</f>
        <v/>
      </c>
      <c r="Z15" s="5">
        <f>IF(AND(Q15&lt;cfg_mr_ratio_threshold,$C15=1),1,0)</f>
        <v/>
      </c>
      <c r="AA15" s="5">
        <f>IF(AND(R15&lt;cfg_mr_ratio_threshold,$C15=1),1,0)</f>
        <v/>
      </c>
      <c r="AB15" s="5">
        <f>IF(AND(S15&lt;cfg_mr_ratio_threshold,$C15=1),1,0)</f>
        <v/>
      </c>
      <c r="AC15" s="5">
        <f>IF(AND(T15&lt;cfg_mr_ratio_threshold,$C15=1),1,0)</f>
        <v/>
      </c>
      <c r="AD15" s="5">
        <f>IF(AND(U15&lt;cfg_mr_ratio_threshold,$C15=1),1,0)</f>
        <v/>
      </c>
      <c r="AE15" s="5">
        <f>IF(V15=1,AE14+1,0)</f>
        <v/>
      </c>
      <c r="AF15" s="5">
        <f>IF(W15=1,AF14+1,0)</f>
        <v/>
      </c>
      <c r="AG15" s="5">
        <f>IF(X15=1,AG14+1,0)</f>
        <v/>
      </c>
      <c r="AH15" s="5">
        <f>IF(Y15=1,AH14+1,0)</f>
        <v/>
      </c>
      <c r="AI15" s="5">
        <f>IF(Z15=1,AI14+1,0)</f>
        <v/>
      </c>
      <c r="AJ15" s="5">
        <f>IF(AA15=1,AJ14+1,0)</f>
        <v/>
      </c>
      <c r="AK15" s="5">
        <f>IF(AB15=1,AK14+1,0)</f>
        <v/>
      </c>
      <c r="AL15" s="5">
        <f>IF(AC15=1,AL14+1,0)</f>
        <v/>
      </c>
      <c r="AM15" s="5">
        <f>IF(AD15=1,AM14+1,0)</f>
        <v/>
      </c>
    </row>
    <row r="16">
      <c r="A16" s="40">
        <f>Raw_Data_MR!A16</f>
        <v/>
      </c>
      <c r="B16" s="5">
        <f>Raw_Data_MR!B16</f>
        <v/>
      </c>
      <c r="C16" s="5">
        <f>IF(AND(B16&gt;cfg_mr_poa_threshold_wm2,B16&gt;cfg_mr_poa_floor_wm2),1,0)</f>
        <v/>
      </c>
      <c r="D16" s="17">
        <f>MEDIAN(Raw_Data_MR!D16,Raw_Data_MR!E16,Raw_Data_MR!F16)</f>
        <v/>
      </c>
      <c r="E16" s="17">
        <f>MEDIAN(Raw_Data_MR!C16,Raw_Data_MR!E16,Raw_Data_MR!F16)</f>
        <v/>
      </c>
      <c r="F16" s="17">
        <f>MEDIAN(Raw_Data_MR!C16,Raw_Data_MR!D16,Raw_Data_MR!F16)</f>
        <v/>
      </c>
      <c r="G16" s="17">
        <f>MEDIAN(Raw_Data_MR!C16,Raw_Data_MR!D16,Raw_Data_MR!E16)</f>
        <v/>
      </c>
      <c r="H16" s="17">
        <f>MEDIAN(Raw_Data_MR!H16,Raw_Data_MR!I16,Raw_Data_MR!J16,Raw_Data_MR!K16)</f>
        <v/>
      </c>
      <c r="I16" s="17">
        <f>MEDIAN(Raw_Data_MR!G16,Raw_Data_MR!I16,Raw_Data_MR!J16,Raw_Data_MR!K16)</f>
        <v/>
      </c>
      <c r="J16" s="17">
        <f>MEDIAN(Raw_Data_MR!G16,Raw_Data_MR!H16,Raw_Data_MR!J16,Raw_Data_MR!K16)</f>
        <v/>
      </c>
      <c r="K16" s="17">
        <f>MEDIAN(Raw_Data_MR!G16,Raw_Data_MR!H16,Raw_Data_MR!I16,Raw_Data_MR!K16)</f>
        <v/>
      </c>
      <c r="L16" s="17">
        <f>MEDIAN(Raw_Data_MR!G16,Raw_Data_MR!H16,Raw_Data_MR!I16,Raw_Data_MR!J16)</f>
        <v/>
      </c>
      <c r="M16" s="31">
        <f>Raw_Data_MR!C16/MAX(D16,cfg_mr_partner_clip)</f>
        <v/>
      </c>
      <c r="N16" s="31">
        <f>Raw_Data_MR!D16/MAX(E16,cfg_mr_partner_clip)</f>
        <v/>
      </c>
      <c r="O16" s="31">
        <f>Raw_Data_MR!E16/MAX(F16,cfg_mr_partner_clip)</f>
        <v/>
      </c>
      <c r="P16" s="31">
        <f>Raw_Data_MR!F16/MAX(G16,cfg_mr_partner_clip)</f>
        <v/>
      </c>
      <c r="Q16" s="31">
        <f>Raw_Data_MR!G16/MAX(H16,cfg_mr_partner_clip)</f>
        <v/>
      </c>
      <c r="R16" s="31">
        <f>Raw_Data_MR!H16/MAX(I16,cfg_mr_partner_clip)</f>
        <v/>
      </c>
      <c r="S16" s="31">
        <f>Raw_Data_MR!I16/MAX(J16,cfg_mr_partner_clip)</f>
        <v/>
      </c>
      <c r="T16" s="31">
        <f>Raw_Data_MR!J16/MAX(K16,cfg_mr_partner_clip)</f>
        <v/>
      </c>
      <c r="U16" s="31">
        <f>Raw_Data_MR!K16/MAX(L16,cfg_mr_partner_clip)</f>
        <v/>
      </c>
      <c r="V16" s="5">
        <f>IF(AND(M16&lt;cfg_mr_ratio_threshold,$C16=1),1,0)</f>
        <v/>
      </c>
      <c r="W16" s="5">
        <f>IF(AND(N16&lt;cfg_mr_ratio_threshold,$C16=1),1,0)</f>
        <v/>
      </c>
      <c r="X16" s="5">
        <f>IF(AND(O16&lt;cfg_mr_ratio_threshold,$C16=1),1,0)</f>
        <v/>
      </c>
      <c r="Y16" s="5">
        <f>IF(AND(P16&lt;cfg_mr_ratio_threshold,$C16=1),1,0)</f>
        <v/>
      </c>
      <c r="Z16" s="5">
        <f>IF(AND(Q16&lt;cfg_mr_ratio_threshold,$C16=1),1,0)</f>
        <v/>
      </c>
      <c r="AA16" s="5">
        <f>IF(AND(R16&lt;cfg_mr_ratio_threshold,$C16=1),1,0)</f>
        <v/>
      </c>
      <c r="AB16" s="5">
        <f>IF(AND(S16&lt;cfg_mr_ratio_threshold,$C16=1),1,0)</f>
        <v/>
      </c>
      <c r="AC16" s="5">
        <f>IF(AND(T16&lt;cfg_mr_ratio_threshold,$C16=1),1,0)</f>
        <v/>
      </c>
      <c r="AD16" s="5">
        <f>IF(AND(U16&lt;cfg_mr_ratio_threshold,$C16=1),1,0)</f>
        <v/>
      </c>
      <c r="AE16" s="5">
        <f>IF(V16=1,AE15+1,0)</f>
        <v/>
      </c>
      <c r="AF16" s="5">
        <f>IF(W16=1,AF15+1,0)</f>
        <v/>
      </c>
      <c r="AG16" s="5">
        <f>IF(X16=1,AG15+1,0)</f>
        <v/>
      </c>
      <c r="AH16" s="5">
        <f>IF(Y16=1,AH15+1,0)</f>
        <v/>
      </c>
      <c r="AI16" s="5">
        <f>IF(Z16=1,AI15+1,0)</f>
        <v/>
      </c>
      <c r="AJ16" s="5">
        <f>IF(AA16=1,AJ15+1,0)</f>
        <v/>
      </c>
      <c r="AK16" s="5">
        <f>IF(AB16=1,AK15+1,0)</f>
        <v/>
      </c>
      <c r="AL16" s="5">
        <f>IF(AC16=1,AL15+1,0)</f>
        <v/>
      </c>
      <c r="AM16" s="5">
        <f>IF(AD16=1,AM15+1,0)</f>
        <v/>
      </c>
    </row>
    <row r="17">
      <c r="A17" s="40">
        <f>Raw_Data_MR!A17</f>
        <v/>
      </c>
      <c r="B17" s="5">
        <f>Raw_Data_MR!B17</f>
        <v/>
      </c>
      <c r="C17" s="5">
        <f>IF(AND(B17&gt;cfg_mr_poa_threshold_wm2,B17&gt;cfg_mr_poa_floor_wm2),1,0)</f>
        <v/>
      </c>
      <c r="D17" s="17">
        <f>MEDIAN(Raw_Data_MR!D17,Raw_Data_MR!E17,Raw_Data_MR!F17)</f>
        <v/>
      </c>
      <c r="E17" s="17">
        <f>MEDIAN(Raw_Data_MR!C17,Raw_Data_MR!E17,Raw_Data_MR!F17)</f>
        <v/>
      </c>
      <c r="F17" s="17">
        <f>MEDIAN(Raw_Data_MR!C17,Raw_Data_MR!D17,Raw_Data_MR!F17)</f>
        <v/>
      </c>
      <c r="G17" s="17">
        <f>MEDIAN(Raw_Data_MR!C17,Raw_Data_MR!D17,Raw_Data_MR!E17)</f>
        <v/>
      </c>
      <c r="H17" s="17">
        <f>MEDIAN(Raw_Data_MR!H17,Raw_Data_MR!I17,Raw_Data_MR!J17,Raw_Data_MR!K17)</f>
        <v/>
      </c>
      <c r="I17" s="17">
        <f>MEDIAN(Raw_Data_MR!G17,Raw_Data_MR!I17,Raw_Data_MR!J17,Raw_Data_MR!K17)</f>
        <v/>
      </c>
      <c r="J17" s="17">
        <f>MEDIAN(Raw_Data_MR!G17,Raw_Data_MR!H17,Raw_Data_MR!J17,Raw_Data_MR!K17)</f>
        <v/>
      </c>
      <c r="K17" s="17">
        <f>MEDIAN(Raw_Data_MR!G17,Raw_Data_MR!H17,Raw_Data_MR!I17,Raw_Data_MR!K17)</f>
        <v/>
      </c>
      <c r="L17" s="17">
        <f>MEDIAN(Raw_Data_MR!G17,Raw_Data_MR!H17,Raw_Data_MR!I17,Raw_Data_MR!J17)</f>
        <v/>
      </c>
      <c r="M17" s="31">
        <f>Raw_Data_MR!C17/MAX(D17,cfg_mr_partner_clip)</f>
        <v/>
      </c>
      <c r="N17" s="31">
        <f>Raw_Data_MR!D17/MAX(E17,cfg_mr_partner_clip)</f>
        <v/>
      </c>
      <c r="O17" s="31">
        <f>Raw_Data_MR!E17/MAX(F17,cfg_mr_partner_clip)</f>
        <v/>
      </c>
      <c r="P17" s="31">
        <f>Raw_Data_MR!F17/MAX(G17,cfg_mr_partner_clip)</f>
        <v/>
      </c>
      <c r="Q17" s="31">
        <f>Raw_Data_MR!G17/MAX(H17,cfg_mr_partner_clip)</f>
        <v/>
      </c>
      <c r="R17" s="31">
        <f>Raw_Data_MR!H17/MAX(I17,cfg_mr_partner_clip)</f>
        <v/>
      </c>
      <c r="S17" s="31">
        <f>Raw_Data_MR!I17/MAX(J17,cfg_mr_partner_clip)</f>
        <v/>
      </c>
      <c r="T17" s="31">
        <f>Raw_Data_MR!J17/MAX(K17,cfg_mr_partner_clip)</f>
        <v/>
      </c>
      <c r="U17" s="31">
        <f>Raw_Data_MR!K17/MAX(L17,cfg_mr_partner_clip)</f>
        <v/>
      </c>
      <c r="V17" s="5">
        <f>IF(AND(M17&lt;cfg_mr_ratio_threshold,$C17=1),1,0)</f>
        <v/>
      </c>
      <c r="W17" s="5">
        <f>IF(AND(N17&lt;cfg_mr_ratio_threshold,$C17=1),1,0)</f>
        <v/>
      </c>
      <c r="X17" s="5">
        <f>IF(AND(O17&lt;cfg_mr_ratio_threshold,$C17=1),1,0)</f>
        <v/>
      </c>
      <c r="Y17" s="5">
        <f>IF(AND(P17&lt;cfg_mr_ratio_threshold,$C17=1),1,0)</f>
        <v/>
      </c>
      <c r="Z17" s="5">
        <f>IF(AND(Q17&lt;cfg_mr_ratio_threshold,$C17=1),1,0)</f>
        <v/>
      </c>
      <c r="AA17" s="5">
        <f>IF(AND(R17&lt;cfg_mr_ratio_threshold,$C17=1),1,0)</f>
        <v/>
      </c>
      <c r="AB17" s="5">
        <f>IF(AND(S17&lt;cfg_mr_ratio_threshold,$C17=1),1,0)</f>
        <v/>
      </c>
      <c r="AC17" s="5">
        <f>IF(AND(T17&lt;cfg_mr_ratio_threshold,$C17=1),1,0)</f>
        <v/>
      </c>
      <c r="AD17" s="5">
        <f>IF(AND(U17&lt;cfg_mr_ratio_threshold,$C17=1),1,0)</f>
        <v/>
      </c>
      <c r="AE17" s="5">
        <f>IF(V17=1,AE16+1,0)</f>
        <v/>
      </c>
      <c r="AF17" s="5">
        <f>IF(W17=1,AF16+1,0)</f>
        <v/>
      </c>
      <c r="AG17" s="5">
        <f>IF(X17=1,AG16+1,0)</f>
        <v/>
      </c>
      <c r="AH17" s="5">
        <f>IF(Y17=1,AH16+1,0)</f>
        <v/>
      </c>
      <c r="AI17" s="5">
        <f>IF(Z17=1,AI16+1,0)</f>
        <v/>
      </c>
      <c r="AJ17" s="5">
        <f>IF(AA17=1,AJ16+1,0)</f>
        <v/>
      </c>
      <c r="AK17" s="5">
        <f>IF(AB17=1,AK16+1,0)</f>
        <v/>
      </c>
      <c r="AL17" s="5">
        <f>IF(AC17=1,AL16+1,0)</f>
        <v/>
      </c>
      <c r="AM17" s="5">
        <f>IF(AD17=1,AM16+1,0)</f>
        <v/>
      </c>
    </row>
    <row r="18">
      <c r="A18" s="40">
        <f>Raw_Data_MR!A18</f>
        <v/>
      </c>
      <c r="B18" s="5">
        <f>Raw_Data_MR!B18</f>
        <v/>
      </c>
      <c r="C18" s="5">
        <f>IF(AND(B18&gt;cfg_mr_poa_threshold_wm2,B18&gt;cfg_mr_poa_floor_wm2),1,0)</f>
        <v/>
      </c>
      <c r="D18" s="17">
        <f>MEDIAN(Raw_Data_MR!D18,Raw_Data_MR!E18,Raw_Data_MR!F18)</f>
        <v/>
      </c>
      <c r="E18" s="17">
        <f>MEDIAN(Raw_Data_MR!C18,Raw_Data_MR!E18,Raw_Data_MR!F18)</f>
        <v/>
      </c>
      <c r="F18" s="17">
        <f>MEDIAN(Raw_Data_MR!C18,Raw_Data_MR!D18,Raw_Data_MR!F18)</f>
        <v/>
      </c>
      <c r="G18" s="17">
        <f>MEDIAN(Raw_Data_MR!C18,Raw_Data_MR!D18,Raw_Data_MR!E18)</f>
        <v/>
      </c>
      <c r="H18" s="17">
        <f>MEDIAN(Raw_Data_MR!H18,Raw_Data_MR!I18,Raw_Data_MR!J18,Raw_Data_MR!K18)</f>
        <v/>
      </c>
      <c r="I18" s="17">
        <f>MEDIAN(Raw_Data_MR!G18,Raw_Data_MR!I18,Raw_Data_MR!J18,Raw_Data_MR!K18)</f>
        <v/>
      </c>
      <c r="J18" s="17">
        <f>MEDIAN(Raw_Data_MR!G18,Raw_Data_MR!H18,Raw_Data_MR!J18,Raw_Data_MR!K18)</f>
        <v/>
      </c>
      <c r="K18" s="17">
        <f>MEDIAN(Raw_Data_MR!G18,Raw_Data_MR!H18,Raw_Data_MR!I18,Raw_Data_MR!K18)</f>
        <v/>
      </c>
      <c r="L18" s="17">
        <f>MEDIAN(Raw_Data_MR!G18,Raw_Data_MR!H18,Raw_Data_MR!I18,Raw_Data_MR!J18)</f>
        <v/>
      </c>
      <c r="M18" s="31">
        <f>Raw_Data_MR!C18/MAX(D18,cfg_mr_partner_clip)</f>
        <v/>
      </c>
      <c r="N18" s="31">
        <f>Raw_Data_MR!D18/MAX(E18,cfg_mr_partner_clip)</f>
        <v/>
      </c>
      <c r="O18" s="31">
        <f>Raw_Data_MR!E18/MAX(F18,cfg_mr_partner_clip)</f>
        <v/>
      </c>
      <c r="P18" s="31">
        <f>Raw_Data_MR!F18/MAX(G18,cfg_mr_partner_clip)</f>
        <v/>
      </c>
      <c r="Q18" s="31">
        <f>Raw_Data_MR!G18/MAX(H18,cfg_mr_partner_clip)</f>
        <v/>
      </c>
      <c r="R18" s="31">
        <f>Raw_Data_MR!H18/MAX(I18,cfg_mr_partner_clip)</f>
        <v/>
      </c>
      <c r="S18" s="31">
        <f>Raw_Data_MR!I18/MAX(J18,cfg_mr_partner_clip)</f>
        <v/>
      </c>
      <c r="T18" s="31">
        <f>Raw_Data_MR!J18/MAX(K18,cfg_mr_partner_clip)</f>
        <v/>
      </c>
      <c r="U18" s="31">
        <f>Raw_Data_MR!K18/MAX(L18,cfg_mr_partner_clip)</f>
        <v/>
      </c>
      <c r="V18" s="5">
        <f>IF(AND(M18&lt;cfg_mr_ratio_threshold,$C18=1),1,0)</f>
        <v/>
      </c>
      <c r="W18" s="5">
        <f>IF(AND(N18&lt;cfg_mr_ratio_threshold,$C18=1),1,0)</f>
        <v/>
      </c>
      <c r="X18" s="5">
        <f>IF(AND(O18&lt;cfg_mr_ratio_threshold,$C18=1),1,0)</f>
        <v/>
      </c>
      <c r="Y18" s="5">
        <f>IF(AND(P18&lt;cfg_mr_ratio_threshold,$C18=1),1,0)</f>
        <v/>
      </c>
      <c r="Z18" s="5">
        <f>IF(AND(Q18&lt;cfg_mr_ratio_threshold,$C18=1),1,0)</f>
        <v/>
      </c>
      <c r="AA18" s="5">
        <f>IF(AND(R18&lt;cfg_mr_ratio_threshold,$C18=1),1,0)</f>
        <v/>
      </c>
      <c r="AB18" s="5">
        <f>IF(AND(S18&lt;cfg_mr_ratio_threshold,$C18=1),1,0)</f>
        <v/>
      </c>
      <c r="AC18" s="5">
        <f>IF(AND(T18&lt;cfg_mr_ratio_threshold,$C18=1),1,0)</f>
        <v/>
      </c>
      <c r="AD18" s="5">
        <f>IF(AND(U18&lt;cfg_mr_ratio_threshold,$C18=1),1,0)</f>
        <v/>
      </c>
      <c r="AE18" s="5">
        <f>IF(V18=1,AE17+1,0)</f>
        <v/>
      </c>
      <c r="AF18" s="5">
        <f>IF(W18=1,AF17+1,0)</f>
        <v/>
      </c>
      <c r="AG18" s="5">
        <f>IF(X18=1,AG17+1,0)</f>
        <v/>
      </c>
      <c r="AH18" s="5">
        <f>IF(Y18=1,AH17+1,0)</f>
        <v/>
      </c>
      <c r="AI18" s="5">
        <f>IF(Z18=1,AI17+1,0)</f>
        <v/>
      </c>
      <c r="AJ18" s="5">
        <f>IF(AA18=1,AJ17+1,0)</f>
        <v/>
      </c>
      <c r="AK18" s="5">
        <f>IF(AB18=1,AK17+1,0)</f>
        <v/>
      </c>
      <c r="AL18" s="5">
        <f>IF(AC18=1,AL17+1,0)</f>
        <v/>
      </c>
      <c r="AM18" s="5">
        <f>IF(AD18=1,AM17+1,0)</f>
        <v/>
      </c>
    </row>
    <row r="19">
      <c r="A19" s="40">
        <f>Raw_Data_MR!A19</f>
        <v/>
      </c>
      <c r="B19" s="5">
        <f>Raw_Data_MR!B19</f>
        <v/>
      </c>
      <c r="C19" s="5">
        <f>IF(AND(B19&gt;cfg_mr_poa_threshold_wm2,B19&gt;cfg_mr_poa_floor_wm2),1,0)</f>
        <v/>
      </c>
      <c r="D19" s="17">
        <f>MEDIAN(Raw_Data_MR!D19,Raw_Data_MR!E19,Raw_Data_MR!F19)</f>
        <v/>
      </c>
      <c r="E19" s="17">
        <f>MEDIAN(Raw_Data_MR!C19,Raw_Data_MR!E19,Raw_Data_MR!F19)</f>
        <v/>
      </c>
      <c r="F19" s="17">
        <f>MEDIAN(Raw_Data_MR!C19,Raw_Data_MR!D19,Raw_Data_MR!F19)</f>
        <v/>
      </c>
      <c r="G19" s="17">
        <f>MEDIAN(Raw_Data_MR!C19,Raw_Data_MR!D19,Raw_Data_MR!E19)</f>
        <v/>
      </c>
      <c r="H19" s="17">
        <f>MEDIAN(Raw_Data_MR!H19,Raw_Data_MR!I19,Raw_Data_MR!J19,Raw_Data_MR!K19)</f>
        <v/>
      </c>
      <c r="I19" s="17">
        <f>MEDIAN(Raw_Data_MR!G19,Raw_Data_MR!I19,Raw_Data_MR!J19,Raw_Data_MR!K19)</f>
        <v/>
      </c>
      <c r="J19" s="17">
        <f>MEDIAN(Raw_Data_MR!G19,Raw_Data_MR!H19,Raw_Data_MR!J19,Raw_Data_MR!K19)</f>
        <v/>
      </c>
      <c r="K19" s="17">
        <f>MEDIAN(Raw_Data_MR!G19,Raw_Data_MR!H19,Raw_Data_MR!I19,Raw_Data_MR!K19)</f>
        <v/>
      </c>
      <c r="L19" s="17">
        <f>MEDIAN(Raw_Data_MR!G19,Raw_Data_MR!H19,Raw_Data_MR!I19,Raw_Data_MR!J19)</f>
        <v/>
      </c>
      <c r="M19" s="31">
        <f>Raw_Data_MR!C19/MAX(D19,cfg_mr_partner_clip)</f>
        <v/>
      </c>
      <c r="N19" s="31">
        <f>Raw_Data_MR!D19/MAX(E19,cfg_mr_partner_clip)</f>
        <v/>
      </c>
      <c r="O19" s="31">
        <f>Raw_Data_MR!E19/MAX(F19,cfg_mr_partner_clip)</f>
        <v/>
      </c>
      <c r="P19" s="31">
        <f>Raw_Data_MR!F19/MAX(G19,cfg_mr_partner_clip)</f>
        <v/>
      </c>
      <c r="Q19" s="31">
        <f>Raw_Data_MR!G19/MAX(H19,cfg_mr_partner_clip)</f>
        <v/>
      </c>
      <c r="R19" s="31">
        <f>Raw_Data_MR!H19/MAX(I19,cfg_mr_partner_clip)</f>
        <v/>
      </c>
      <c r="S19" s="31">
        <f>Raw_Data_MR!I19/MAX(J19,cfg_mr_partner_clip)</f>
        <v/>
      </c>
      <c r="T19" s="31">
        <f>Raw_Data_MR!J19/MAX(K19,cfg_mr_partner_clip)</f>
        <v/>
      </c>
      <c r="U19" s="31">
        <f>Raw_Data_MR!K19/MAX(L19,cfg_mr_partner_clip)</f>
        <v/>
      </c>
      <c r="V19" s="5">
        <f>IF(AND(M19&lt;cfg_mr_ratio_threshold,$C19=1),1,0)</f>
        <v/>
      </c>
      <c r="W19" s="5">
        <f>IF(AND(N19&lt;cfg_mr_ratio_threshold,$C19=1),1,0)</f>
        <v/>
      </c>
      <c r="X19" s="5">
        <f>IF(AND(O19&lt;cfg_mr_ratio_threshold,$C19=1),1,0)</f>
        <v/>
      </c>
      <c r="Y19" s="5">
        <f>IF(AND(P19&lt;cfg_mr_ratio_threshold,$C19=1),1,0)</f>
        <v/>
      </c>
      <c r="Z19" s="5">
        <f>IF(AND(Q19&lt;cfg_mr_ratio_threshold,$C19=1),1,0)</f>
        <v/>
      </c>
      <c r="AA19" s="5">
        <f>IF(AND(R19&lt;cfg_mr_ratio_threshold,$C19=1),1,0)</f>
        <v/>
      </c>
      <c r="AB19" s="5">
        <f>IF(AND(S19&lt;cfg_mr_ratio_threshold,$C19=1),1,0)</f>
        <v/>
      </c>
      <c r="AC19" s="5">
        <f>IF(AND(T19&lt;cfg_mr_ratio_threshold,$C19=1),1,0)</f>
        <v/>
      </c>
      <c r="AD19" s="5">
        <f>IF(AND(U19&lt;cfg_mr_ratio_threshold,$C19=1),1,0)</f>
        <v/>
      </c>
      <c r="AE19" s="5">
        <f>IF(V19=1,AE18+1,0)</f>
        <v/>
      </c>
      <c r="AF19" s="5">
        <f>IF(W19=1,AF18+1,0)</f>
        <v/>
      </c>
      <c r="AG19" s="5">
        <f>IF(X19=1,AG18+1,0)</f>
        <v/>
      </c>
      <c r="AH19" s="5">
        <f>IF(Y19=1,AH18+1,0)</f>
        <v/>
      </c>
      <c r="AI19" s="5">
        <f>IF(Z19=1,AI18+1,0)</f>
        <v/>
      </c>
      <c r="AJ19" s="5">
        <f>IF(AA19=1,AJ18+1,0)</f>
        <v/>
      </c>
      <c r="AK19" s="5">
        <f>IF(AB19=1,AK18+1,0)</f>
        <v/>
      </c>
      <c r="AL19" s="5">
        <f>IF(AC19=1,AL18+1,0)</f>
        <v/>
      </c>
      <c r="AM19" s="5">
        <f>IF(AD19=1,AM18+1,0)</f>
        <v/>
      </c>
    </row>
    <row r="20">
      <c r="A20" s="40">
        <f>Raw_Data_MR!A20</f>
        <v/>
      </c>
      <c r="B20" s="5">
        <f>Raw_Data_MR!B20</f>
        <v/>
      </c>
      <c r="C20" s="5">
        <f>IF(AND(B20&gt;cfg_mr_poa_threshold_wm2,B20&gt;cfg_mr_poa_floor_wm2),1,0)</f>
        <v/>
      </c>
      <c r="D20" s="17">
        <f>MEDIAN(Raw_Data_MR!D20,Raw_Data_MR!E20,Raw_Data_MR!F20)</f>
        <v/>
      </c>
      <c r="E20" s="17">
        <f>MEDIAN(Raw_Data_MR!C20,Raw_Data_MR!E20,Raw_Data_MR!F20)</f>
        <v/>
      </c>
      <c r="F20" s="17">
        <f>MEDIAN(Raw_Data_MR!C20,Raw_Data_MR!D20,Raw_Data_MR!F20)</f>
        <v/>
      </c>
      <c r="G20" s="17">
        <f>MEDIAN(Raw_Data_MR!C20,Raw_Data_MR!D20,Raw_Data_MR!E20)</f>
        <v/>
      </c>
      <c r="H20" s="17">
        <f>MEDIAN(Raw_Data_MR!H20,Raw_Data_MR!I20,Raw_Data_MR!J20,Raw_Data_MR!K20)</f>
        <v/>
      </c>
      <c r="I20" s="17">
        <f>MEDIAN(Raw_Data_MR!G20,Raw_Data_MR!I20,Raw_Data_MR!J20,Raw_Data_MR!K20)</f>
        <v/>
      </c>
      <c r="J20" s="17">
        <f>MEDIAN(Raw_Data_MR!G20,Raw_Data_MR!H20,Raw_Data_MR!J20,Raw_Data_MR!K20)</f>
        <v/>
      </c>
      <c r="K20" s="17">
        <f>MEDIAN(Raw_Data_MR!G20,Raw_Data_MR!H20,Raw_Data_MR!I20,Raw_Data_MR!K20)</f>
        <v/>
      </c>
      <c r="L20" s="17">
        <f>MEDIAN(Raw_Data_MR!G20,Raw_Data_MR!H20,Raw_Data_MR!I20,Raw_Data_MR!J20)</f>
        <v/>
      </c>
      <c r="M20" s="31">
        <f>Raw_Data_MR!C20/MAX(D20,cfg_mr_partner_clip)</f>
        <v/>
      </c>
      <c r="N20" s="31">
        <f>Raw_Data_MR!D20/MAX(E20,cfg_mr_partner_clip)</f>
        <v/>
      </c>
      <c r="O20" s="31">
        <f>Raw_Data_MR!E20/MAX(F20,cfg_mr_partner_clip)</f>
        <v/>
      </c>
      <c r="P20" s="31">
        <f>Raw_Data_MR!F20/MAX(G20,cfg_mr_partner_clip)</f>
        <v/>
      </c>
      <c r="Q20" s="31">
        <f>Raw_Data_MR!G20/MAX(H20,cfg_mr_partner_clip)</f>
        <v/>
      </c>
      <c r="R20" s="31">
        <f>Raw_Data_MR!H20/MAX(I20,cfg_mr_partner_clip)</f>
        <v/>
      </c>
      <c r="S20" s="31">
        <f>Raw_Data_MR!I20/MAX(J20,cfg_mr_partner_clip)</f>
        <v/>
      </c>
      <c r="T20" s="31">
        <f>Raw_Data_MR!J20/MAX(K20,cfg_mr_partner_clip)</f>
        <v/>
      </c>
      <c r="U20" s="31">
        <f>Raw_Data_MR!K20/MAX(L20,cfg_mr_partner_clip)</f>
        <v/>
      </c>
      <c r="V20" s="5">
        <f>IF(AND(M20&lt;cfg_mr_ratio_threshold,$C20=1),1,0)</f>
        <v/>
      </c>
      <c r="W20" s="5">
        <f>IF(AND(N20&lt;cfg_mr_ratio_threshold,$C20=1),1,0)</f>
        <v/>
      </c>
      <c r="X20" s="5">
        <f>IF(AND(O20&lt;cfg_mr_ratio_threshold,$C20=1),1,0)</f>
        <v/>
      </c>
      <c r="Y20" s="5">
        <f>IF(AND(P20&lt;cfg_mr_ratio_threshold,$C20=1),1,0)</f>
        <v/>
      </c>
      <c r="Z20" s="5">
        <f>IF(AND(Q20&lt;cfg_mr_ratio_threshold,$C20=1),1,0)</f>
        <v/>
      </c>
      <c r="AA20" s="5">
        <f>IF(AND(R20&lt;cfg_mr_ratio_threshold,$C20=1),1,0)</f>
        <v/>
      </c>
      <c r="AB20" s="5">
        <f>IF(AND(S20&lt;cfg_mr_ratio_threshold,$C20=1),1,0)</f>
        <v/>
      </c>
      <c r="AC20" s="5">
        <f>IF(AND(T20&lt;cfg_mr_ratio_threshold,$C20=1),1,0)</f>
        <v/>
      </c>
      <c r="AD20" s="5">
        <f>IF(AND(U20&lt;cfg_mr_ratio_threshold,$C20=1),1,0)</f>
        <v/>
      </c>
      <c r="AE20" s="5">
        <f>IF(V20=1,AE19+1,0)</f>
        <v/>
      </c>
      <c r="AF20" s="5">
        <f>IF(W20=1,AF19+1,0)</f>
        <v/>
      </c>
      <c r="AG20" s="5">
        <f>IF(X20=1,AG19+1,0)</f>
        <v/>
      </c>
      <c r="AH20" s="5">
        <f>IF(Y20=1,AH19+1,0)</f>
        <v/>
      </c>
      <c r="AI20" s="5">
        <f>IF(Z20=1,AI19+1,0)</f>
        <v/>
      </c>
      <c r="AJ20" s="5">
        <f>IF(AA20=1,AJ19+1,0)</f>
        <v/>
      </c>
      <c r="AK20" s="5">
        <f>IF(AB20=1,AK19+1,0)</f>
        <v/>
      </c>
      <c r="AL20" s="5">
        <f>IF(AC20=1,AL19+1,0)</f>
        <v/>
      </c>
      <c r="AM20" s="5">
        <f>IF(AD20=1,AM19+1,0)</f>
        <v/>
      </c>
    </row>
    <row r="21">
      <c r="A21" s="40">
        <f>Raw_Data_MR!A21</f>
        <v/>
      </c>
      <c r="B21" s="5">
        <f>Raw_Data_MR!B21</f>
        <v/>
      </c>
      <c r="C21" s="5">
        <f>IF(AND(B21&gt;cfg_mr_poa_threshold_wm2,B21&gt;cfg_mr_poa_floor_wm2),1,0)</f>
        <v/>
      </c>
      <c r="D21" s="17">
        <f>MEDIAN(Raw_Data_MR!D21,Raw_Data_MR!E21,Raw_Data_MR!F21)</f>
        <v/>
      </c>
      <c r="E21" s="17">
        <f>MEDIAN(Raw_Data_MR!C21,Raw_Data_MR!E21,Raw_Data_MR!F21)</f>
        <v/>
      </c>
      <c r="F21" s="17">
        <f>MEDIAN(Raw_Data_MR!C21,Raw_Data_MR!D21,Raw_Data_MR!F21)</f>
        <v/>
      </c>
      <c r="G21" s="17">
        <f>MEDIAN(Raw_Data_MR!C21,Raw_Data_MR!D21,Raw_Data_MR!E21)</f>
        <v/>
      </c>
      <c r="H21" s="17">
        <f>MEDIAN(Raw_Data_MR!H21,Raw_Data_MR!I21,Raw_Data_MR!J21,Raw_Data_MR!K21)</f>
        <v/>
      </c>
      <c r="I21" s="17">
        <f>MEDIAN(Raw_Data_MR!G21,Raw_Data_MR!I21,Raw_Data_MR!J21,Raw_Data_MR!K21)</f>
        <v/>
      </c>
      <c r="J21" s="17">
        <f>MEDIAN(Raw_Data_MR!G21,Raw_Data_MR!H21,Raw_Data_MR!J21,Raw_Data_MR!K21)</f>
        <v/>
      </c>
      <c r="K21" s="17">
        <f>MEDIAN(Raw_Data_MR!G21,Raw_Data_MR!H21,Raw_Data_MR!I21,Raw_Data_MR!K21)</f>
        <v/>
      </c>
      <c r="L21" s="17">
        <f>MEDIAN(Raw_Data_MR!G21,Raw_Data_MR!H21,Raw_Data_MR!I21,Raw_Data_MR!J21)</f>
        <v/>
      </c>
      <c r="M21" s="31">
        <f>Raw_Data_MR!C21/MAX(D21,cfg_mr_partner_clip)</f>
        <v/>
      </c>
      <c r="N21" s="31">
        <f>Raw_Data_MR!D21/MAX(E21,cfg_mr_partner_clip)</f>
        <v/>
      </c>
      <c r="O21" s="31">
        <f>Raw_Data_MR!E21/MAX(F21,cfg_mr_partner_clip)</f>
        <v/>
      </c>
      <c r="P21" s="31">
        <f>Raw_Data_MR!F21/MAX(G21,cfg_mr_partner_clip)</f>
        <v/>
      </c>
      <c r="Q21" s="31">
        <f>Raw_Data_MR!G21/MAX(H21,cfg_mr_partner_clip)</f>
        <v/>
      </c>
      <c r="R21" s="31">
        <f>Raw_Data_MR!H21/MAX(I21,cfg_mr_partner_clip)</f>
        <v/>
      </c>
      <c r="S21" s="31">
        <f>Raw_Data_MR!I21/MAX(J21,cfg_mr_partner_clip)</f>
        <v/>
      </c>
      <c r="T21" s="31">
        <f>Raw_Data_MR!J21/MAX(K21,cfg_mr_partner_clip)</f>
        <v/>
      </c>
      <c r="U21" s="31">
        <f>Raw_Data_MR!K21/MAX(L21,cfg_mr_partner_clip)</f>
        <v/>
      </c>
      <c r="V21" s="5">
        <f>IF(AND(M21&lt;cfg_mr_ratio_threshold,$C21=1),1,0)</f>
        <v/>
      </c>
      <c r="W21" s="5">
        <f>IF(AND(N21&lt;cfg_mr_ratio_threshold,$C21=1),1,0)</f>
        <v/>
      </c>
      <c r="X21" s="5">
        <f>IF(AND(O21&lt;cfg_mr_ratio_threshold,$C21=1),1,0)</f>
        <v/>
      </c>
      <c r="Y21" s="5">
        <f>IF(AND(P21&lt;cfg_mr_ratio_threshold,$C21=1),1,0)</f>
        <v/>
      </c>
      <c r="Z21" s="5">
        <f>IF(AND(Q21&lt;cfg_mr_ratio_threshold,$C21=1),1,0)</f>
        <v/>
      </c>
      <c r="AA21" s="5">
        <f>IF(AND(R21&lt;cfg_mr_ratio_threshold,$C21=1),1,0)</f>
        <v/>
      </c>
      <c r="AB21" s="5">
        <f>IF(AND(S21&lt;cfg_mr_ratio_threshold,$C21=1),1,0)</f>
        <v/>
      </c>
      <c r="AC21" s="5">
        <f>IF(AND(T21&lt;cfg_mr_ratio_threshold,$C21=1),1,0)</f>
        <v/>
      </c>
      <c r="AD21" s="5">
        <f>IF(AND(U21&lt;cfg_mr_ratio_threshold,$C21=1),1,0)</f>
        <v/>
      </c>
      <c r="AE21" s="5">
        <f>IF(V21=1,AE20+1,0)</f>
        <v/>
      </c>
      <c r="AF21" s="5">
        <f>IF(W21=1,AF20+1,0)</f>
        <v/>
      </c>
      <c r="AG21" s="5">
        <f>IF(X21=1,AG20+1,0)</f>
        <v/>
      </c>
      <c r="AH21" s="5">
        <f>IF(Y21=1,AH20+1,0)</f>
        <v/>
      </c>
      <c r="AI21" s="5">
        <f>IF(Z21=1,AI20+1,0)</f>
        <v/>
      </c>
      <c r="AJ21" s="5">
        <f>IF(AA21=1,AJ20+1,0)</f>
        <v/>
      </c>
      <c r="AK21" s="5">
        <f>IF(AB21=1,AK20+1,0)</f>
        <v/>
      </c>
      <c r="AL21" s="5">
        <f>IF(AC21=1,AL20+1,0)</f>
        <v/>
      </c>
      <c r="AM21" s="5">
        <f>IF(AD21=1,AM20+1,0)</f>
        <v/>
      </c>
    </row>
    <row r="22">
      <c r="A22" s="40">
        <f>Raw_Data_MR!A22</f>
        <v/>
      </c>
      <c r="B22" s="5">
        <f>Raw_Data_MR!B22</f>
        <v/>
      </c>
      <c r="C22" s="5">
        <f>IF(AND(B22&gt;cfg_mr_poa_threshold_wm2,B22&gt;cfg_mr_poa_floor_wm2),1,0)</f>
        <v/>
      </c>
      <c r="D22" s="17">
        <f>MEDIAN(Raw_Data_MR!D22,Raw_Data_MR!E22,Raw_Data_MR!F22)</f>
        <v/>
      </c>
      <c r="E22" s="17">
        <f>MEDIAN(Raw_Data_MR!C22,Raw_Data_MR!E22,Raw_Data_MR!F22)</f>
        <v/>
      </c>
      <c r="F22" s="17">
        <f>MEDIAN(Raw_Data_MR!C22,Raw_Data_MR!D22,Raw_Data_MR!F22)</f>
        <v/>
      </c>
      <c r="G22" s="17">
        <f>MEDIAN(Raw_Data_MR!C22,Raw_Data_MR!D22,Raw_Data_MR!E22)</f>
        <v/>
      </c>
      <c r="H22" s="17">
        <f>MEDIAN(Raw_Data_MR!H22,Raw_Data_MR!I22,Raw_Data_MR!J22,Raw_Data_MR!K22)</f>
        <v/>
      </c>
      <c r="I22" s="17">
        <f>MEDIAN(Raw_Data_MR!G22,Raw_Data_MR!I22,Raw_Data_MR!J22,Raw_Data_MR!K22)</f>
        <v/>
      </c>
      <c r="J22" s="17">
        <f>MEDIAN(Raw_Data_MR!G22,Raw_Data_MR!H22,Raw_Data_MR!J22,Raw_Data_MR!K22)</f>
        <v/>
      </c>
      <c r="K22" s="17">
        <f>MEDIAN(Raw_Data_MR!G22,Raw_Data_MR!H22,Raw_Data_MR!I22,Raw_Data_MR!K22)</f>
        <v/>
      </c>
      <c r="L22" s="17">
        <f>MEDIAN(Raw_Data_MR!G22,Raw_Data_MR!H22,Raw_Data_MR!I22,Raw_Data_MR!J22)</f>
        <v/>
      </c>
      <c r="M22" s="31">
        <f>Raw_Data_MR!C22/MAX(D22,cfg_mr_partner_clip)</f>
        <v/>
      </c>
      <c r="N22" s="31">
        <f>Raw_Data_MR!D22/MAX(E22,cfg_mr_partner_clip)</f>
        <v/>
      </c>
      <c r="O22" s="31">
        <f>Raw_Data_MR!E22/MAX(F22,cfg_mr_partner_clip)</f>
        <v/>
      </c>
      <c r="P22" s="31">
        <f>Raw_Data_MR!F22/MAX(G22,cfg_mr_partner_clip)</f>
        <v/>
      </c>
      <c r="Q22" s="31">
        <f>Raw_Data_MR!G22/MAX(H22,cfg_mr_partner_clip)</f>
        <v/>
      </c>
      <c r="R22" s="31">
        <f>Raw_Data_MR!H22/MAX(I22,cfg_mr_partner_clip)</f>
        <v/>
      </c>
      <c r="S22" s="31">
        <f>Raw_Data_MR!I22/MAX(J22,cfg_mr_partner_clip)</f>
        <v/>
      </c>
      <c r="T22" s="31">
        <f>Raw_Data_MR!J22/MAX(K22,cfg_mr_partner_clip)</f>
        <v/>
      </c>
      <c r="U22" s="31">
        <f>Raw_Data_MR!K22/MAX(L22,cfg_mr_partner_clip)</f>
        <v/>
      </c>
      <c r="V22" s="5">
        <f>IF(AND(M22&lt;cfg_mr_ratio_threshold,$C22=1),1,0)</f>
        <v/>
      </c>
      <c r="W22" s="5">
        <f>IF(AND(N22&lt;cfg_mr_ratio_threshold,$C22=1),1,0)</f>
        <v/>
      </c>
      <c r="X22" s="5">
        <f>IF(AND(O22&lt;cfg_mr_ratio_threshold,$C22=1),1,0)</f>
        <v/>
      </c>
      <c r="Y22" s="5">
        <f>IF(AND(P22&lt;cfg_mr_ratio_threshold,$C22=1),1,0)</f>
        <v/>
      </c>
      <c r="Z22" s="5">
        <f>IF(AND(Q22&lt;cfg_mr_ratio_threshold,$C22=1),1,0)</f>
        <v/>
      </c>
      <c r="AA22" s="5">
        <f>IF(AND(R22&lt;cfg_mr_ratio_threshold,$C22=1),1,0)</f>
        <v/>
      </c>
      <c r="AB22" s="5">
        <f>IF(AND(S22&lt;cfg_mr_ratio_threshold,$C22=1),1,0)</f>
        <v/>
      </c>
      <c r="AC22" s="5">
        <f>IF(AND(T22&lt;cfg_mr_ratio_threshold,$C22=1),1,0)</f>
        <v/>
      </c>
      <c r="AD22" s="5">
        <f>IF(AND(U22&lt;cfg_mr_ratio_threshold,$C22=1),1,0)</f>
        <v/>
      </c>
      <c r="AE22" s="5">
        <f>IF(V22=1,AE21+1,0)</f>
        <v/>
      </c>
      <c r="AF22" s="5">
        <f>IF(W22=1,AF21+1,0)</f>
        <v/>
      </c>
      <c r="AG22" s="5">
        <f>IF(X22=1,AG21+1,0)</f>
        <v/>
      </c>
      <c r="AH22" s="5">
        <f>IF(Y22=1,AH21+1,0)</f>
        <v/>
      </c>
      <c r="AI22" s="5">
        <f>IF(Z22=1,AI21+1,0)</f>
        <v/>
      </c>
      <c r="AJ22" s="5">
        <f>IF(AA22=1,AJ21+1,0)</f>
        <v/>
      </c>
      <c r="AK22" s="5">
        <f>IF(AB22=1,AK21+1,0)</f>
        <v/>
      </c>
      <c r="AL22" s="5">
        <f>IF(AC22=1,AL21+1,0)</f>
        <v/>
      </c>
      <c r="AM22" s="5">
        <f>IF(AD22=1,AM21+1,0)</f>
        <v/>
      </c>
    </row>
    <row r="23">
      <c r="A23" s="40">
        <f>Raw_Data_MR!A23</f>
        <v/>
      </c>
      <c r="B23" s="5">
        <f>Raw_Data_MR!B23</f>
        <v/>
      </c>
      <c r="C23" s="5">
        <f>IF(AND(B23&gt;cfg_mr_poa_threshold_wm2,B23&gt;cfg_mr_poa_floor_wm2),1,0)</f>
        <v/>
      </c>
      <c r="D23" s="17">
        <f>MEDIAN(Raw_Data_MR!D23,Raw_Data_MR!E23,Raw_Data_MR!F23)</f>
        <v/>
      </c>
      <c r="E23" s="17">
        <f>MEDIAN(Raw_Data_MR!C23,Raw_Data_MR!E23,Raw_Data_MR!F23)</f>
        <v/>
      </c>
      <c r="F23" s="17">
        <f>MEDIAN(Raw_Data_MR!C23,Raw_Data_MR!D23,Raw_Data_MR!F23)</f>
        <v/>
      </c>
      <c r="G23" s="17">
        <f>MEDIAN(Raw_Data_MR!C23,Raw_Data_MR!D23,Raw_Data_MR!E23)</f>
        <v/>
      </c>
      <c r="H23" s="17">
        <f>MEDIAN(Raw_Data_MR!H23,Raw_Data_MR!I23,Raw_Data_MR!J23,Raw_Data_MR!K23)</f>
        <v/>
      </c>
      <c r="I23" s="17">
        <f>MEDIAN(Raw_Data_MR!G23,Raw_Data_MR!I23,Raw_Data_MR!J23,Raw_Data_MR!K23)</f>
        <v/>
      </c>
      <c r="J23" s="17">
        <f>MEDIAN(Raw_Data_MR!G23,Raw_Data_MR!H23,Raw_Data_MR!J23,Raw_Data_MR!K23)</f>
        <v/>
      </c>
      <c r="K23" s="17">
        <f>MEDIAN(Raw_Data_MR!G23,Raw_Data_MR!H23,Raw_Data_MR!I23,Raw_Data_MR!K23)</f>
        <v/>
      </c>
      <c r="L23" s="17">
        <f>MEDIAN(Raw_Data_MR!G23,Raw_Data_MR!H23,Raw_Data_MR!I23,Raw_Data_MR!J23)</f>
        <v/>
      </c>
      <c r="M23" s="31">
        <f>Raw_Data_MR!C23/MAX(D23,cfg_mr_partner_clip)</f>
        <v/>
      </c>
      <c r="N23" s="31">
        <f>Raw_Data_MR!D23/MAX(E23,cfg_mr_partner_clip)</f>
        <v/>
      </c>
      <c r="O23" s="31">
        <f>Raw_Data_MR!E23/MAX(F23,cfg_mr_partner_clip)</f>
        <v/>
      </c>
      <c r="P23" s="31">
        <f>Raw_Data_MR!F23/MAX(G23,cfg_mr_partner_clip)</f>
        <v/>
      </c>
      <c r="Q23" s="31">
        <f>Raw_Data_MR!G23/MAX(H23,cfg_mr_partner_clip)</f>
        <v/>
      </c>
      <c r="R23" s="31">
        <f>Raw_Data_MR!H23/MAX(I23,cfg_mr_partner_clip)</f>
        <v/>
      </c>
      <c r="S23" s="31">
        <f>Raw_Data_MR!I23/MAX(J23,cfg_mr_partner_clip)</f>
        <v/>
      </c>
      <c r="T23" s="31">
        <f>Raw_Data_MR!J23/MAX(K23,cfg_mr_partner_clip)</f>
        <v/>
      </c>
      <c r="U23" s="31">
        <f>Raw_Data_MR!K23/MAX(L23,cfg_mr_partner_clip)</f>
        <v/>
      </c>
      <c r="V23" s="5">
        <f>IF(AND(M23&lt;cfg_mr_ratio_threshold,$C23=1),1,0)</f>
        <v/>
      </c>
      <c r="W23" s="5">
        <f>IF(AND(N23&lt;cfg_mr_ratio_threshold,$C23=1),1,0)</f>
        <v/>
      </c>
      <c r="X23" s="5">
        <f>IF(AND(O23&lt;cfg_mr_ratio_threshold,$C23=1),1,0)</f>
        <v/>
      </c>
      <c r="Y23" s="5">
        <f>IF(AND(P23&lt;cfg_mr_ratio_threshold,$C23=1),1,0)</f>
        <v/>
      </c>
      <c r="Z23" s="5">
        <f>IF(AND(Q23&lt;cfg_mr_ratio_threshold,$C23=1),1,0)</f>
        <v/>
      </c>
      <c r="AA23" s="5">
        <f>IF(AND(R23&lt;cfg_mr_ratio_threshold,$C23=1),1,0)</f>
        <v/>
      </c>
      <c r="AB23" s="5">
        <f>IF(AND(S23&lt;cfg_mr_ratio_threshold,$C23=1),1,0)</f>
        <v/>
      </c>
      <c r="AC23" s="5">
        <f>IF(AND(T23&lt;cfg_mr_ratio_threshold,$C23=1),1,0)</f>
        <v/>
      </c>
      <c r="AD23" s="5">
        <f>IF(AND(U23&lt;cfg_mr_ratio_threshold,$C23=1),1,0)</f>
        <v/>
      </c>
      <c r="AE23" s="5">
        <f>IF(V23=1,AE22+1,0)</f>
        <v/>
      </c>
      <c r="AF23" s="5">
        <f>IF(W23=1,AF22+1,0)</f>
        <v/>
      </c>
      <c r="AG23" s="5">
        <f>IF(X23=1,AG22+1,0)</f>
        <v/>
      </c>
      <c r="AH23" s="5">
        <f>IF(Y23=1,AH22+1,0)</f>
        <v/>
      </c>
      <c r="AI23" s="5">
        <f>IF(Z23=1,AI22+1,0)</f>
        <v/>
      </c>
      <c r="AJ23" s="5">
        <f>IF(AA23=1,AJ22+1,0)</f>
        <v/>
      </c>
      <c r="AK23" s="5">
        <f>IF(AB23=1,AK22+1,0)</f>
        <v/>
      </c>
      <c r="AL23" s="5">
        <f>IF(AC23=1,AL22+1,0)</f>
        <v/>
      </c>
      <c r="AM23" s="5">
        <f>IF(AD23=1,AM22+1,0)</f>
        <v/>
      </c>
    </row>
    <row r="24">
      <c r="A24" s="40">
        <f>Raw_Data_MR!A24</f>
        <v/>
      </c>
      <c r="B24" s="5">
        <f>Raw_Data_MR!B24</f>
        <v/>
      </c>
      <c r="C24" s="5">
        <f>IF(AND(B24&gt;cfg_mr_poa_threshold_wm2,B24&gt;cfg_mr_poa_floor_wm2),1,0)</f>
        <v/>
      </c>
      <c r="D24" s="17">
        <f>MEDIAN(Raw_Data_MR!D24,Raw_Data_MR!E24,Raw_Data_MR!F24)</f>
        <v/>
      </c>
      <c r="E24" s="17">
        <f>MEDIAN(Raw_Data_MR!C24,Raw_Data_MR!E24,Raw_Data_MR!F24)</f>
        <v/>
      </c>
      <c r="F24" s="17">
        <f>MEDIAN(Raw_Data_MR!C24,Raw_Data_MR!D24,Raw_Data_MR!F24)</f>
        <v/>
      </c>
      <c r="G24" s="17">
        <f>MEDIAN(Raw_Data_MR!C24,Raw_Data_MR!D24,Raw_Data_MR!E24)</f>
        <v/>
      </c>
      <c r="H24" s="17">
        <f>MEDIAN(Raw_Data_MR!H24,Raw_Data_MR!I24,Raw_Data_MR!J24,Raw_Data_MR!K24)</f>
        <v/>
      </c>
      <c r="I24" s="17">
        <f>MEDIAN(Raw_Data_MR!G24,Raw_Data_MR!I24,Raw_Data_MR!J24,Raw_Data_MR!K24)</f>
        <v/>
      </c>
      <c r="J24" s="17">
        <f>MEDIAN(Raw_Data_MR!G24,Raw_Data_MR!H24,Raw_Data_MR!J24,Raw_Data_MR!K24)</f>
        <v/>
      </c>
      <c r="K24" s="17">
        <f>MEDIAN(Raw_Data_MR!G24,Raw_Data_MR!H24,Raw_Data_MR!I24,Raw_Data_MR!K24)</f>
        <v/>
      </c>
      <c r="L24" s="17">
        <f>MEDIAN(Raw_Data_MR!G24,Raw_Data_MR!H24,Raw_Data_MR!I24,Raw_Data_MR!J24)</f>
        <v/>
      </c>
      <c r="M24" s="31">
        <f>Raw_Data_MR!C24/MAX(D24,cfg_mr_partner_clip)</f>
        <v/>
      </c>
      <c r="N24" s="31">
        <f>Raw_Data_MR!D24/MAX(E24,cfg_mr_partner_clip)</f>
        <v/>
      </c>
      <c r="O24" s="31">
        <f>Raw_Data_MR!E24/MAX(F24,cfg_mr_partner_clip)</f>
        <v/>
      </c>
      <c r="P24" s="31">
        <f>Raw_Data_MR!F24/MAX(G24,cfg_mr_partner_clip)</f>
        <v/>
      </c>
      <c r="Q24" s="31">
        <f>Raw_Data_MR!G24/MAX(H24,cfg_mr_partner_clip)</f>
        <v/>
      </c>
      <c r="R24" s="31">
        <f>Raw_Data_MR!H24/MAX(I24,cfg_mr_partner_clip)</f>
        <v/>
      </c>
      <c r="S24" s="31">
        <f>Raw_Data_MR!I24/MAX(J24,cfg_mr_partner_clip)</f>
        <v/>
      </c>
      <c r="T24" s="31">
        <f>Raw_Data_MR!J24/MAX(K24,cfg_mr_partner_clip)</f>
        <v/>
      </c>
      <c r="U24" s="31">
        <f>Raw_Data_MR!K24/MAX(L24,cfg_mr_partner_clip)</f>
        <v/>
      </c>
      <c r="V24" s="5">
        <f>IF(AND(M24&lt;cfg_mr_ratio_threshold,$C24=1),1,0)</f>
        <v/>
      </c>
      <c r="W24" s="5">
        <f>IF(AND(N24&lt;cfg_mr_ratio_threshold,$C24=1),1,0)</f>
        <v/>
      </c>
      <c r="X24" s="5">
        <f>IF(AND(O24&lt;cfg_mr_ratio_threshold,$C24=1),1,0)</f>
        <v/>
      </c>
      <c r="Y24" s="5">
        <f>IF(AND(P24&lt;cfg_mr_ratio_threshold,$C24=1),1,0)</f>
        <v/>
      </c>
      <c r="Z24" s="5">
        <f>IF(AND(Q24&lt;cfg_mr_ratio_threshold,$C24=1),1,0)</f>
        <v/>
      </c>
      <c r="AA24" s="5">
        <f>IF(AND(R24&lt;cfg_mr_ratio_threshold,$C24=1),1,0)</f>
        <v/>
      </c>
      <c r="AB24" s="5">
        <f>IF(AND(S24&lt;cfg_mr_ratio_threshold,$C24=1),1,0)</f>
        <v/>
      </c>
      <c r="AC24" s="5">
        <f>IF(AND(T24&lt;cfg_mr_ratio_threshold,$C24=1),1,0)</f>
        <v/>
      </c>
      <c r="AD24" s="5">
        <f>IF(AND(U24&lt;cfg_mr_ratio_threshold,$C24=1),1,0)</f>
        <v/>
      </c>
      <c r="AE24" s="5">
        <f>IF(V24=1,AE23+1,0)</f>
        <v/>
      </c>
      <c r="AF24" s="5">
        <f>IF(W24=1,AF23+1,0)</f>
        <v/>
      </c>
      <c r="AG24" s="5">
        <f>IF(X24=1,AG23+1,0)</f>
        <v/>
      </c>
      <c r="AH24" s="5">
        <f>IF(Y24=1,AH23+1,0)</f>
        <v/>
      </c>
      <c r="AI24" s="5">
        <f>IF(Z24=1,AI23+1,0)</f>
        <v/>
      </c>
      <c r="AJ24" s="5">
        <f>IF(AA24=1,AJ23+1,0)</f>
        <v/>
      </c>
      <c r="AK24" s="5">
        <f>IF(AB24=1,AK23+1,0)</f>
        <v/>
      </c>
      <c r="AL24" s="5">
        <f>IF(AC24=1,AL23+1,0)</f>
        <v/>
      </c>
      <c r="AM24" s="5">
        <f>IF(AD24=1,AM23+1,0)</f>
        <v/>
      </c>
    </row>
    <row r="25">
      <c r="A25" s="40">
        <f>Raw_Data_MR!A25</f>
        <v/>
      </c>
      <c r="B25" s="5">
        <f>Raw_Data_MR!B25</f>
        <v/>
      </c>
      <c r="C25" s="5">
        <f>IF(AND(B25&gt;cfg_mr_poa_threshold_wm2,B25&gt;cfg_mr_poa_floor_wm2),1,0)</f>
        <v/>
      </c>
      <c r="D25" s="17">
        <f>MEDIAN(Raw_Data_MR!D25,Raw_Data_MR!E25,Raw_Data_MR!F25)</f>
        <v/>
      </c>
      <c r="E25" s="17">
        <f>MEDIAN(Raw_Data_MR!C25,Raw_Data_MR!E25,Raw_Data_MR!F25)</f>
        <v/>
      </c>
      <c r="F25" s="17">
        <f>MEDIAN(Raw_Data_MR!C25,Raw_Data_MR!D25,Raw_Data_MR!F25)</f>
        <v/>
      </c>
      <c r="G25" s="17">
        <f>MEDIAN(Raw_Data_MR!C25,Raw_Data_MR!D25,Raw_Data_MR!E25)</f>
        <v/>
      </c>
      <c r="H25" s="17">
        <f>MEDIAN(Raw_Data_MR!H25,Raw_Data_MR!I25,Raw_Data_MR!J25,Raw_Data_MR!K25)</f>
        <v/>
      </c>
      <c r="I25" s="17">
        <f>MEDIAN(Raw_Data_MR!G25,Raw_Data_MR!I25,Raw_Data_MR!J25,Raw_Data_MR!K25)</f>
        <v/>
      </c>
      <c r="J25" s="17">
        <f>MEDIAN(Raw_Data_MR!G25,Raw_Data_MR!H25,Raw_Data_MR!J25,Raw_Data_MR!K25)</f>
        <v/>
      </c>
      <c r="K25" s="17">
        <f>MEDIAN(Raw_Data_MR!G25,Raw_Data_MR!H25,Raw_Data_MR!I25,Raw_Data_MR!K25)</f>
        <v/>
      </c>
      <c r="L25" s="17">
        <f>MEDIAN(Raw_Data_MR!G25,Raw_Data_MR!H25,Raw_Data_MR!I25,Raw_Data_MR!J25)</f>
        <v/>
      </c>
      <c r="M25" s="31">
        <f>Raw_Data_MR!C25/MAX(D25,cfg_mr_partner_clip)</f>
        <v/>
      </c>
      <c r="N25" s="31">
        <f>Raw_Data_MR!D25/MAX(E25,cfg_mr_partner_clip)</f>
        <v/>
      </c>
      <c r="O25" s="31">
        <f>Raw_Data_MR!E25/MAX(F25,cfg_mr_partner_clip)</f>
        <v/>
      </c>
      <c r="P25" s="31">
        <f>Raw_Data_MR!F25/MAX(G25,cfg_mr_partner_clip)</f>
        <v/>
      </c>
      <c r="Q25" s="31">
        <f>Raw_Data_MR!G25/MAX(H25,cfg_mr_partner_clip)</f>
        <v/>
      </c>
      <c r="R25" s="31">
        <f>Raw_Data_MR!H25/MAX(I25,cfg_mr_partner_clip)</f>
        <v/>
      </c>
      <c r="S25" s="31">
        <f>Raw_Data_MR!I25/MAX(J25,cfg_mr_partner_clip)</f>
        <v/>
      </c>
      <c r="T25" s="31">
        <f>Raw_Data_MR!J25/MAX(K25,cfg_mr_partner_clip)</f>
        <v/>
      </c>
      <c r="U25" s="31">
        <f>Raw_Data_MR!K25/MAX(L25,cfg_mr_partner_clip)</f>
        <v/>
      </c>
      <c r="V25" s="5">
        <f>IF(AND(M25&lt;cfg_mr_ratio_threshold,$C25=1),1,0)</f>
        <v/>
      </c>
      <c r="W25" s="5">
        <f>IF(AND(N25&lt;cfg_mr_ratio_threshold,$C25=1),1,0)</f>
        <v/>
      </c>
      <c r="X25" s="5">
        <f>IF(AND(O25&lt;cfg_mr_ratio_threshold,$C25=1),1,0)</f>
        <v/>
      </c>
      <c r="Y25" s="5">
        <f>IF(AND(P25&lt;cfg_mr_ratio_threshold,$C25=1),1,0)</f>
        <v/>
      </c>
      <c r="Z25" s="5">
        <f>IF(AND(Q25&lt;cfg_mr_ratio_threshold,$C25=1),1,0)</f>
        <v/>
      </c>
      <c r="AA25" s="5">
        <f>IF(AND(R25&lt;cfg_mr_ratio_threshold,$C25=1),1,0)</f>
        <v/>
      </c>
      <c r="AB25" s="5">
        <f>IF(AND(S25&lt;cfg_mr_ratio_threshold,$C25=1),1,0)</f>
        <v/>
      </c>
      <c r="AC25" s="5">
        <f>IF(AND(T25&lt;cfg_mr_ratio_threshold,$C25=1),1,0)</f>
        <v/>
      </c>
      <c r="AD25" s="5">
        <f>IF(AND(U25&lt;cfg_mr_ratio_threshold,$C25=1),1,0)</f>
        <v/>
      </c>
      <c r="AE25" s="5">
        <f>IF(V25=1,AE24+1,0)</f>
        <v/>
      </c>
      <c r="AF25" s="5">
        <f>IF(W25=1,AF24+1,0)</f>
        <v/>
      </c>
      <c r="AG25" s="5">
        <f>IF(X25=1,AG24+1,0)</f>
        <v/>
      </c>
      <c r="AH25" s="5">
        <f>IF(Y25=1,AH24+1,0)</f>
        <v/>
      </c>
      <c r="AI25" s="5">
        <f>IF(Z25=1,AI24+1,0)</f>
        <v/>
      </c>
      <c r="AJ25" s="5">
        <f>IF(AA25=1,AJ24+1,0)</f>
        <v/>
      </c>
      <c r="AK25" s="5">
        <f>IF(AB25=1,AK24+1,0)</f>
        <v/>
      </c>
      <c r="AL25" s="5">
        <f>IF(AC25=1,AL24+1,0)</f>
        <v/>
      </c>
      <c r="AM25" s="5">
        <f>IF(AD25=1,AM24+1,0)</f>
        <v/>
      </c>
    </row>
    <row r="26">
      <c r="A26" s="40">
        <f>Raw_Data_MR!A26</f>
        <v/>
      </c>
      <c r="B26" s="5">
        <f>Raw_Data_MR!B26</f>
        <v/>
      </c>
      <c r="C26" s="5">
        <f>IF(AND(B26&gt;cfg_mr_poa_threshold_wm2,B26&gt;cfg_mr_poa_floor_wm2),1,0)</f>
        <v/>
      </c>
      <c r="D26" s="17">
        <f>MEDIAN(Raw_Data_MR!D26,Raw_Data_MR!E26,Raw_Data_MR!F26)</f>
        <v/>
      </c>
      <c r="E26" s="17">
        <f>MEDIAN(Raw_Data_MR!C26,Raw_Data_MR!E26,Raw_Data_MR!F26)</f>
        <v/>
      </c>
      <c r="F26" s="17">
        <f>MEDIAN(Raw_Data_MR!C26,Raw_Data_MR!D26,Raw_Data_MR!F26)</f>
        <v/>
      </c>
      <c r="G26" s="17">
        <f>MEDIAN(Raw_Data_MR!C26,Raw_Data_MR!D26,Raw_Data_MR!E26)</f>
        <v/>
      </c>
      <c r="H26" s="17">
        <f>MEDIAN(Raw_Data_MR!H26,Raw_Data_MR!I26,Raw_Data_MR!J26,Raw_Data_MR!K26)</f>
        <v/>
      </c>
      <c r="I26" s="17">
        <f>MEDIAN(Raw_Data_MR!G26,Raw_Data_MR!I26,Raw_Data_MR!J26,Raw_Data_MR!K26)</f>
        <v/>
      </c>
      <c r="J26" s="17">
        <f>MEDIAN(Raw_Data_MR!G26,Raw_Data_MR!H26,Raw_Data_MR!J26,Raw_Data_MR!K26)</f>
        <v/>
      </c>
      <c r="K26" s="17">
        <f>MEDIAN(Raw_Data_MR!G26,Raw_Data_MR!H26,Raw_Data_MR!I26,Raw_Data_MR!K26)</f>
        <v/>
      </c>
      <c r="L26" s="17">
        <f>MEDIAN(Raw_Data_MR!G26,Raw_Data_MR!H26,Raw_Data_MR!I26,Raw_Data_MR!J26)</f>
        <v/>
      </c>
      <c r="M26" s="31">
        <f>Raw_Data_MR!C26/MAX(D26,cfg_mr_partner_clip)</f>
        <v/>
      </c>
      <c r="N26" s="31">
        <f>Raw_Data_MR!D26/MAX(E26,cfg_mr_partner_clip)</f>
        <v/>
      </c>
      <c r="O26" s="31">
        <f>Raw_Data_MR!E26/MAX(F26,cfg_mr_partner_clip)</f>
        <v/>
      </c>
      <c r="P26" s="31">
        <f>Raw_Data_MR!F26/MAX(G26,cfg_mr_partner_clip)</f>
        <v/>
      </c>
      <c r="Q26" s="31">
        <f>Raw_Data_MR!G26/MAX(H26,cfg_mr_partner_clip)</f>
        <v/>
      </c>
      <c r="R26" s="31">
        <f>Raw_Data_MR!H26/MAX(I26,cfg_mr_partner_clip)</f>
        <v/>
      </c>
      <c r="S26" s="31">
        <f>Raw_Data_MR!I26/MAX(J26,cfg_mr_partner_clip)</f>
        <v/>
      </c>
      <c r="T26" s="31">
        <f>Raw_Data_MR!J26/MAX(K26,cfg_mr_partner_clip)</f>
        <v/>
      </c>
      <c r="U26" s="31">
        <f>Raw_Data_MR!K26/MAX(L26,cfg_mr_partner_clip)</f>
        <v/>
      </c>
      <c r="V26" s="5">
        <f>IF(AND(M26&lt;cfg_mr_ratio_threshold,$C26=1),1,0)</f>
        <v/>
      </c>
      <c r="W26" s="5">
        <f>IF(AND(N26&lt;cfg_mr_ratio_threshold,$C26=1),1,0)</f>
        <v/>
      </c>
      <c r="X26" s="5">
        <f>IF(AND(O26&lt;cfg_mr_ratio_threshold,$C26=1),1,0)</f>
        <v/>
      </c>
      <c r="Y26" s="5">
        <f>IF(AND(P26&lt;cfg_mr_ratio_threshold,$C26=1),1,0)</f>
        <v/>
      </c>
      <c r="Z26" s="5">
        <f>IF(AND(Q26&lt;cfg_mr_ratio_threshold,$C26=1),1,0)</f>
        <v/>
      </c>
      <c r="AA26" s="5">
        <f>IF(AND(R26&lt;cfg_mr_ratio_threshold,$C26=1),1,0)</f>
        <v/>
      </c>
      <c r="AB26" s="5">
        <f>IF(AND(S26&lt;cfg_mr_ratio_threshold,$C26=1),1,0)</f>
        <v/>
      </c>
      <c r="AC26" s="5">
        <f>IF(AND(T26&lt;cfg_mr_ratio_threshold,$C26=1),1,0)</f>
        <v/>
      </c>
      <c r="AD26" s="5">
        <f>IF(AND(U26&lt;cfg_mr_ratio_threshold,$C26=1),1,0)</f>
        <v/>
      </c>
      <c r="AE26" s="5">
        <f>IF(V26=1,AE25+1,0)</f>
        <v/>
      </c>
      <c r="AF26" s="5">
        <f>IF(W26=1,AF25+1,0)</f>
        <v/>
      </c>
      <c r="AG26" s="5">
        <f>IF(X26=1,AG25+1,0)</f>
        <v/>
      </c>
      <c r="AH26" s="5">
        <f>IF(Y26=1,AH25+1,0)</f>
        <v/>
      </c>
      <c r="AI26" s="5">
        <f>IF(Z26=1,AI25+1,0)</f>
        <v/>
      </c>
      <c r="AJ26" s="5">
        <f>IF(AA26=1,AJ25+1,0)</f>
        <v/>
      </c>
      <c r="AK26" s="5">
        <f>IF(AB26=1,AK25+1,0)</f>
        <v/>
      </c>
      <c r="AL26" s="5">
        <f>IF(AC26=1,AL25+1,0)</f>
        <v/>
      </c>
      <c r="AM26" s="5">
        <f>IF(AD26=1,AM25+1,0)</f>
        <v/>
      </c>
    </row>
    <row r="27">
      <c r="A27" s="40">
        <f>Raw_Data_MR!A27</f>
        <v/>
      </c>
      <c r="B27" s="5">
        <f>Raw_Data_MR!B27</f>
        <v/>
      </c>
      <c r="C27" s="5">
        <f>IF(AND(B27&gt;cfg_mr_poa_threshold_wm2,B27&gt;cfg_mr_poa_floor_wm2),1,0)</f>
        <v/>
      </c>
      <c r="D27" s="17">
        <f>MEDIAN(Raw_Data_MR!D27,Raw_Data_MR!E27,Raw_Data_MR!F27)</f>
        <v/>
      </c>
      <c r="E27" s="17">
        <f>MEDIAN(Raw_Data_MR!C27,Raw_Data_MR!E27,Raw_Data_MR!F27)</f>
        <v/>
      </c>
      <c r="F27" s="17">
        <f>MEDIAN(Raw_Data_MR!C27,Raw_Data_MR!D27,Raw_Data_MR!F27)</f>
        <v/>
      </c>
      <c r="G27" s="17">
        <f>MEDIAN(Raw_Data_MR!C27,Raw_Data_MR!D27,Raw_Data_MR!E27)</f>
        <v/>
      </c>
      <c r="H27" s="17">
        <f>MEDIAN(Raw_Data_MR!H27,Raw_Data_MR!I27,Raw_Data_MR!J27,Raw_Data_MR!K27)</f>
        <v/>
      </c>
      <c r="I27" s="17">
        <f>MEDIAN(Raw_Data_MR!G27,Raw_Data_MR!I27,Raw_Data_MR!J27,Raw_Data_MR!K27)</f>
        <v/>
      </c>
      <c r="J27" s="17">
        <f>MEDIAN(Raw_Data_MR!G27,Raw_Data_MR!H27,Raw_Data_MR!J27,Raw_Data_MR!K27)</f>
        <v/>
      </c>
      <c r="K27" s="17">
        <f>MEDIAN(Raw_Data_MR!G27,Raw_Data_MR!H27,Raw_Data_MR!I27,Raw_Data_MR!K27)</f>
        <v/>
      </c>
      <c r="L27" s="17">
        <f>MEDIAN(Raw_Data_MR!G27,Raw_Data_MR!H27,Raw_Data_MR!I27,Raw_Data_MR!J27)</f>
        <v/>
      </c>
      <c r="M27" s="31">
        <f>Raw_Data_MR!C27/MAX(D27,cfg_mr_partner_clip)</f>
        <v/>
      </c>
      <c r="N27" s="31">
        <f>Raw_Data_MR!D27/MAX(E27,cfg_mr_partner_clip)</f>
        <v/>
      </c>
      <c r="O27" s="31">
        <f>Raw_Data_MR!E27/MAX(F27,cfg_mr_partner_clip)</f>
        <v/>
      </c>
      <c r="P27" s="31">
        <f>Raw_Data_MR!F27/MAX(G27,cfg_mr_partner_clip)</f>
        <v/>
      </c>
      <c r="Q27" s="31">
        <f>Raw_Data_MR!G27/MAX(H27,cfg_mr_partner_clip)</f>
        <v/>
      </c>
      <c r="R27" s="31">
        <f>Raw_Data_MR!H27/MAX(I27,cfg_mr_partner_clip)</f>
        <v/>
      </c>
      <c r="S27" s="31">
        <f>Raw_Data_MR!I27/MAX(J27,cfg_mr_partner_clip)</f>
        <v/>
      </c>
      <c r="T27" s="31">
        <f>Raw_Data_MR!J27/MAX(K27,cfg_mr_partner_clip)</f>
        <v/>
      </c>
      <c r="U27" s="31">
        <f>Raw_Data_MR!K27/MAX(L27,cfg_mr_partner_clip)</f>
        <v/>
      </c>
      <c r="V27" s="5">
        <f>IF(AND(M27&lt;cfg_mr_ratio_threshold,$C27=1),1,0)</f>
        <v/>
      </c>
      <c r="W27" s="5">
        <f>IF(AND(N27&lt;cfg_mr_ratio_threshold,$C27=1),1,0)</f>
        <v/>
      </c>
      <c r="X27" s="5">
        <f>IF(AND(O27&lt;cfg_mr_ratio_threshold,$C27=1),1,0)</f>
        <v/>
      </c>
      <c r="Y27" s="5">
        <f>IF(AND(P27&lt;cfg_mr_ratio_threshold,$C27=1),1,0)</f>
        <v/>
      </c>
      <c r="Z27" s="5">
        <f>IF(AND(Q27&lt;cfg_mr_ratio_threshold,$C27=1),1,0)</f>
        <v/>
      </c>
      <c r="AA27" s="5">
        <f>IF(AND(R27&lt;cfg_mr_ratio_threshold,$C27=1),1,0)</f>
        <v/>
      </c>
      <c r="AB27" s="5">
        <f>IF(AND(S27&lt;cfg_mr_ratio_threshold,$C27=1),1,0)</f>
        <v/>
      </c>
      <c r="AC27" s="5">
        <f>IF(AND(T27&lt;cfg_mr_ratio_threshold,$C27=1),1,0)</f>
        <v/>
      </c>
      <c r="AD27" s="5">
        <f>IF(AND(U27&lt;cfg_mr_ratio_threshold,$C27=1),1,0)</f>
        <v/>
      </c>
      <c r="AE27" s="5">
        <f>IF(V27=1,AE26+1,0)</f>
        <v/>
      </c>
      <c r="AF27" s="5">
        <f>IF(W27=1,AF26+1,0)</f>
        <v/>
      </c>
      <c r="AG27" s="5">
        <f>IF(X27=1,AG26+1,0)</f>
        <v/>
      </c>
      <c r="AH27" s="5">
        <f>IF(Y27=1,AH26+1,0)</f>
        <v/>
      </c>
      <c r="AI27" s="5">
        <f>IF(Z27=1,AI26+1,0)</f>
        <v/>
      </c>
      <c r="AJ27" s="5">
        <f>IF(AA27=1,AJ26+1,0)</f>
        <v/>
      </c>
      <c r="AK27" s="5">
        <f>IF(AB27=1,AK26+1,0)</f>
        <v/>
      </c>
      <c r="AL27" s="5">
        <f>IF(AC27=1,AL26+1,0)</f>
        <v/>
      </c>
      <c r="AM27" s="5">
        <f>IF(AD27=1,AM26+1,0)</f>
        <v/>
      </c>
    </row>
    <row r="28">
      <c r="A28" s="40">
        <f>Raw_Data_MR!A28</f>
        <v/>
      </c>
      <c r="B28" s="5">
        <f>Raw_Data_MR!B28</f>
        <v/>
      </c>
      <c r="C28" s="5">
        <f>IF(AND(B28&gt;cfg_mr_poa_threshold_wm2,B28&gt;cfg_mr_poa_floor_wm2),1,0)</f>
        <v/>
      </c>
      <c r="D28" s="17">
        <f>MEDIAN(Raw_Data_MR!D28,Raw_Data_MR!E28,Raw_Data_MR!F28)</f>
        <v/>
      </c>
      <c r="E28" s="17">
        <f>MEDIAN(Raw_Data_MR!C28,Raw_Data_MR!E28,Raw_Data_MR!F28)</f>
        <v/>
      </c>
      <c r="F28" s="17">
        <f>MEDIAN(Raw_Data_MR!C28,Raw_Data_MR!D28,Raw_Data_MR!F28)</f>
        <v/>
      </c>
      <c r="G28" s="17">
        <f>MEDIAN(Raw_Data_MR!C28,Raw_Data_MR!D28,Raw_Data_MR!E28)</f>
        <v/>
      </c>
      <c r="H28" s="17">
        <f>MEDIAN(Raw_Data_MR!H28,Raw_Data_MR!I28,Raw_Data_MR!J28,Raw_Data_MR!K28)</f>
        <v/>
      </c>
      <c r="I28" s="17">
        <f>MEDIAN(Raw_Data_MR!G28,Raw_Data_MR!I28,Raw_Data_MR!J28,Raw_Data_MR!K28)</f>
        <v/>
      </c>
      <c r="J28" s="17">
        <f>MEDIAN(Raw_Data_MR!G28,Raw_Data_MR!H28,Raw_Data_MR!J28,Raw_Data_MR!K28)</f>
        <v/>
      </c>
      <c r="K28" s="17">
        <f>MEDIAN(Raw_Data_MR!G28,Raw_Data_MR!H28,Raw_Data_MR!I28,Raw_Data_MR!K28)</f>
        <v/>
      </c>
      <c r="L28" s="17">
        <f>MEDIAN(Raw_Data_MR!G28,Raw_Data_MR!H28,Raw_Data_MR!I28,Raw_Data_MR!J28)</f>
        <v/>
      </c>
      <c r="M28" s="31">
        <f>Raw_Data_MR!C28/MAX(D28,cfg_mr_partner_clip)</f>
        <v/>
      </c>
      <c r="N28" s="31">
        <f>Raw_Data_MR!D28/MAX(E28,cfg_mr_partner_clip)</f>
        <v/>
      </c>
      <c r="O28" s="31">
        <f>Raw_Data_MR!E28/MAX(F28,cfg_mr_partner_clip)</f>
        <v/>
      </c>
      <c r="P28" s="31">
        <f>Raw_Data_MR!F28/MAX(G28,cfg_mr_partner_clip)</f>
        <v/>
      </c>
      <c r="Q28" s="31">
        <f>Raw_Data_MR!G28/MAX(H28,cfg_mr_partner_clip)</f>
        <v/>
      </c>
      <c r="R28" s="31">
        <f>Raw_Data_MR!H28/MAX(I28,cfg_mr_partner_clip)</f>
        <v/>
      </c>
      <c r="S28" s="31">
        <f>Raw_Data_MR!I28/MAX(J28,cfg_mr_partner_clip)</f>
        <v/>
      </c>
      <c r="T28" s="31">
        <f>Raw_Data_MR!J28/MAX(K28,cfg_mr_partner_clip)</f>
        <v/>
      </c>
      <c r="U28" s="31">
        <f>Raw_Data_MR!K28/MAX(L28,cfg_mr_partner_clip)</f>
        <v/>
      </c>
      <c r="V28" s="5">
        <f>IF(AND(M28&lt;cfg_mr_ratio_threshold,$C28=1),1,0)</f>
        <v/>
      </c>
      <c r="W28" s="5">
        <f>IF(AND(N28&lt;cfg_mr_ratio_threshold,$C28=1),1,0)</f>
        <v/>
      </c>
      <c r="X28" s="5">
        <f>IF(AND(O28&lt;cfg_mr_ratio_threshold,$C28=1),1,0)</f>
        <v/>
      </c>
      <c r="Y28" s="5">
        <f>IF(AND(P28&lt;cfg_mr_ratio_threshold,$C28=1),1,0)</f>
        <v/>
      </c>
      <c r="Z28" s="5">
        <f>IF(AND(Q28&lt;cfg_mr_ratio_threshold,$C28=1),1,0)</f>
        <v/>
      </c>
      <c r="AA28" s="5">
        <f>IF(AND(R28&lt;cfg_mr_ratio_threshold,$C28=1),1,0)</f>
        <v/>
      </c>
      <c r="AB28" s="5">
        <f>IF(AND(S28&lt;cfg_mr_ratio_threshold,$C28=1),1,0)</f>
        <v/>
      </c>
      <c r="AC28" s="5">
        <f>IF(AND(T28&lt;cfg_mr_ratio_threshold,$C28=1),1,0)</f>
        <v/>
      </c>
      <c r="AD28" s="5">
        <f>IF(AND(U28&lt;cfg_mr_ratio_threshold,$C28=1),1,0)</f>
        <v/>
      </c>
      <c r="AE28" s="5">
        <f>IF(V28=1,AE27+1,0)</f>
        <v/>
      </c>
      <c r="AF28" s="5">
        <f>IF(W28=1,AF27+1,0)</f>
        <v/>
      </c>
      <c r="AG28" s="5">
        <f>IF(X28=1,AG27+1,0)</f>
        <v/>
      </c>
      <c r="AH28" s="5">
        <f>IF(Y28=1,AH27+1,0)</f>
        <v/>
      </c>
      <c r="AI28" s="5">
        <f>IF(Z28=1,AI27+1,0)</f>
        <v/>
      </c>
      <c r="AJ28" s="5">
        <f>IF(AA28=1,AJ27+1,0)</f>
        <v/>
      </c>
      <c r="AK28" s="5">
        <f>IF(AB28=1,AK27+1,0)</f>
        <v/>
      </c>
      <c r="AL28" s="5">
        <f>IF(AC28=1,AL27+1,0)</f>
        <v/>
      </c>
      <c r="AM28" s="5">
        <f>IF(AD28=1,AM27+1,0)</f>
        <v/>
      </c>
    </row>
    <row r="29">
      <c r="A29" s="40">
        <f>Raw_Data_MR!A29</f>
        <v/>
      </c>
      <c r="B29" s="5">
        <f>Raw_Data_MR!B29</f>
        <v/>
      </c>
      <c r="C29" s="5">
        <f>IF(AND(B29&gt;cfg_mr_poa_threshold_wm2,B29&gt;cfg_mr_poa_floor_wm2),1,0)</f>
        <v/>
      </c>
      <c r="D29" s="17">
        <f>MEDIAN(Raw_Data_MR!D29,Raw_Data_MR!E29,Raw_Data_MR!F29)</f>
        <v/>
      </c>
      <c r="E29" s="17">
        <f>MEDIAN(Raw_Data_MR!C29,Raw_Data_MR!E29,Raw_Data_MR!F29)</f>
        <v/>
      </c>
      <c r="F29" s="17">
        <f>MEDIAN(Raw_Data_MR!C29,Raw_Data_MR!D29,Raw_Data_MR!F29)</f>
        <v/>
      </c>
      <c r="G29" s="17">
        <f>MEDIAN(Raw_Data_MR!C29,Raw_Data_MR!D29,Raw_Data_MR!E29)</f>
        <v/>
      </c>
      <c r="H29" s="17">
        <f>MEDIAN(Raw_Data_MR!H29,Raw_Data_MR!I29,Raw_Data_MR!J29,Raw_Data_MR!K29)</f>
        <v/>
      </c>
      <c r="I29" s="17">
        <f>MEDIAN(Raw_Data_MR!G29,Raw_Data_MR!I29,Raw_Data_MR!J29,Raw_Data_MR!K29)</f>
        <v/>
      </c>
      <c r="J29" s="17">
        <f>MEDIAN(Raw_Data_MR!G29,Raw_Data_MR!H29,Raw_Data_MR!J29,Raw_Data_MR!K29)</f>
        <v/>
      </c>
      <c r="K29" s="17">
        <f>MEDIAN(Raw_Data_MR!G29,Raw_Data_MR!H29,Raw_Data_MR!I29,Raw_Data_MR!K29)</f>
        <v/>
      </c>
      <c r="L29" s="17">
        <f>MEDIAN(Raw_Data_MR!G29,Raw_Data_MR!H29,Raw_Data_MR!I29,Raw_Data_MR!J29)</f>
        <v/>
      </c>
      <c r="M29" s="31">
        <f>Raw_Data_MR!C29/MAX(D29,cfg_mr_partner_clip)</f>
        <v/>
      </c>
      <c r="N29" s="31">
        <f>Raw_Data_MR!D29/MAX(E29,cfg_mr_partner_clip)</f>
        <v/>
      </c>
      <c r="O29" s="31">
        <f>Raw_Data_MR!E29/MAX(F29,cfg_mr_partner_clip)</f>
        <v/>
      </c>
      <c r="P29" s="31">
        <f>Raw_Data_MR!F29/MAX(G29,cfg_mr_partner_clip)</f>
        <v/>
      </c>
      <c r="Q29" s="31">
        <f>Raw_Data_MR!G29/MAX(H29,cfg_mr_partner_clip)</f>
        <v/>
      </c>
      <c r="R29" s="31">
        <f>Raw_Data_MR!H29/MAX(I29,cfg_mr_partner_clip)</f>
        <v/>
      </c>
      <c r="S29" s="31">
        <f>Raw_Data_MR!I29/MAX(J29,cfg_mr_partner_clip)</f>
        <v/>
      </c>
      <c r="T29" s="31">
        <f>Raw_Data_MR!J29/MAX(K29,cfg_mr_partner_clip)</f>
        <v/>
      </c>
      <c r="U29" s="31">
        <f>Raw_Data_MR!K29/MAX(L29,cfg_mr_partner_clip)</f>
        <v/>
      </c>
      <c r="V29" s="5">
        <f>IF(AND(M29&lt;cfg_mr_ratio_threshold,$C29=1),1,0)</f>
        <v/>
      </c>
      <c r="W29" s="5">
        <f>IF(AND(N29&lt;cfg_mr_ratio_threshold,$C29=1),1,0)</f>
        <v/>
      </c>
      <c r="X29" s="5">
        <f>IF(AND(O29&lt;cfg_mr_ratio_threshold,$C29=1),1,0)</f>
        <v/>
      </c>
      <c r="Y29" s="5">
        <f>IF(AND(P29&lt;cfg_mr_ratio_threshold,$C29=1),1,0)</f>
        <v/>
      </c>
      <c r="Z29" s="5">
        <f>IF(AND(Q29&lt;cfg_mr_ratio_threshold,$C29=1),1,0)</f>
        <v/>
      </c>
      <c r="AA29" s="5">
        <f>IF(AND(R29&lt;cfg_mr_ratio_threshold,$C29=1),1,0)</f>
        <v/>
      </c>
      <c r="AB29" s="5">
        <f>IF(AND(S29&lt;cfg_mr_ratio_threshold,$C29=1),1,0)</f>
        <v/>
      </c>
      <c r="AC29" s="5">
        <f>IF(AND(T29&lt;cfg_mr_ratio_threshold,$C29=1),1,0)</f>
        <v/>
      </c>
      <c r="AD29" s="5">
        <f>IF(AND(U29&lt;cfg_mr_ratio_threshold,$C29=1),1,0)</f>
        <v/>
      </c>
      <c r="AE29" s="5">
        <f>IF(V29=1,AE28+1,0)</f>
        <v/>
      </c>
      <c r="AF29" s="5">
        <f>IF(W29=1,AF28+1,0)</f>
        <v/>
      </c>
      <c r="AG29" s="5">
        <f>IF(X29=1,AG28+1,0)</f>
        <v/>
      </c>
      <c r="AH29" s="5">
        <f>IF(Y29=1,AH28+1,0)</f>
        <v/>
      </c>
      <c r="AI29" s="5">
        <f>IF(Z29=1,AI28+1,0)</f>
        <v/>
      </c>
      <c r="AJ29" s="5">
        <f>IF(AA29=1,AJ28+1,0)</f>
        <v/>
      </c>
      <c r="AK29" s="5">
        <f>IF(AB29=1,AK28+1,0)</f>
        <v/>
      </c>
      <c r="AL29" s="5">
        <f>IF(AC29=1,AL28+1,0)</f>
        <v/>
      </c>
      <c r="AM29" s="5">
        <f>IF(AD29=1,AM28+1,0)</f>
        <v/>
      </c>
    </row>
    <row r="30">
      <c r="A30" s="40">
        <f>Raw_Data_MR!A30</f>
        <v/>
      </c>
      <c r="B30" s="5">
        <f>Raw_Data_MR!B30</f>
        <v/>
      </c>
      <c r="C30" s="5">
        <f>IF(AND(B30&gt;cfg_mr_poa_threshold_wm2,B30&gt;cfg_mr_poa_floor_wm2),1,0)</f>
        <v/>
      </c>
      <c r="D30" s="17">
        <f>MEDIAN(Raw_Data_MR!D30,Raw_Data_MR!E30,Raw_Data_MR!F30)</f>
        <v/>
      </c>
      <c r="E30" s="17">
        <f>MEDIAN(Raw_Data_MR!C30,Raw_Data_MR!E30,Raw_Data_MR!F30)</f>
        <v/>
      </c>
      <c r="F30" s="17">
        <f>MEDIAN(Raw_Data_MR!C30,Raw_Data_MR!D30,Raw_Data_MR!F30)</f>
        <v/>
      </c>
      <c r="G30" s="17">
        <f>MEDIAN(Raw_Data_MR!C30,Raw_Data_MR!D30,Raw_Data_MR!E30)</f>
        <v/>
      </c>
      <c r="H30" s="17">
        <f>MEDIAN(Raw_Data_MR!H30,Raw_Data_MR!I30,Raw_Data_MR!J30,Raw_Data_MR!K30)</f>
        <v/>
      </c>
      <c r="I30" s="17">
        <f>MEDIAN(Raw_Data_MR!G30,Raw_Data_MR!I30,Raw_Data_MR!J30,Raw_Data_MR!K30)</f>
        <v/>
      </c>
      <c r="J30" s="17">
        <f>MEDIAN(Raw_Data_MR!G30,Raw_Data_MR!H30,Raw_Data_MR!J30,Raw_Data_MR!K30)</f>
        <v/>
      </c>
      <c r="K30" s="17">
        <f>MEDIAN(Raw_Data_MR!G30,Raw_Data_MR!H30,Raw_Data_MR!I30,Raw_Data_MR!K30)</f>
        <v/>
      </c>
      <c r="L30" s="17">
        <f>MEDIAN(Raw_Data_MR!G30,Raw_Data_MR!H30,Raw_Data_MR!I30,Raw_Data_MR!J30)</f>
        <v/>
      </c>
      <c r="M30" s="31">
        <f>Raw_Data_MR!C30/MAX(D30,cfg_mr_partner_clip)</f>
        <v/>
      </c>
      <c r="N30" s="31">
        <f>Raw_Data_MR!D30/MAX(E30,cfg_mr_partner_clip)</f>
        <v/>
      </c>
      <c r="O30" s="31">
        <f>Raw_Data_MR!E30/MAX(F30,cfg_mr_partner_clip)</f>
        <v/>
      </c>
      <c r="P30" s="31">
        <f>Raw_Data_MR!F30/MAX(G30,cfg_mr_partner_clip)</f>
        <v/>
      </c>
      <c r="Q30" s="31">
        <f>Raw_Data_MR!G30/MAX(H30,cfg_mr_partner_clip)</f>
        <v/>
      </c>
      <c r="R30" s="31">
        <f>Raw_Data_MR!H30/MAX(I30,cfg_mr_partner_clip)</f>
        <v/>
      </c>
      <c r="S30" s="31">
        <f>Raw_Data_MR!I30/MAX(J30,cfg_mr_partner_clip)</f>
        <v/>
      </c>
      <c r="T30" s="31">
        <f>Raw_Data_MR!J30/MAX(K30,cfg_mr_partner_clip)</f>
        <v/>
      </c>
      <c r="U30" s="31">
        <f>Raw_Data_MR!K30/MAX(L30,cfg_mr_partner_clip)</f>
        <v/>
      </c>
      <c r="V30" s="5">
        <f>IF(AND(M30&lt;cfg_mr_ratio_threshold,$C30=1),1,0)</f>
        <v/>
      </c>
      <c r="W30" s="5">
        <f>IF(AND(N30&lt;cfg_mr_ratio_threshold,$C30=1),1,0)</f>
        <v/>
      </c>
      <c r="X30" s="5">
        <f>IF(AND(O30&lt;cfg_mr_ratio_threshold,$C30=1),1,0)</f>
        <v/>
      </c>
      <c r="Y30" s="5">
        <f>IF(AND(P30&lt;cfg_mr_ratio_threshold,$C30=1),1,0)</f>
        <v/>
      </c>
      <c r="Z30" s="5">
        <f>IF(AND(Q30&lt;cfg_mr_ratio_threshold,$C30=1),1,0)</f>
        <v/>
      </c>
      <c r="AA30" s="5">
        <f>IF(AND(R30&lt;cfg_mr_ratio_threshold,$C30=1),1,0)</f>
        <v/>
      </c>
      <c r="AB30" s="5">
        <f>IF(AND(S30&lt;cfg_mr_ratio_threshold,$C30=1),1,0)</f>
        <v/>
      </c>
      <c r="AC30" s="5">
        <f>IF(AND(T30&lt;cfg_mr_ratio_threshold,$C30=1),1,0)</f>
        <v/>
      </c>
      <c r="AD30" s="5">
        <f>IF(AND(U30&lt;cfg_mr_ratio_threshold,$C30=1),1,0)</f>
        <v/>
      </c>
      <c r="AE30" s="5">
        <f>IF(V30=1,AE29+1,0)</f>
        <v/>
      </c>
      <c r="AF30" s="5">
        <f>IF(W30=1,AF29+1,0)</f>
        <v/>
      </c>
      <c r="AG30" s="5">
        <f>IF(X30=1,AG29+1,0)</f>
        <v/>
      </c>
      <c r="AH30" s="5">
        <f>IF(Y30=1,AH29+1,0)</f>
        <v/>
      </c>
      <c r="AI30" s="5">
        <f>IF(Z30=1,AI29+1,0)</f>
        <v/>
      </c>
      <c r="AJ30" s="5">
        <f>IF(AA30=1,AJ29+1,0)</f>
        <v/>
      </c>
      <c r="AK30" s="5">
        <f>IF(AB30=1,AK29+1,0)</f>
        <v/>
      </c>
      <c r="AL30" s="5">
        <f>IF(AC30=1,AL29+1,0)</f>
        <v/>
      </c>
      <c r="AM30" s="5">
        <f>IF(AD30=1,AM29+1,0)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8" customWidth="1" min="3" max="3"/>
    <col width="19" customWidth="1" min="4" max="4"/>
    <col width="26" customWidth="1" min="10" max="10"/>
  </cols>
  <sheetData>
    <row r="1">
      <c r="A1" s="23" t="inlineStr">
        <is>
          <t>M2b_MpptRatio — keputusan per string (LIVE)</t>
        </is>
      </c>
    </row>
    <row r="2">
      <c r="A2" s="24" t="inlineStr">
        <is>
          <t>value = ratio_median_daylight ; emit bila max_consec &gt;= cfg_mr_debounce_steps DAN bukan EMPTY.</t>
        </is>
      </c>
    </row>
    <row r="3">
      <c r="A3" s="24" t="inlineStr">
        <is>
          <t>severity: value&lt;critical CRIT | &lt;high HIGH | else MED. confidence = min(90,max(50,(1-value)*100)).</t>
        </is>
      </c>
    </row>
    <row r="4">
      <c r="A4" s="10" t="inlineStr">
        <is>
          <t>pv_string</t>
        </is>
      </c>
      <c r="B4" s="10" t="inlineStr">
        <is>
          <t>mppt</t>
        </is>
      </c>
      <c r="C4" s="10" t="inlineStr">
        <is>
          <t>partner_strings</t>
        </is>
      </c>
      <c r="D4" s="10" t="inlineStr">
        <is>
          <t>ratio_median_daylight</t>
        </is>
      </c>
      <c r="E4" s="10" t="inlineStr">
        <is>
          <t>max_consec</t>
        </is>
      </c>
      <c r="F4" s="10" t="inlineStr">
        <is>
          <t>empty_by_design</t>
        </is>
      </c>
      <c r="G4" s="10" t="inlineStr">
        <is>
          <t>emit</t>
        </is>
      </c>
      <c r="H4" s="10" t="inlineStr">
        <is>
          <t>severity</t>
        </is>
      </c>
      <c r="I4" s="10" t="inlineStr">
        <is>
          <t>confidence</t>
        </is>
      </c>
      <c r="J4" s="10" t="inlineStr">
        <is>
          <t>status</t>
        </is>
      </c>
    </row>
    <row r="5">
      <c r="A5" s="5" t="inlineStr">
        <is>
          <t>PV1</t>
        </is>
      </c>
      <c r="B5" s="5" t="n">
        <v>1</v>
      </c>
      <c r="C5" s="5" t="inlineStr">
        <is>
          <t>PV2, PV3, PV4</t>
        </is>
      </c>
      <c r="D5" s="31">
        <f>MEDIAN(Helpers_MR!M5:M28)</f>
        <v/>
      </c>
      <c r="E5" s="5">
        <f>MAX(Helpers_MR!AE5:AE30)</f>
        <v/>
      </c>
      <c r="F5" s="5" t="n">
        <v>0</v>
      </c>
      <c r="G5" s="5">
        <f>IF(AND(E5&gt;=cfg_mr_debounce_steps,F5=0),1,0)</f>
        <v/>
      </c>
      <c r="H5" s="5">
        <f>IF(G5=0,"",IF(D5&lt;cfg_mr_ratio_critical,"CRITICAL",IF(D5&lt;cfg_mr_ratio_high,"HIGH","MEDIUM")))</f>
        <v/>
      </c>
      <c r="I5" s="62">
        <f>IF(G5=0,"",MIN(90,MAX(50,(1-D5)*100)))</f>
        <v/>
      </c>
      <c r="J5" s="5">
        <f>IF(F5=1,"EMPTY",IF(G5=1,"mppt_partner_underperform","NORMAL"))</f>
        <v/>
      </c>
    </row>
    <row r="6">
      <c r="A6" s="5" t="inlineStr">
        <is>
          <t>PV2</t>
        </is>
      </c>
      <c r="B6" s="5" t="n">
        <v>1</v>
      </c>
      <c r="C6" s="5" t="inlineStr">
        <is>
          <t>PV1, PV3, PV4</t>
        </is>
      </c>
      <c r="D6" s="31">
        <f>MEDIAN(Helpers_MR!N5:N28)</f>
        <v/>
      </c>
      <c r="E6" s="5">
        <f>MAX(Helpers_MR!AF5:AF30)</f>
        <v/>
      </c>
      <c r="F6" s="5" t="n">
        <v>0</v>
      </c>
      <c r="G6" s="5">
        <f>IF(AND(E6&gt;=cfg_mr_debounce_steps,F6=0),1,0)</f>
        <v/>
      </c>
      <c r="H6" s="5">
        <f>IF(G6=0,"",IF(D6&lt;cfg_mr_ratio_critical,"CRITICAL",IF(D6&lt;cfg_mr_ratio_high,"HIGH","MEDIUM")))</f>
        <v/>
      </c>
      <c r="I6" s="62">
        <f>IF(G6=0,"",MIN(90,MAX(50,(1-D6)*100)))</f>
        <v/>
      </c>
      <c r="J6" s="5">
        <f>IF(F6=1,"EMPTY",IF(G6=1,"mppt_partner_underperform","NORMAL"))</f>
        <v/>
      </c>
    </row>
    <row r="7">
      <c r="A7" s="5" t="inlineStr">
        <is>
          <t>PV3</t>
        </is>
      </c>
      <c r="B7" s="5" t="n">
        <v>1</v>
      </c>
      <c r="C7" s="5" t="inlineStr">
        <is>
          <t>PV1, PV2, PV4</t>
        </is>
      </c>
      <c r="D7" s="31">
        <f>MEDIAN(Helpers_MR!O5:O28)</f>
        <v/>
      </c>
      <c r="E7" s="5">
        <f>MAX(Helpers_MR!AG5:AG30)</f>
        <v/>
      </c>
      <c r="F7" s="5" t="n">
        <v>0</v>
      </c>
      <c r="G7" s="5">
        <f>IF(AND(E7&gt;=cfg_mr_debounce_steps,F7=0),1,0)</f>
        <v/>
      </c>
      <c r="H7" s="5">
        <f>IF(G7=0,"",IF(D7&lt;cfg_mr_ratio_critical,"CRITICAL",IF(D7&lt;cfg_mr_ratio_high,"HIGH","MEDIUM")))</f>
        <v/>
      </c>
      <c r="I7" s="62">
        <f>IF(G7=0,"",MIN(90,MAX(50,(1-D7)*100)))</f>
        <v/>
      </c>
      <c r="J7" s="5">
        <f>IF(F7=1,"EMPTY",IF(G7=1,"mppt_partner_underperform","NORMAL"))</f>
        <v/>
      </c>
    </row>
    <row r="8">
      <c r="A8" s="5" t="inlineStr">
        <is>
          <t>PV4</t>
        </is>
      </c>
      <c r="B8" s="5" t="n">
        <v>1</v>
      </c>
      <c r="C8" s="5" t="inlineStr">
        <is>
          <t>PV1, PV2, PV3</t>
        </is>
      </c>
      <c r="D8" s="31">
        <f>MEDIAN(Helpers_MR!P5:P28)</f>
        <v/>
      </c>
      <c r="E8" s="5">
        <f>MAX(Helpers_MR!AH5:AH30)</f>
        <v/>
      </c>
      <c r="F8" s="5" t="n">
        <v>0</v>
      </c>
      <c r="G8" s="5">
        <f>IF(AND(E8&gt;=cfg_mr_debounce_steps,F8=0),1,0)</f>
        <v/>
      </c>
      <c r="H8" s="5">
        <f>IF(G8=0,"",IF(D8&lt;cfg_mr_ratio_critical,"CRITICAL",IF(D8&lt;cfg_mr_ratio_high,"HIGH","MEDIUM")))</f>
        <v/>
      </c>
      <c r="I8" s="62">
        <f>IF(G8=0,"",MIN(90,MAX(50,(1-D8)*100)))</f>
        <v/>
      </c>
      <c r="J8" s="5">
        <f>IF(F8=1,"EMPTY",IF(G8=1,"mppt_partner_underperform","NORMAL"))</f>
        <v/>
      </c>
    </row>
    <row r="9">
      <c r="A9" s="5" t="inlineStr">
        <is>
          <t>PV5</t>
        </is>
      </c>
      <c r="B9" s="5" t="n">
        <v>2</v>
      </c>
      <c r="C9" s="5" t="inlineStr">
        <is>
          <t>PV6, PV7, PV8, PV9</t>
        </is>
      </c>
      <c r="D9" s="31">
        <f>MEDIAN(Helpers_MR!Q5:Q28)</f>
        <v/>
      </c>
      <c r="E9" s="5">
        <f>MAX(Helpers_MR!AI5:AI30)</f>
        <v/>
      </c>
      <c r="F9" s="5" t="n">
        <v>0</v>
      </c>
      <c r="G9" s="5">
        <f>IF(AND(E9&gt;=cfg_mr_debounce_steps,F9=0),1,0)</f>
        <v/>
      </c>
      <c r="H9" s="5">
        <f>IF(G9=0,"",IF(D9&lt;cfg_mr_ratio_critical,"CRITICAL",IF(D9&lt;cfg_mr_ratio_high,"HIGH","MEDIUM")))</f>
        <v/>
      </c>
      <c r="I9" s="62">
        <f>IF(G9=0,"",MIN(90,MAX(50,(1-D9)*100)))</f>
        <v/>
      </c>
      <c r="J9" s="5">
        <f>IF(F9=1,"EMPTY",IF(G9=1,"mppt_partner_underperform","NORMAL"))</f>
        <v/>
      </c>
    </row>
    <row r="10">
      <c r="A10" s="5" t="inlineStr">
        <is>
          <t>PV6</t>
        </is>
      </c>
      <c r="B10" s="5" t="n">
        <v>2</v>
      </c>
      <c r="C10" s="5" t="inlineStr">
        <is>
          <t>PV5, PV7, PV8, PV9</t>
        </is>
      </c>
      <c r="D10" s="31">
        <f>MEDIAN(Helpers_MR!R5:R28)</f>
        <v/>
      </c>
      <c r="E10" s="5">
        <f>MAX(Helpers_MR!AJ5:AJ30)</f>
        <v/>
      </c>
      <c r="F10" s="5" t="n">
        <v>0</v>
      </c>
      <c r="G10" s="5">
        <f>IF(AND(E10&gt;=cfg_mr_debounce_steps,F10=0),1,0)</f>
        <v/>
      </c>
      <c r="H10" s="5">
        <f>IF(G10=0,"",IF(D10&lt;cfg_mr_ratio_critical,"CRITICAL",IF(D10&lt;cfg_mr_ratio_high,"HIGH","MEDIUM")))</f>
        <v/>
      </c>
      <c r="I10" s="62">
        <f>IF(G10=0,"",MIN(90,MAX(50,(1-D10)*100)))</f>
        <v/>
      </c>
      <c r="J10" s="5">
        <f>IF(F10=1,"EMPTY",IF(G10=1,"mppt_partner_underperform","NORMAL"))</f>
        <v/>
      </c>
    </row>
    <row r="11">
      <c r="A11" s="5" t="inlineStr">
        <is>
          <t>PV7</t>
        </is>
      </c>
      <c r="B11" s="5" t="n">
        <v>2</v>
      </c>
      <c r="C11" s="5" t="inlineStr">
        <is>
          <t>PV5, PV6, PV8, PV9</t>
        </is>
      </c>
      <c r="D11" s="31">
        <f>MEDIAN(Helpers_MR!S5:S28)</f>
        <v/>
      </c>
      <c r="E11" s="5">
        <f>MAX(Helpers_MR!AK5:AK30)</f>
        <v/>
      </c>
      <c r="F11" s="5" t="n">
        <v>0</v>
      </c>
      <c r="G11" s="5">
        <f>IF(AND(E11&gt;=cfg_mr_debounce_steps,F11=0),1,0)</f>
        <v/>
      </c>
      <c r="H11" s="5">
        <f>IF(G11=0,"",IF(D11&lt;cfg_mr_ratio_critical,"CRITICAL",IF(D11&lt;cfg_mr_ratio_high,"HIGH","MEDIUM")))</f>
        <v/>
      </c>
      <c r="I11" s="62">
        <f>IF(G11=0,"",MIN(90,MAX(50,(1-D11)*100)))</f>
        <v/>
      </c>
      <c r="J11" s="5">
        <f>IF(F11=1,"EMPTY",IF(G11=1,"mppt_partner_underperform","NORMAL"))</f>
        <v/>
      </c>
    </row>
    <row r="12">
      <c r="A12" s="5" t="inlineStr">
        <is>
          <t>PV8</t>
        </is>
      </c>
      <c r="B12" s="5" t="n">
        <v>2</v>
      </c>
      <c r="C12" s="5" t="inlineStr">
        <is>
          <t>PV5, PV6, PV7, PV9</t>
        </is>
      </c>
      <c r="D12" s="31">
        <f>MEDIAN(Helpers_MR!T5:T28)</f>
        <v/>
      </c>
      <c r="E12" s="5">
        <f>MAX(Helpers_MR!AL5:AL30)</f>
        <v/>
      </c>
      <c r="F12" s="5" t="n">
        <v>0</v>
      </c>
      <c r="G12" s="5">
        <f>IF(AND(E12&gt;=cfg_mr_debounce_steps,F12=0),1,0)</f>
        <v/>
      </c>
      <c r="H12" s="5">
        <f>IF(G12=0,"",IF(D12&lt;cfg_mr_ratio_critical,"CRITICAL",IF(D12&lt;cfg_mr_ratio_high,"HIGH","MEDIUM")))</f>
        <v/>
      </c>
      <c r="I12" s="62">
        <f>IF(G12=0,"",MIN(90,MAX(50,(1-D12)*100)))</f>
        <v/>
      </c>
      <c r="J12" s="5">
        <f>IF(F12=1,"EMPTY",IF(G12=1,"mppt_partner_underperform","NORMAL"))</f>
        <v/>
      </c>
    </row>
    <row r="13">
      <c r="A13" s="5" t="inlineStr">
        <is>
          <t>PV9</t>
        </is>
      </c>
      <c r="B13" s="5" t="n">
        <v>2</v>
      </c>
      <c r="C13" s="5" t="inlineStr">
        <is>
          <t>PV5, PV6, PV7, PV8</t>
        </is>
      </c>
      <c r="D13" s="31">
        <f>MEDIAN(Helpers_MR!U5:U28)</f>
        <v/>
      </c>
      <c r="E13" s="5">
        <f>MAX(Helpers_MR!AM5:AM30)</f>
        <v/>
      </c>
      <c r="F13" s="5" t="n">
        <v>0</v>
      </c>
      <c r="G13" s="5">
        <f>IF(AND(E13&gt;=cfg_mr_debounce_steps,F13=0),1,0)</f>
        <v/>
      </c>
      <c r="H13" s="5">
        <f>IF(G13=0,"",IF(D13&lt;cfg_mr_ratio_critical,"CRITICAL",IF(D13&lt;cfg_mr_ratio_high,"HIGH","MEDIUM")))</f>
        <v/>
      </c>
      <c r="I13" s="62">
        <f>IF(G13=0,"",MIN(90,MAX(50,(1-D13)*100)))</f>
        <v/>
      </c>
      <c r="J13" s="5">
        <f>IF(F13=1,"EMPTY",IF(G13=1,"mppt_partner_underperform","NORMAL"))</f>
        <v/>
      </c>
    </row>
  </sheetData>
  <conditionalFormatting sqref="H5:H13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7">
      <formula>"MEDIUM"</formula>
    </cfRule>
    <cfRule type="cellIs" priority="4" operator="equal" dxfId="4">
      <formula>"NORMAL"</formula>
    </cfRule>
    <cfRule type="cellIs" priority="5" operator="equal" dxfId="8">
      <formula>"EMPTY"</formula>
    </cfRule>
  </conditionalFormatting>
  <conditionalFormatting sqref="J5:J13">
    <cfRule type="cellIs" priority="6" operator="equal" dxfId="0">
      <formula>"mppt_partner_underperform"</formula>
    </cfRule>
    <cfRule type="cellIs" priority="7" operator="equal" dxfId="4">
      <formula>"NORMAL"</formula>
    </cfRule>
    <cfRule type="cellIs" priority="8" operator="equal" dxfId="8">
      <formula>"EMPTY"</formula>
    </cfRule>
  </conditionalFormatting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6" max="6"/>
    <col width="18" customWidth="1" min="7" max="7"/>
  </cols>
  <sheetData>
    <row r="1">
      <c r="A1" s="23" t="inlineStr">
        <is>
          <t>M2b_MR_StringStatus — replika artifact StringStatus (mppt_ratio.py baris 341-355)</t>
        </is>
      </c>
    </row>
    <row r="2">
      <c r="A2" s="24" t="inlineStr">
        <is>
          <t>Kolom = field artifact Python. ratio_event_median == ratio_median_daylight untuk fault sustained (M2_RE_11 §5.3).</t>
        </is>
      </c>
    </row>
    <row r="4">
      <c r="A4" s="10" t="inlineStr">
        <is>
          <t>poa_source</t>
        </is>
      </c>
      <c r="B4" s="10" t="inlineStr">
        <is>
          <t>inverter_id</t>
        </is>
      </c>
      <c r="C4" s="10" t="inlineStr">
        <is>
          <t>wb_id</t>
        </is>
      </c>
      <c r="D4" s="10" t="inlineStr">
        <is>
          <t>pv_string</t>
        </is>
      </c>
      <c r="E4" s="10" t="inlineStr">
        <is>
          <t>mppt</t>
        </is>
      </c>
      <c r="F4" s="10" t="inlineStr">
        <is>
          <t>status</t>
        </is>
      </c>
      <c r="G4" s="10" t="inlineStr">
        <is>
          <t>partner_strings</t>
        </is>
      </c>
      <c r="H4" s="10" t="inlineStr">
        <is>
          <t>ratio_median_daylight</t>
        </is>
      </c>
      <c r="I4" s="10" t="inlineStr">
        <is>
          <t>ratio_event_median</t>
        </is>
      </c>
      <c r="J4" s="10" t="inlineStr">
        <is>
          <t>n_qualifying_steps</t>
        </is>
      </c>
      <c r="K4" s="10" t="inlineStr">
        <is>
          <t>n_debounced_events</t>
        </is>
      </c>
      <c r="L4" s="10" t="inlineStr">
        <is>
          <t>emitted_finding</t>
        </is>
      </c>
      <c r="M4" s="10" t="inlineStr">
        <is>
          <t>daylight_samples</t>
        </is>
      </c>
    </row>
    <row r="5">
      <c r="A5" s="5" t="inlineStr">
        <is>
          <t>pyranometer_per_ws</t>
        </is>
      </c>
      <c r="B5" s="5" t="inlineStr">
        <is>
          <t>WB05-INV05</t>
        </is>
      </c>
      <c r="C5" s="5" t="inlineStr">
        <is>
          <t>WB05</t>
        </is>
      </c>
      <c r="D5" s="5" t="inlineStr">
        <is>
          <t>PV1</t>
        </is>
      </c>
      <c r="E5" s="5" t="n">
        <v>1</v>
      </c>
      <c r="F5" s="5">
        <f>M2b_MpptRatio!J5</f>
        <v/>
      </c>
      <c r="G5" s="5">
        <f>M2b_MpptRatio!C5</f>
        <v/>
      </c>
      <c r="H5" s="31">
        <f>M2b_MpptRatio!D5</f>
        <v/>
      </c>
      <c r="I5" s="31">
        <f>M2b_MpptRatio!D5</f>
        <v/>
      </c>
      <c r="J5" s="5">
        <f>SUM(Helpers_MR!V5:V30)</f>
        <v/>
      </c>
      <c r="K5" s="5">
        <f>M2b_MpptRatio!G5</f>
        <v/>
      </c>
      <c r="L5" s="5">
        <f>M2b_MpptRatio!G5</f>
        <v/>
      </c>
      <c r="M5" s="5">
        <f>SUM(Helpers_MR!C5:C30)</f>
        <v/>
      </c>
    </row>
    <row r="6">
      <c r="A6" s="5" t="inlineStr">
        <is>
          <t>pyranometer_per_ws</t>
        </is>
      </c>
      <c r="B6" s="5" t="inlineStr">
        <is>
          <t>WB05-INV05</t>
        </is>
      </c>
      <c r="C6" s="5" t="inlineStr">
        <is>
          <t>WB05</t>
        </is>
      </c>
      <c r="D6" s="5" t="inlineStr">
        <is>
          <t>PV2</t>
        </is>
      </c>
      <c r="E6" s="5" t="n">
        <v>1</v>
      </c>
      <c r="F6" s="5">
        <f>M2b_MpptRatio!J6</f>
        <v/>
      </c>
      <c r="G6" s="5">
        <f>M2b_MpptRatio!C6</f>
        <v/>
      </c>
      <c r="H6" s="31">
        <f>M2b_MpptRatio!D6</f>
        <v/>
      </c>
      <c r="I6" s="31">
        <f>M2b_MpptRatio!D6</f>
        <v/>
      </c>
      <c r="J6" s="5">
        <f>SUM(Helpers_MR!W5:W30)</f>
        <v/>
      </c>
      <c r="K6" s="5">
        <f>M2b_MpptRatio!G6</f>
        <v/>
      </c>
      <c r="L6" s="5">
        <f>M2b_MpptRatio!G6</f>
        <v/>
      </c>
      <c r="M6" s="5">
        <f>SUM(Helpers_MR!C5:C30)</f>
        <v/>
      </c>
    </row>
    <row r="7">
      <c r="A7" s="5" t="inlineStr">
        <is>
          <t>pyranometer_per_ws</t>
        </is>
      </c>
      <c r="B7" s="5" t="inlineStr">
        <is>
          <t>WB05-INV05</t>
        </is>
      </c>
      <c r="C7" s="5" t="inlineStr">
        <is>
          <t>WB05</t>
        </is>
      </c>
      <c r="D7" s="5" t="inlineStr">
        <is>
          <t>PV3</t>
        </is>
      </c>
      <c r="E7" s="5" t="n">
        <v>1</v>
      </c>
      <c r="F7" s="5">
        <f>M2b_MpptRatio!J7</f>
        <v/>
      </c>
      <c r="G7" s="5">
        <f>M2b_MpptRatio!C7</f>
        <v/>
      </c>
      <c r="H7" s="31">
        <f>M2b_MpptRatio!D7</f>
        <v/>
      </c>
      <c r="I7" s="31">
        <f>M2b_MpptRatio!D7</f>
        <v/>
      </c>
      <c r="J7" s="5">
        <f>SUM(Helpers_MR!X5:X30)</f>
        <v/>
      </c>
      <c r="K7" s="5">
        <f>M2b_MpptRatio!G7</f>
        <v/>
      </c>
      <c r="L7" s="5">
        <f>M2b_MpptRatio!G7</f>
        <v/>
      </c>
      <c r="M7" s="5">
        <f>SUM(Helpers_MR!C5:C30)</f>
        <v/>
      </c>
    </row>
    <row r="8">
      <c r="A8" s="5" t="inlineStr">
        <is>
          <t>pyranometer_per_ws</t>
        </is>
      </c>
      <c r="B8" s="5" t="inlineStr">
        <is>
          <t>WB05-INV05</t>
        </is>
      </c>
      <c r="C8" s="5" t="inlineStr">
        <is>
          <t>WB05</t>
        </is>
      </c>
      <c r="D8" s="5" t="inlineStr">
        <is>
          <t>PV4</t>
        </is>
      </c>
      <c r="E8" s="5" t="n">
        <v>1</v>
      </c>
      <c r="F8" s="5">
        <f>M2b_MpptRatio!J8</f>
        <v/>
      </c>
      <c r="G8" s="5">
        <f>M2b_MpptRatio!C8</f>
        <v/>
      </c>
      <c r="H8" s="31">
        <f>M2b_MpptRatio!D8</f>
        <v/>
      </c>
      <c r="I8" s="31">
        <f>M2b_MpptRatio!D8</f>
        <v/>
      </c>
      <c r="J8" s="5">
        <f>SUM(Helpers_MR!Y5:Y30)</f>
        <v/>
      </c>
      <c r="K8" s="5">
        <f>M2b_MpptRatio!G8</f>
        <v/>
      </c>
      <c r="L8" s="5">
        <f>M2b_MpptRatio!G8</f>
        <v/>
      </c>
      <c r="M8" s="5">
        <f>SUM(Helpers_MR!C5:C30)</f>
        <v/>
      </c>
    </row>
    <row r="9">
      <c r="A9" s="5" t="inlineStr">
        <is>
          <t>pyranometer_per_ws</t>
        </is>
      </c>
      <c r="B9" s="5" t="inlineStr">
        <is>
          <t>WB05-INV05</t>
        </is>
      </c>
      <c r="C9" s="5" t="inlineStr">
        <is>
          <t>WB05</t>
        </is>
      </c>
      <c r="D9" s="5" t="inlineStr">
        <is>
          <t>PV5</t>
        </is>
      </c>
      <c r="E9" s="5" t="n">
        <v>2</v>
      </c>
      <c r="F9" s="5">
        <f>M2b_MpptRatio!J9</f>
        <v/>
      </c>
      <c r="G9" s="5">
        <f>M2b_MpptRatio!C9</f>
        <v/>
      </c>
      <c r="H9" s="31">
        <f>M2b_MpptRatio!D9</f>
        <v/>
      </c>
      <c r="I9" s="31">
        <f>M2b_MpptRatio!D9</f>
        <v/>
      </c>
      <c r="J9" s="5">
        <f>SUM(Helpers_MR!Z5:Z30)</f>
        <v/>
      </c>
      <c r="K9" s="5">
        <f>M2b_MpptRatio!G9</f>
        <v/>
      </c>
      <c r="L9" s="5">
        <f>M2b_MpptRatio!G9</f>
        <v/>
      </c>
      <c r="M9" s="5">
        <f>SUM(Helpers_MR!C5:C30)</f>
        <v/>
      </c>
    </row>
    <row r="10">
      <c r="A10" s="5" t="inlineStr">
        <is>
          <t>pyranometer_per_ws</t>
        </is>
      </c>
      <c r="B10" s="5" t="inlineStr">
        <is>
          <t>WB05-INV05</t>
        </is>
      </c>
      <c r="C10" s="5" t="inlineStr">
        <is>
          <t>WB05</t>
        </is>
      </c>
      <c r="D10" s="5" t="inlineStr">
        <is>
          <t>PV6</t>
        </is>
      </c>
      <c r="E10" s="5" t="n">
        <v>2</v>
      </c>
      <c r="F10" s="5">
        <f>M2b_MpptRatio!J10</f>
        <v/>
      </c>
      <c r="G10" s="5">
        <f>M2b_MpptRatio!C10</f>
        <v/>
      </c>
      <c r="H10" s="31">
        <f>M2b_MpptRatio!D10</f>
        <v/>
      </c>
      <c r="I10" s="31">
        <f>M2b_MpptRatio!D10</f>
        <v/>
      </c>
      <c r="J10" s="5">
        <f>SUM(Helpers_MR!AA5:AA30)</f>
        <v/>
      </c>
      <c r="K10" s="5">
        <f>M2b_MpptRatio!G10</f>
        <v/>
      </c>
      <c r="L10" s="5">
        <f>M2b_MpptRatio!G10</f>
        <v/>
      </c>
      <c r="M10" s="5">
        <f>SUM(Helpers_MR!C5:C30)</f>
        <v/>
      </c>
    </row>
    <row r="11">
      <c r="A11" s="5" t="inlineStr">
        <is>
          <t>pyranometer_per_ws</t>
        </is>
      </c>
      <c r="B11" s="5" t="inlineStr">
        <is>
          <t>WB05-INV05</t>
        </is>
      </c>
      <c r="C11" s="5" t="inlineStr">
        <is>
          <t>WB05</t>
        </is>
      </c>
      <c r="D11" s="5" t="inlineStr">
        <is>
          <t>PV7</t>
        </is>
      </c>
      <c r="E11" s="5" t="n">
        <v>2</v>
      </c>
      <c r="F11" s="5">
        <f>M2b_MpptRatio!J11</f>
        <v/>
      </c>
      <c r="G11" s="5">
        <f>M2b_MpptRatio!C11</f>
        <v/>
      </c>
      <c r="H11" s="31">
        <f>M2b_MpptRatio!D11</f>
        <v/>
      </c>
      <c r="I11" s="31">
        <f>M2b_MpptRatio!D11</f>
        <v/>
      </c>
      <c r="J11" s="5">
        <f>SUM(Helpers_MR!AB5:AB30)</f>
        <v/>
      </c>
      <c r="K11" s="5">
        <f>M2b_MpptRatio!G11</f>
        <v/>
      </c>
      <c r="L11" s="5">
        <f>M2b_MpptRatio!G11</f>
        <v/>
      </c>
      <c r="M11" s="5">
        <f>SUM(Helpers_MR!C5:C30)</f>
        <v/>
      </c>
    </row>
    <row r="12">
      <c r="A12" s="5" t="inlineStr">
        <is>
          <t>pyranometer_per_ws</t>
        </is>
      </c>
      <c r="B12" s="5" t="inlineStr">
        <is>
          <t>WB05-INV05</t>
        </is>
      </c>
      <c r="C12" s="5" t="inlineStr">
        <is>
          <t>WB05</t>
        </is>
      </c>
      <c r="D12" s="5" t="inlineStr">
        <is>
          <t>PV8</t>
        </is>
      </c>
      <c r="E12" s="5" t="n">
        <v>2</v>
      </c>
      <c r="F12" s="5">
        <f>M2b_MpptRatio!J12</f>
        <v/>
      </c>
      <c r="G12" s="5">
        <f>M2b_MpptRatio!C12</f>
        <v/>
      </c>
      <c r="H12" s="31">
        <f>M2b_MpptRatio!D12</f>
        <v/>
      </c>
      <c r="I12" s="31">
        <f>M2b_MpptRatio!D12</f>
        <v/>
      </c>
      <c r="J12" s="5">
        <f>SUM(Helpers_MR!AC5:AC30)</f>
        <v/>
      </c>
      <c r="K12" s="5">
        <f>M2b_MpptRatio!G12</f>
        <v/>
      </c>
      <c r="L12" s="5">
        <f>M2b_MpptRatio!G12</f>
        <v/>
      </c>
      <c r="M12" s="5">
        <f>SUM(Helpers_MR!C5:C30)</f>
        <v/>
      </c>
    </row>
    <row r="13">
      <c r="A13" s="5" t="inlineStr">
        <is>
          <t>pyranometer_per_ws</t>
        </is>
      </c>
      <c r="B13" s="5" t="inlineStr">
        <is>
          <t>WB05-INV05</t>
        </is>
      </c>
      <c r="C13" s="5" t="inlineStr">
        <is>
          <t>WB05</t>
        </is>
      </c>
      <c r="D13" s="5" t="inlineStr">
        <is>
          <t>PV9</t>
        </is>
      </c>
      <c r="E13" s="5" t="n">
        <v>2</v>
      </c>
      <c r="F13" s="5">
        <f>M2b_MpptRatio!J13</f>
        <v/>
      </c>
      <c r="G13" s="5">
        <f>M2b_MpptRatio!C13</f>
        <v/>
      </c>
      <c r="H13" s="31">
        <f>M2b_MpptRatio!D13</f>
        <v/>
      </c>
      <c r="I13" s="31">
        <f>M2b_MpptRatio!D13</f>
        <v/>
      </c>
      <c r="J13" s="5">
        <f>SUM(Helpers_MR!AD5:AD30)</f>
        <v/>
      </c>
      <c r="K13" s="5">
        <f>M2b_MpptRatio!G13</f>
        <v/>
      </c>
      <c r="L13" s="5">
        <f>M2b_MpptRatio!G13</f>
        <v/>
      </c>
      <c r="M13" s="5">
        <f>SUM(Helpers_MR!C5:C30)</f>
        <v/>
      </c>
    </row>
  </sheetData>
  <conditionalFormatting sqref="F5:F13">
    <cfRule type="cellIs" priority="1" operator="equal" dxfId="0">
      <formula>"mppt_partner_underperform"</formula>
    </cfRule>
    <cfRule type="cellIs" priority="2" operator="equal" dxfId="4">
      <formula>"NORMAL"</formula>
    </cfRule>
    <cfRule type="cellIs" priority="3" operator="equal" dxfId="8">
      <formula>"EMPTY"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2026-05-29T05:09:01Z</dcterms:created>
  <dcterms:modified xmlns:dcterms="http://purl.org/dc/terms/" xmlns:xsi="http://www.w3.org/2001/XMLSchema-instance" xsi:type="dcterms:W3CDTF">2026-09-28T07:09:50Z</dcterms:modified>
</cp:coreProperties>
</file>